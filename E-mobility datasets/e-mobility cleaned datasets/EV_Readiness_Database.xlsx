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ead" sheetId="1" r:id="rId5"/>
    <sheet state="visible" name="Overview" sheetId="2" r:id="rId6"/>
    <sheet state="visible" name="Scoring - Readiness" sheetId="3" r:id="rId7"/>
    <sheet state="visible" name="Scoring - Impact" sheetId="4" r:id="rId8"/>
    <sheet state="visible" name="Main Sheet" sheetId="5" r:id="rId9"/>
    <sheet state="visible" name="EV National Targets" sheetId="6" r:id="rId10"/>
    <sheet state="visible" name="EV Incentives" sheetId="7" r:id="rId11"/>
    <sheet state="visible" name="Additional Generation For 30% E" sheetId="8" r:id="rId12"/>
    <sheet state="visible" name="Grid Reliability" sheetId="9" r:id="rId13"/>
    <sheet state="visible" name="Current Rate of Motorization" sheetId="10" r:id="rId14"/>
    <sheet state="visible" name="EV Charging Infrastructure" sheetId="11" r:id="rId15"/>
    <sheet state="visible" name="Electricity Regulatory Index" sheetId="12" r:id="rId16"/>
    <sheet state="visible" name=" Utility Cost Recovery" sheetId="13" r:id="rId17"/>
    <sheet state="visible" name="Relative Affordability" sheetId="14" r:id="rId18"/>
    <sheet state="visible" name="Access to Finance" sheetId="15" r:id="rId19"/>
    <sheet state="visible" name="Electricity Generated from Clea" sheetId="16" r:id="rId20"/>
    <sheet state="visible" name="CO2 from Transportation" sheetId="17" r:id="rId21"/>
    <sheet state="visible" name="Urban Air Quality" sheetId="18" r:id="rId22"/>
    <sheet state="visible" name="Fossil Fuel Import Dependence" sheetId="19" r:id="rId23"/>
    <sheet state="visible" name="Fossil Fuel Subsidy Burden" sheetId="20" r:id="rId24"/>
    <sheet state="visible" name="Utility Revenue Potential" sheetId="21" r:id="rId25"/>
    <sheet state="visible" name="Projected Rate of Motorization " sheetId="22" r:id="rId26"/>
    <sheet state="visible" name="Readiness Total Scores" sheetId="23" r:id="rId27"/>
    <sheet state="visible" name="Impact Total Scores" sheetId="24" r:id="rId28"/>
    <sheet state="visible" name="Readiness Score Ranking" sheetId="25" r:id="rId29"/>
    <sheet state="visible" name="Impact Scores Ranking" sheetId="26" r:id="rId30"/>
    <sheet state="visible" name="Readiness and Impact Combined S" sheetId="27" r:id="rId31"/>
  </sheets>
  <definedNames>
    <definedName hidden="1" localSheetId="7" name="_xlnm._FilterDatabase">'Additional Generation For 30% E'!$A$1:$AB$56</definedName>
    <definedName hidden="1" localSheetId="8" name="_xlnm._FilterDatabase">'Grid Reliability'!$A$1:$AA$60</definedName>
    <definedName hidden="1" localSheetId="9" name="_xlnm._FilterDatabase">'Current Rate of Motorization'!$A$1:$T$55</definedName>
    <definedName hidden="1" localSheetId="11" name="_xlnm._FilterDatabase">'Electricity Regulatory Index'!$A$1:$AB$56</definedName>
    <definedName hidden="1" localSheetId="12" name="_xlnm._FilterDatabase">' Utility Cost Recovery'!$A$1:$AB$56</definedName>
    <definedName hidden="1" localSheetId="13" name="_xlnm._FilterDatabase">'Relative Affordability'!$A$1:$Y$55</definedName>
    <definedName hidden="1" localSheetId="14" name="_xlnm._FilterDatabase">'Access to Finance'!$A$1:$AB$1000</definedName>
    <definedName hidden="1" localSheetId="15" name="_xlnm._FilterDatabase">'Electricity Generated from Clea'!$A$1:$AA$55</definedName>
    <definedName hidden="1" localSheetId="16" name="_xlnm._FilterDatabase">'CO2 from Transportation'!$A$1:$E$56</definedName>
    <definedName hidden="1" localSheetId="17" name="_xlnm._FilterDatabase">'Urban Air Quality'!$A$1:$Z$56</definedName>
    <definedName hidden="1" localSheetId="18" name="_xlnm._FilterDatabase">'Fossil Fuel Import Dependence'!$A$1:$X$997</definedName>
    <definedName hidden="1" localSheetId="19" name="_xlnm._FilterDatabase">'Fossil Fuel Subsidy Burden'!$A$1:$AB$56</definedName>
    <definedName hidden="1" localSheetId="20" name="_xlnm._FilterDatabase">'Utility Revenue Potential'!$A$1:$AE$55</definedName>
    <definedName hidden="1" localSheetId="21" name="_xlnm._FilterDatabase">'Projected Rate of Motorization '!$A$1:$Z$55</definedName>
    <definedName hidden="1" localSheetId="24" name="_xlnm._FilterDatabase">'Readiness Score Ranking'!$A$1:$Z$54</definedName>
    <definedName hidden="1" localSheetId="25" name="_xlnm._FilterDatabase">'Impact Scores Ranking'!$A$1:$Z$56</definedName>
    <definedName hidden="1" localSheetId="26" name="_xlnm._FilterDatabase">'Readiness and Impact Combined S'!$A$1:$E$55</definedName>
  </definedNames>
  <calcPr/>
</workbook>
</file>

<file path=xl/sharedStrings.xml><?xml version="1.0" encoding="utf-8"?>
<sst xmlns="http://schemas.openxmlformats.org/spreadsheetml/2006/main" count="3003" uniqueCount="773">
  <si>
    <t>READINESS INDICATORS SCORING</t>
  </si>
  <si>
    <t>EV Readiness &amp; Impact Index</t>
  </si>
  <si>
    <t>MAIN SHEET</t>
  </si>
  <si>
    <r>
      <rPr>
        <b/>
        <color rgb="FFFFFFFF"/>
        <sz val="12.0"/>
      </rPr>
      <t>Link to full methodology [</t>
    </r>
    <r>
      <rPr>
        <b/>
        <color rgb="FFFFFFFF"/>
        <sz val="12.0"/>
        <u/>
      </rPr>
      <t>here</t>
    </r>
    <r>
      <rPr>
        <b/>
        <color rgb="FFFFFFFF"/>
        <sz val="12.0"/>
      </rPr>
      <t>]</t>
    </r>
  </si>
  <si>
    <t>IMPACT INDICATORS SCORING</t>
  </si>
  <si>
    <t>Tab</t>
  </si>
  <si>
    <t>Summary</t>
  </si>
  <si>
    <r>
      <rPr>
        <b/>
        <color rgb="FFFFFFFF"/>
        <sz val="12.0"/>
      </rPr>
      <t>Link to full methodology [</t>
    </r>
    <r>
      <rPr>
        <b/>
        <color rgb="FFFFFFFF"/>
        <sz val="12.0"/>
        <u/>
      </rPr>
      <t>here</t>
    </r>
    <r>
      <rPr>
        <b/>
        <color rgb="FFFFFFFF"/>
        <sz val="12.0"/>
      </rPr>
      <t>]</t>
    </r>
  </si>
  <si>
    <t>Notes</t>
  </si>
  <si>
    <t>Main Sheet</t>
  </si>
  <si>
    <t>Sub-Category</t>
  </si>
  <si>
    <t xml:space="preserve">Indicator </t>
  </si>
  <si>
    <t>Low Readiness</t>
  </si>
  <si>
    <t>Synthesizes database</t>
  </si>
  <si>
    <t>Low Impact</t>
  </si>
  <si>
    <t>Medium Readiness</t>
  </si>
  <si>
    <t>Compares metrics for all 54 African countries</t>
  </si>
  <si>
    <t>Medium Impact</t>
  </si>
  <si>
    <t xml:space="preserve">High Readiness </t>
  </si>
  <si>
    <t xml:space="preserve">High Impact </t>
  </si>
  <si>
    <t>CATEGORIES</t>
  </si>
  <si>
    <t>Scoring rationale</t>
  </si>
  <si>
    <t>Readiness</t>
  </si>
  <si>
    <t>10 Indicators</t>
  </si>
  <si>
    <t xml:space="preserve">Summarizes readiness indicators </t>
  </si>
  <si>
    <t>Climate</t>
  </si>
  <si>
    <t>Impact</t>
  </si>
  <si>
    <t>% Electricity Generated from Clean Energy</t>
  </si>
  <si>
    <t>Enabling Policies</t>
  </si>
  <si>
    <t>7 Indicators</t>
  </si>
  <si>
    <t>EV National Targets</t>
  </si>
  <si>
    <t>Summarizes impact indicators</t>
  </si>
  <si>
    <r>
      <rPr>
        <b/>
        <color rgb="FFFFFFFF"/>
      </rPr>
      <t>Full information on data sources and other indicator details can be found in the methodology note 
[</t>
    </r>
    <r>
      <rPr>
        <b/>
        <color rgb="FFFFFFFF"/>
        <u/>
      </rPr>
      <t>link to methodology note</t>
    </r>
    <r>
      <rPr>
        <b/>
        <color rgb="FFFFFFFF"/>
      </rPr>
      <t>]</t>
    </r>
  </si>
  <si>
    <r>
      <rPr>
        <rFont val="Arial"/>
        <color theme="1"/>
      </rPr>
      <t xml:space="preserve">Low 
</t>
    </r>
    <r>
      <rPr>
        <rFont val="Arial"/>
        <color rgb="FFFF0000"/>
      </rPr>
      <t>[&lt;33.33%]</t>
    </r>
  </si>
  <si>
    <t xml:space="preserve">No </t>
  </si>
  <si>
    <r>
      <rPr>
        <rFont val="Arial"/>
        <color theme="1"/>
      </rPr>
      <t xml:space="preserve">Medium </t>
    </r>
    <r>
      <rPr>
        <rFont val="Arial"/>
        <color rgb="FFFF0000"/>
      </rPr>
      <t>[33.33-66.67%]</t>
    </r>
  </si>
  <si>
    <t>-</t>
  </si>
  <si>
    <r>
      <rPr>
        <rFont val="Arial"/>
        <color theme="1"/>
      </rPr>
      <t xml:space="preserve">High 
</t>
    </r>
    <r>
      <rPr>
        <rFont val="Arial"/>
        <color rgb="FFFF0000"/>
      </rPr>
      <t>[&gt;66.67%]</t>
    </r>
  </si>
  <si>
    <t>Yes</t>
  </si>
  <si>
    <t xml:space="preserve">The scoring has been divided into equal thirds, with more than two-thirds clean generation set as an ambitious bound for the highest category. </t>
  </si>
  <si>
    <t>High Readiness: At least one instance of the indicator is identified in the examined country
Medium Readiness: N/A; this is a binary indicator
Low Readiness: No instance of the indicator is identified in the examined country</t>
  </si>
  <si>
    <t>% CO2 from Transportation</t>
  </si>
  <si>
    <t>EV Incentives</t>
  </si>
  <si>
    <r>
      <rPr>
        <rFont val="Arial"/>
        <color theme="1"/>
      </rPr>
      <t xml:space="preserve">Low 
</t>
    </r>
    <r>
      <rPr>
        <rFont val="Arial"/>
        <color rgb="FFFF0000"/>
      </rPr>
      <t>[&lt;33.33%]</t>
    </r>
  </si>
  <si>
    <r>
      <rPr>
        <rFont val="Arial"/>
        <color theme="1"/>
      </rPr>
      <t xml:space="preserve">Medium </t>
    </r>
    <r>
      <rPr>
        <rFont val="Arial"/>
        <color rgb="FFFF0000"/>
      </rPr>
      <t>[33-66.67%]</t>
    </r>
  </si>
  <si>
    <t>READINESS INDICATORS</t>
  </si>
  <si>
    <r>
      <rPr>
        <rFont val="Arial"/>
        <color theme="1"/>
      </rPr>
      <t xml:space="preserve">High 
</t>
    </r>
    <r>
      <rPr>
        <rFont val="Arial"/>
        <color rgb="FFFF0000"/>
      </rPr>
      <t>[&gt;66.67%]</t>
    </r>
  </si>
  <si>
    <t>he scoring has been divided into equal thirds.</t>
  </si>
  <si>
    <t>Grid Infrastrucutre</t>
  </si>
  <si>
    <t>Public Health</t>
  </si>
  <si>
    <t>Additional Generation for 30% EVs</t>
  </si>
  <si>
    <t>Urban Air Quality (AQI)</t>
  </si>
  <si>
    <r>
      <rPr>
        <rFont val="Arial"/>
        <color theme="1"/>
      </rPr>
      <t xml:space="preserve">Large expansion </t>
    </r>
    <r>
      <rPr>
        <rFont val="Arial"/>
        <color rgb="FFFF0000"/>
      </rPr>
      <t>[&gt;1.25]</t>
    </r>
  </si>
  <si>
    <r>
      <rPr>
        <rFont val="Arial"/>
        <color theme="1"/>
      </rPr>
      <t xml:space="preserve">Medium expansion </t>
    </r>
    <r>
      <rPr>
        <rFont val="Arial"/>
        <color rgb="FFFF0000"/>
      </rPr>
      <t>[1.25-1.1]</t>
    </r>
  </si>
  <si>
    <r>
      <rPr>
        <rFont val="Arial"/>
        <color theme="1"/>
      </rPr>
      <t xml:space="preserve">Low </t>
    </r>
    <r>
      <rPr>
        <rFont val="Arial"/>
        <color rgb="FFFF0000"/>
      </rPr>
      <t>[&lt;100]</t>
    </r>
  </si>
  <si>
    <r>
      <rPr>
        <rFont val="Arial"/>
        <color theme="1"/>
      </rPr>
      <t xml:space="preserve">Modest expansion </t>
    </r>
    <r>
      <rPr>
        <rFont val="Arial"/>
        <color rgb="FFFF0000"/>
      </rPr>
      <t>[&lt;1.1]</t>
    </r>
  </si>
  <si>
    <r>
      <rPr>
        <rFont val="Arial"/>
        <color theme="1"/>
      </rPr>
      <t xml:space="preserve">Medium </t>
    </r>
    <r>
      <rPr>
        <rFont val="Arial"/>
        <color rgb="FFFF0000"/>
      </rPr>
      <t>[100-200]</t>
    </r>
  </si>
  <si>
    <r>
      <rPr>
        <color rgb="FF1155CC"/>
        <u/>
      </rPr>
      <t>IEA projects</t>
    </r>
    <r>
      <rPr/>
      <t xml:space="preserve"> Africa's overall electricity demand will  grow 4% annually for the next two years (2024-26). In 10 years, a country's electricity demand will have grown ~50% at this rate. If meeting 30% EV penetration target requires more than half of this estimated 10 year growth, the readiness has been deemed as low.</t>
    </r>
  </si>
  <si>
    <r>
      <rPr>
        <rFont val="Arial"/>
        <color theme="1"/>
      </rPr>
      <t xml:space="preserve">High 
</t>
    </r>
    <r>
      <rPr>
        <rFont val="Arial"/>
        <color rgb="FFFF0000"/>
      </rPr>
      <t>[&gt;200]</t>
    </r>
  </si>
  <si>
    <t>Custom AQI values were benchmarked against WHO interim air quality targets and categorized into low, moderate, high, very high, and serious. We further aggregated these into three high, medium and low categories.</t>
  </si>
  <si>
    <t>Official policies, ambitions, or targets to support EV deployment.</t>
  </si>
  <si>
    <t>Financial</t>
  </si>
  <si>
    <t>Fossil Fuel Import 
Dependence</t>
  </si>
  <si>
    <t>Grid Reliability</t>
  </si>
  <si>
    <r>
      <rPr>
        <rFont val="Arial"/>
        <color theme="1"/>
      </rPr>
      <t xml:space="preserve">Low 
</t>
    </r>
    <r>
      <rPr>
        <rFont val="Arial"/>
        <color rgb="FFFF0000"/>
      </rPr>
      <t>WBES:[&gt;250]
SAIDI:[&gt;20]</t>
    </r>
  </si>
  <si>
    <r>
      <rPr>
        <rFont val="Arial"/>
        <color theme="1"/>
      </rPr>
      <t xml:space="preserve">Medium 
</t>
    </r>
    <r>
      <rPr>
        <rFont val="Arial"/>
        <color rgb="FFFF0000"/>
      </rPr>
      <t>WBES:[50-250]
SAIDI:[5-20]</t>
    </r>
  </si>
  <si>
    <r>
      <rPr>
        <rFont val="Arial"/>
        <color theme="1"/>
      </rPr>
      <t xml:space="preserve">Low 
</t>
    </r>
    <r>
      <rPr>
        <rFont val="Arial"/>
        <color rgb="FFFF0000"/>
      </rPr>
      <t>[&lt;33.33%]</t>
    </r>
  </si>
  <si>
    <r>
      <rPr>
        <rFont val="Arial"/>
        <color theme="1"/>
      </rPr>
      <t xml:space="preserve">Medium 
</t>
    </r>
    <r>
      <rPr>
        <rFont val="Arial"/>
        <color rgb="FFFF0000"/>
      </rPr>
      <t>[33.33-66.67%]</t>
    </r>
  </si>
  <si>
    <r>
      <rPr>
        <rFont val="Arial"/>
        <color theme="1"/>
      </rPr>
      <t xml:space="preserve">High 
</t>
    </r>
    <r>
      <rPr>
        <rFont val="Arial"/>
        <color rgb="FFFF0000"/>
      </rPr>
      <t>[&gt;66.67%]</t>
    </r>
  </si>
  <si>
    <t>The scoring has been divided into equal thirds.</t>
  </si>
  <si>
    <t>Legally binding commitments such as standards, regulations, and exemptions.</t>
  </si>
  <si>
    <r>
      <rPr>
        <rFont val="Arial"/>
        <color theme="1"/>
      </rPr>
      <t xml:space="preserve">High 
</t>
    </r>
    <r>
      <rPr>
        <rFont val="Arial"/>
        <color rgb="FFFF0000"/>
      </rPr>
      <t>WBES:[&lt;50]
SAIDI:[&lt;5]</t>
    </r>
  </si>
  <si>
    <t>Grid Infrastructure</t>
  </si>
  <si>
    <t>Subsidy Burden</t>
  </si>
  <si>
    <t>Additional Capacity for 30% EVs</t>
  </si>
  <si>
    <t>Thresholds for WBES and SAIDI were benchmarked against EU + North America (High reliability) and Asia, Caribbean and South America (Medium reliability).</t>
  </si>
  <si>
    <r>
      <rPr>
        <rFont val="Arial"/>
        <color theme="1"/>
      </rPr>
      <t xml:space="preserve">Low 
</t>
    </r>
    <r>
      <rPr>
        <rFont val="Arial"/>
        <color rgb="FFFF0000"/>
      </rPr>
      <t>[0]</t>
    </r>
  </si>
  <si>
    <r>
      <rPr>
        <rFont val="Arial"/>
        <color theme="1"/>
      </rPr>
      <t xml:space="preserve">Medium </t>
    </r>
    <r>
      <rPr>
        <rFont val="Arial"/>
        <color rgb="FFFF0000"/>
      </rPr>
      <t>[&gt;0-.5%]</t>
    </r>
  </si>
  <si>
    <t>Market</t>
  </si>
  <si>
    <t>Additional electricity generation necessary to meet the power demand of converting 30% of current road transportation to electric.</t>
  </si>
  <si>
    <r>
      <rPr>
        <rFont val="Arial"/>
        <color theme="1"/>
      </rPr>
      <t xml:space="preserve">High 
</t>
    </r>
    <r>
      <rPr>
        <rFont val="Arial"/>
        <color rgb="FFFF0000"/>
      </rPr>
      <t>[&gt;0.5%]</t>
    </r>
  </si>
  <si>
    <t>Reliability</t>
  </si>
  <si>
    <t xml:space="preserve">Current Rate of Motorization </t>
  </si>
  <si>
    <t xml:space="preserve">The average gasoline and diesel consumer subsidy burden in Africa is 0.57%, and has been used as a guide for the medium category. The low value is set at 0%, a decision guided by the fact that most countries are at 0% and the median is 0%. </t>
  </si>
  <si>
    <t>Annual average duration of electricity outages in a country as reported in WB Enterprise Surveys OR SAIDI data reported in WB Doing Business.</t>
  </si>
  <si>
    <t>Market Potential</t>
  </si>
  <si>
    <r>
      <rPr>
        <rFont val="Arial"/>
        <color theme="1"/>
      </rPr>
      <t xml:space="preserve">Low 
</t>
    </r>
    <r>
      <rPr>
        <rFont val="Arial"/>
        <color rgb="FFFF0000"/>
      </rPr>
      <t>[&lt;100]</t>
    </r>
  </si>
  <si>
    <r>
      <rPr>
        <rFont val="Arial"/>
        <color theme="1"/>
      </rPr>
      <t xml:space="preserve">Medium </t>
    </r>
    <r>
      <rPr>
        <rFont val="Arial"/>
        <color rgb="FFFF0000"/>
      </rPr>
      <t>[100-200]</t>
    </r>
  </si>
  <si>
    <t>Utility Revenue Potential</t>
  </si>
  <si>
    <r>
      <rPr>
        <rFont val="Arial"/>
        <color theme="1"/>
      </rPr>
      <t xml:space="preserve">High 
</t>
    </r>
    <r>
      <rPr>
        <rFont val="Arial"/>
        <color rgb="FFFF0000"/>
      </rPr>
      <t>[&gt;200]</t>
    </r>
  </si>
  <si>
    <t xml:space="preserve">Current rate of motorization </t>
  </si>
  <si>
    <t>Most developed countries have a motorization rate north of 500, and many developing countries have rates below 150. Global average is 300 and developing country average is 180. Select examples: India 159; China 210; UK 579; EU average 560.</t>
  </si>
  <si>
    <r>
      <rPr>
        <rFont val="Arial"/>
        <color theme="1"/>
      </rPr>
      <t xml:space="preserve">Low 
</t>
    </r>
    <r>
      <rPr>
        <rFont val="Arial"/>
        <color rgb="FFFF0000"/>
      </rPr>
      <t>[&lt;$30M]</t>
    </r>
  </si>
  <si>
    <t>The number of vehicles per 1,000 inhabitants as a proxy for potential market size (includes all vehicle classes).</t>
  </si>
  <si>
    <r>
      <rPr>
        <rFont val="Arial"/>
        <color theme="1"/>
      </rPr>
      <t xml:space="preserve">Medium </t>
    </r>
    <r>
      <rPr>
        <rFont val="Arial"/>
        <color rgb="FFFF0000"/>
      </rPr>
      <t>[$30M-$110M]</t>
    </r>
  </si>
  <si>
    <r>
      <rPr>
        <rFont val="Arial"/>
        <color theme="1"/>
      </rPr>
      <t xml:space="preserve">High 
</t>
    </r>
    <r>
      <rPr>
        <rFont val="Arial"/>
        <color rgb="FFFF0000"/>
      </rPr>
      <t>[&gt;$110M]</t>
    </r>
  </si>
  <si>
    <t>Scoring categories have been selected based on the 33rd and 66th percentile to create low, medium, and high leverage categories (regional benchmarking). 33rd percentile: $30.3M, 66th percentile: 109.4M.</t>
  </si>
  <si>
    <t>EV Charging infrastructure</t>
  </si>
  <si>
    <t>EV Charging Infrastructure</t>
  </si>
  <si>
    <t>Number of public EV charging points as a proxy for EV deployment/penetration (Data was benchmarked against EV companies to account for non-traditional charging business models).</t>
  </si>
  <si>
    <r>
      <rPr>
        <rFont val="Arial"/>
        <color theme="1"/>
      </rPr>
      <t xml:space="preserve">Low 
</t>
    </r>
    <r>
      <rPr>
        <rFont val="Arial"/>
        <color rgb="FFFF0000"/>
      </rPr>
      <t>[&lt;10]</t>
    </r>
  </si>
  <si>
    <r>
      <rPr>
        <rFont val="Arial"/>
        <color theme="1"/>
      </rPr>
      <t xml:space="preserve">Medium 
</t>
    </r>
    <r>
      <rPr>
        <rFont val="Arial"/>
        <color rgb="FFFF0000"/>
      </rPr>
      <t>[10-30]</t>
    </r>
  </si>
  <si>
    <t>Projected Rate of Motorization 
(2050)</t>
  </si>
  <si>
    <r>
      <rPr>
        <rFont val="Arial"/>
        <color theme="1"/>
      </rPr>
      <t xml:space="preserve">High 
</t>
    </r>
    <r>
      <rPr>
        <rFont val="Arial"/>
        <color rgb="FFFF0000"/>
      </rPr>
      <t>[&gt;30]</t>
    </r>
  </si>
  <si>
    <t>Power Sector Maturity</t>
  </si>
  <si>
    <t>Bounds are based on the spread of African EV charging point data (regional benchmarking).</t>
  </si>
  <si>
    <r>
      <rPr>
        <rFont val="Arial"/>
        <color theme="1"/>
      </rPr>
      <t xml:space="preserve">Low 
</t>
    </r>
    <r>
      <rPr>
        <rFont val="Arial"/>
        <color rgb="FFFF0000"/>
      </rPr>
      <t>[&lt;100]</t>
    </r>
  </si>
  <si>
    <t>Electricity Regulatory Index</t>
  </si>
  <si>
    <t>Electricity Regulatory Index (as proxy for utility quality)</t>
  </si>
  <si>
    <r>
      <rPr>
        <rFont val="Arial"/>
        <color theme="1"/>
      </rPr>
      <t xml:space="preserve">Medium </t>
    </r>
    <r>
      <rPr>
        <rFont val="Arial"/>
        <color rgb="FFFF0000"/>
      </rPr>
      <t>[100-200]</t>
    </r>
  </si>
  <si>
    <r>
      <rPr>
        <rFont val="Arial"/>
        <color theme="1"/>
      </rPr>
      <t xml:space="preserve">Low 
</t>
    </r>
    <r>
      <rPr>
        <rFont val="Arial"/>
        <color rgb="FFFF0000"/>
      </rPr>
      <t>[&lt;0.5]</t>
    </r>
  </si>
  <si>
    <r>
      <rPr>
        <rFont val="Arial"/>
        <color theme="1"/>
      </rPr>
      <t xml:space="preserve">High 
</t>
    </r>
    <r>
      <rPr>
        <rFont val="Arial"/>
        <color rgb="FFFF0000"/>
      </rPr>
      <t>[&gt;200]</t>
    </r>
  </si>
  <si>
    <r>
      <rPr>
        <rFont val="Arial"/>
        <color theme="1"/>
      </rPr>
      <t xml:space="preserve">Medium </t>
    </r>
    <r>
      <rPr>
        <rFont val="Arial"/>
        <color rgb="FFFF0000"/>
      </rPr>
      <t>[0.5-0.8]</t>
    </r>
  </si>
  <si>
    <t>AfDB’s composite index that assesses regulatory and legal dimensions of power sector development in African countries.</t>
  </si>
  <si>
    <r>
      <rPr>
        <rFont val="Arial"/>
        <color theme="1"/>
      </rPr>
      <t xml:space="preserve">High 
</t>
    </r>
    <r>
      <rPr>
        <rFont val="Arial"/>
        <color rgb="FFFF0000"/>
      </rPr>
      <t>[&gt;0.8]</t>
    </r>
  </si>
  <si>
    <t xml:space="preserve">The ERI scores on AfDB’s Africa Energy Portal (AEP) are sorted into four categories. Our medium category is a combination of both ERI medium categories.  
</t>
  </si>
  <si>
    <t xml:space="preserve">Most developed countries have a motorization rate north of 500, and many developing countries have rates below 150. Global average is 300 and developing country average is 180. Select examples: India 159; China 210; UK 579; EU average 560.
</t>
  </si>
  <si>
    <t>Utility Financial Solvency</t>
  </si>
  <si>
    <t>Utility Cost Recovery</t>
  </si>
  <si>
    <t>Utility financial performance data from the World Bank, used as a proxy for utility quality.</t>
  </si>
  <si>
    <r>
      <rPr>
        <rFont val="Arial"/>
        <color theme="1"/>
      </rPr>
      <t xml:space="preserve">Low 
</t>
    </r>
    <r>
      <rPr>
        <rFont val="Arial"/>
        <color rgb="FFFF0000"/>
      </rPr>
      <t>[&lt;85%]</t>
    </r>
  </si>
  <si>
    <t>EV Affordability</t>
  </si>
  <si>
    <r>
      <rPr>
        <rFont val="Arial"/>
        <color theme="1"/>
      </rPr>
      <t xml:space="preserve">Medium </t>
    </r>
    <r>
      <rPr>
        <rFont val="Arial"/>
        <color rgb="FFFF0000"/>
      </rPr>
      <t>[85-100%]</t>
    </r>
  </si>
  <si>
    <r>
      <rPr>
        <rFont val="Arial"/>
        <color theme="1"/>
      </rPr>
      <t xml:space="preserve">High 
</t>
    </r>
    <r>
      <rPr>
        <rFont val="Arial"/>
        <color rgb="FFFF0000"/>
      </rPr>
      <t>[&gt;100%]</t>
    </r>
  </si>
  <si>
    <t>Our scoring category cutoffs aligns with conventional cost recovery bounds. Mature utilities are profitable and cost recovery is the norm. The WB adopts this framework in their conclusion that the financial health of many Africa utilities is sub-par as they do not cover their costs.</t>
  </si>
  <si>
    <t>Relative Affordability of Electric Charging</t>
  </si>
  <si>
    <t/>
  </si>
  <si>
    <t>Cost ratio of electricity to gasoline needed for equivalent EV and ICE car models to travel 100 miles.</t>
  </si>
  <si>
    <t>OVERVIEW</t>
  </si>
  <si>
    <t>Relative Affordability</t>
  </si>
  <si>
    <t>This spreadsheet contains the underlying data for the Africa EV Readiness and Impact Indices, comprehensive frameworks for assessing African countries' preparedness for electric vehicle adoption and potential benefits.
Here's how to navigate the information:</t>
  </si>
  <si>
    <t>Access to Finance Indicator</t>
  </si>
  <si>
    <t>1. MAIN SHEET</t>
  </si>
  <si>
    <t>• Contains raw data for all indicators across both indices</t>
  </si>
  <si>
    <r>
      <rPr>
        <rFont val="Arial"/>
        <color theme="1"/>
      </rPr>
      <t xml:space="preserve">EV pricier 
</t>
    </r>
    <r>
      <rPr>
        <rFont val="Arial"/>
        <color rgb="FFFF0000"/>
      </rPr>
      <t xml:space="preserve">[&gt;1] </t>
    </r>
  </si>
  <si>
    <t xml:space="preserve">% of population over the age of 15 years old that 
have borrowed money from a formal financial institution 
or using a mobile money account. </t>
  </si>
  <si>
    <t>• Organized by major categories (Enabling Policies, Grid Infrastructure, etc.)</t>
  </si>
  <si>
    <t>• Includes links to source data and methodology notes</t>
  </si>
  <si>
    <t>IMPACT INDICATORS</t>
  </si>
  <si>
    <t>• Shows latest available data for each indicator</t>
  </si>
  <si>
    <r>
      <rPr>
        <rFont val="Arial"/>
        <color theme="1"/>
      </rPr>
      <t xml:space="preserve">Comparable </t>
    </r>
    <r>
      <rPr>
        <rFont val="Arial"/>
        <color rgb="FFFF0000"/>
      </rPr>
      <t>[0.75-1]</t>
    </r>
  </si>
  <si>
    <r>
      <rPr>
        <rFont val="Arial"/>
        <color theme="1"/>
      </rPr>
      <t xml:space="preserve">EV cheaper  </t>
    </r>
    <r>
      <rPr>
        <rFont val="Arial"/>
        <color rgb="FFFF0000"/>
      </rPr>
      <t>[&lt;0.75]</t>
    </r>
  </si>
  <si>
    <t>2. SCORING TABS</t>
  </si>
  <si>
    <t>Readiness Total Scores Tab:</t>
  </si>
  <si>
    <t>This indicator compares the cost of operating an electric vehicle (EV) to that of a gasoline-powered internal combustion engine (ICE) vehicle, specifically looking at the cost to drive 100 miles. When EV charging is more expensive than gasoline, it reflects lower affordability for EVs in terms of operating costs. An "EV Pricier" rating means that the ICE vehicle is significantly cheaper to drive—costing 74.9% or less of what it would cost to drive an EV the same distance. "Parity" indicates that the operating costs of the two vehicle types are roughly equivalent, with the ICE vehicle costing between 75% and 100% of the EV's cost. When EVs are the more economical option, the indicator is labeled "EV Cheaper," meaning the ICE vehicle costs more than 100% of the EV's cost to drive 100 miles.</t>
  </si>
  <si>
    <t>% Electricity Generated from Clean Energy / Share of Clean Electricity Generation</t>
  </si>
  <si>
    <t>• Shows normalized scores (1/3, 2/3, 3/3) for readiness indicators</t>
  </si>
  <si>
    <t>• Calculates averages with and without enabling policies</t>
  </si>
  <si>
    <t>• Provides category-level scores</t>
  </si>
  <si>
    <r>
      <rPr>
        <color rgb="FF1155CC"/>
        <u/>
      </rPr>
      <t>Access to Finance Indicator - Borrowed any money 
from a formal financial institution 
or using a mobile money account (% age 15+)</t>
    </r>
    <r>
      <rPr/>
      <t xml:space="preserve">
</t>
    </r>
  </si>
  <si>
    <t>Percentage of electricity currently generated from clean energy sources.</t>
  </si>
  <si>
    <t>Impact Total Scores Tab:</t>
  </si>
  <si>
    <r>
      <rPr>
        <rFont val="Arial"/>
        <color theme="1"/>
      </rPr>
      <t xml:space="preserve">Low 
</t>
    </r>
    <r>
      <rPr>
        <rFont val="Arial"/>
        <color rgb="FFFF0000"/>
      </rPr>
      <t>[&lt;20%]</t>
    </r>
  </si>
  <si>
    <r>
      <rPr>
        <rFont val="Arial"/>
        <color theme="1"/>
      </rPr>
      <t xml:space="preserve">Medium </t>
    </r>
    <r>
      <rPr>
        <rFont val="Arial"/>
        <color rgb="FFFF0000"/>
      </rPr>
      <t>[20-40%]</t>
    </r>
  </si>
  <si>
    <t>• Shows normalized scores (1/3, 2/3, 3/3) for impact indicators</t>
  </si>
  <si>
    <r>
      <rPr>
        <rFont val="Arial"/>
        <color theme="1"/>
      </rPr>
      <t xml:space="preserve">High 
</t>
    </r>
    <r>
      <rPr>
        <rFont val="Arial"/>
        <color rgb="FFFF0000"/>
      </rPr>
      <t>[&gt;40%]</t>
    </r>
  </si>
  <si>
    <t>The world average in this indicator is 30% and has been chosen as a guide for the medium readiness category. The Middle East (11%), South Asia (12%), and SSA (14%) are on the lower ends and have guided the lower bounds of our indicator scoring in the low readiness category.</t>
  </si>
  <si>
    <t>• Calculates overall impact averages</t>
  </si>
  <si>
    <t>Percentage of CO2 from transportation calculated by Transport CO2/CO2 from fuel combustion*100.</t>
  </si>
  <si>
    <t>Urban Air Quality</t>
  </si>
  <si>
    <t>3. INDICATOR-SPECIFIC TABS</t>
  </si>
  <si>
    <t>Country</t>
  </si>
  <si>
    <t>• Each indicator has its own detailed tab</t>
  </si>
  <si>
    <t>• Contains raw data, calculations, and methodological notes</t>
  </si>
  <si>
    <t>The Air Quality Index (AQI) is a common indicator (scale) for reporting daily air quality. The AQI measures carbon monoxide, nitrogen dioxide, sulfur dioxide, ozone, and 24-hour PM2.5 and PM10. Comprehensive urban AQI measurements for African countries is parse, with only real time data available for a select few countries.  Due to the lack of real time data available, our indicator is a composite custom AQI constructed by getting a weighted average of the pollutants.</t>
  </si>
  <si>
    <t>• Features an information box (approx. cell C65) with:</t>
  </si>
  <si>
    <t xml:space="preserve">Readiness - Preparedness to adopt EVs at a large scale
</t>
  </si>
  <si>
    <t xml:space="preserve">  - Index category and sub-category</t>
  </si>
  <si>
    <t xml:space="preserve">  - Detailed description</t>
  </si>
  <si>
    <t xml:space="preserve">  - Scoring methodology</t>
  </si>
  <si>
    <t>Fossil Fuel Import Dependence</t>
  </si>
  <si>
    <t xml:space="preserve">  - Data sources</t>
  </si>
  <si>
    <t xml:space="preserve">  - Key statistics</t>
  </si>
  <si>
    <t>Current fossil fuel import burden as a proxy for energy security.</t>
  </si>
  <si>
    <t xml:space="preserve">Impact - Broader benefits of EV adoption
</t>
  </si>
  <si>
    <t>Fossil Fuel Subsidy Burden</t>
  </si>
  <si>
    <t>4. INDACTOR SCORING METHODOLOGY</t>
  </si>
  <si>
    <t>Full methodologies can be found in methodology note [link at the bottom of page]</t>
  </si>
  <si>
    <t>Expenditure on explicit subsidies for gasoline 
and diesel consumers expressed as a % of GDP.</t>
  </si>
  <si>
    <t>Readiness Indicators:</t>
  </si>
  <si>
    <t>• Low Readiness: 1/3 (0.33)</t>
  </si>
  <si>
    <t>• Medium Readiness: 2/3 (0.67)</t>
  </si>
  <si>
    <t>• High Readiness: 3/3 (1.00)</t>
  </si>
  <si>
    <t>Potential utility revenues from selling electricity 
if 30% of current road transport fleet is electrified.</t>
  </si>
  <si>
    <t>Cross-cutting</t>
  </si>
  <si>
    <t>• Some indicators use binary scoring (1/3 or 3/3 only)</t>
  </si>
  <si>
    <t>Projected rate of motorization
2050</t>
  </si>
  <si>
    <t>• A country's aggregate readiness score is calculated by averaging indicator scores (equal weigthing)</t>
  </si>
  <si>
    <t xml:space="preserve">Projection of number of passenger cars per 1,000 
inhabitants per country in 2050, with implications for scale. 
of impacts across all dimensions </t>
  </si>
  <si>
    <t>Impact Indicators:</t>
  </si>
  <si>
    <t>• Low Impact: 1/3 (0.33)</t>
  </si>
  <si>
    <t>• Medium Impact: 2/3 (0.67)</t>
  </si>
  <si>
    <t>• High Impact: 3/3 (1.00)</t>
  </si>
  <si>
    <t>5. CATEGORY BREAKDOWN</t>
  </si>
  <si>
    <t>Readiness Categories:</t>
  </si>
  <si>
    <t>Level</t>
  </si>
  <si>
    <t>• Enabling Policies: National targets and incentives</t>
  </si>
  <si>
    <t>Policy type</t>
  </si>
  <si>
    <t>• Grid Infrastructure: Generation capacity and reliability</t>
  </si>
  <si>
    <t>Key policy measures and targets</t>
  </si>
  <si>
    <t>Year announced</t>
  </si>
  <si>
    <t>Category</t>
  </si>
  <si>
    <t>• Market: Current motorization and charging infrastructure</t>
  </si>
  <si>
    <t>Source</t>
  </si>
  <si>
    <t>• Power Sector Maturity: Regulatory environment and financial health</t>
  </si>
  <si>
    <t>Source 2</t>
  </si>
  <si>
    <t>• EV Affordability: Relative costs and financial access</t>
  </si>
  <si>
    <t>Algeria</t>
  </si>
  <si>
    <t>National</t>
  </si>
  <si>
    <t>Impact Categories:</t>
  </si>
  <si>
    <t>Target</t>
  </si>
  <si>
    <t>• Climate: Clean energy share and transport emissions</t>
  </si>
  <si>
    <t>1,000 charging stations by 2024</t>
  </si>
  <si>
    <t>• Public Health: Urban air quality</t>
  </si>
  <si>
    <t>• Financial: Import dependence and revenue potential</t>
  </si>
  <si>
    <t>• Market Potential: Projected motorization rates</t>
  </si>
  <si>
    <t>6. DATA UPDATES</t>
  </si>
  <si>
    <t>• Latest comprehensive update: 2024</t>
  </si>
  <si>
    <t>• Individual indicator dates vary (see main tab)</t>
  </si>
  <si>
    <r>
      <rPr>
        <b/>
        <color rgb="FF000000"/>
      </rPr>
      <t>National Target (2023</t>
    </r>
    <r>
      <rPr>
        <b/>
        <color rgb="FF000000"/>
      </rPr>
      <t>)</t>
    </r>
  </si>
  <si>
    <t>Full methodology</t>
  </si>
  <si>
    <t>EV Incentives (2023)</t>
  </si>
  <si>
    <t>Climatescope</t>
  </si>
  <si>
    <t>Additional Generation for 30% EVs (multiplication factor) (2016-2022)</t>
  </si>
  <si>
    <t>Reliability (yearly average time without electricity, hours, various dates. SAIDI scores in yellow highlight. WBES scores w/o hightlight) (2010-2023)</t>
  </si>
  <si>
    <t>Cabo Verde</t>
  </si>
  <si>
    <t>Multi-national</t>
  </si>
  <si>
    <t>Current Rate of Motorization (2016)</t>
  </si>
  <si>
    <t>Ambition</t>
  </si>
  <si>
    <t>COP26 Declaration: Work towards all sales of new cars and vans being zero emission globally by 2040, or by no later than 2035 in leading markets.</t>
  </si>
  <si>
    <t>LDV</t>
  </si>
  <si>
    <t>Accelerating to Zero Coalition</t>
  </si>
  <si>
    <t>EV Charging Infrastructure (2024)</t>
  </si>
  <si>
    <t>ERI Score (2022)</t>
  </si>
  <si>
    <t>IEA</t>
  </si>
  <si>
    <t>Utility Cost Recovery (Operating cost and debt service recovery, including subsidies) (2019)</t>
  </si>
  <si>
    <t>Relative Affordability - Gas vs Charging (EV cost per 100 miles / ICE cost per 100 miles) (2022-2024)</t>
  </si>
  <si>
    <t>50% share of EVs in urban bus sales by 2025, 75% by 2030 and 100% by 2040.</t>
  </si>
  <si>
    <t>Bus</t>
  </si>
  <si>
    <t>Government of Cabo Verde</t>
  </si>
  <si>
    <t>Angola</t>
  </si>
  <si>
    <t>Borrowed any money from a formal financial institution or using a mobile money account (% age 15+) (2014-2022)</t>
  </si>
  <si>
    <t>Legislation</t>
  </si>
  <si>
    <t>50% reduction of both import duty and vehicle tax for EVs.</t>
  </si>
  <si>
    <t>Multiple</t>
  </si>
  <si>
    <t>Government of Angola</t>
  </si>
  <si>
    <t>% Electricity generated from clean energy (2021)</t>
  </si>
  <si>
    <t>35% share of passenger LDV sales to be EVs by 2025, 70% by 2030 and 100% by 2035.</t>
  </si>
  <si>
    <t>25% share of EVs in heavy truck sales by 2030 and 100% by 2035.</t>
  </si>
  <si>
    <t>M/HDV</t>
  </si>
  <si>
    <t>15% share of EVs in medium truck sales by 2025, 35% by 2030 and 100% by 2035.</t>
  </si>
  <si>
    <t>% CO2 Emissions from Transport (2020)</t>
  </si>
  <si>
    <t>100% EVs in government LDV stock by 2035.</t>
  </si>
  <si>
    <r>
      <rPr>
        <color rgb="FF1155CC"/>
        <sz val="10.0"/>
        <u/>
      </rPr>
      <t>Government of Cabo Verde</t>
    </r>
    <r>
      <rPr>
        <sz val="10.0"/>
      </rPr>
      <t xml:space="preserve">, </t>
    </r>
    <r>
      <rPr>
        <color rgb="FF1155CC"/>
        <sz val="10.0"/>
        <u/>
      </rPr>
      <t>source</t>
    </r>
  </si>
  <si>
    <t>Urban Air Quality (Custom AQI) (2019)</t>
  </si>
  <si>
    <t>Ethiopia</t>
  </si>
  <si>
    <t>Introduce 500,000 EVs in the Ethiopian market by 2030</t>
  </si>
  <si>
    <r>
      <rPr>
        <color rgb="FF1155CC"/>
        <sz val="10.0"/>
        <u/>
      </rPr>
      <t>Source</t>
    </r>
    <r>
      <rPr>
        <color rgb="FF000000"/>
        <sz val="10.0"/>
      </rPr>
      <t xml:space="preserve">, </t>
    </r>
    <r>
      <rPr>
        <color rgb="FF1155CC"/>
        <sz val="10.0"/>
        <u/>
      </rPr>
      <t>Source</t>
    </r>
  </si>
  <si>
    <t>Fossil Fuel Dependence (Ratio of transportation fuel consumption to net imports by country) (2021)</t>
  </si>
  <si>
    <t>50% reduction in import customs duty and motor vehicle tax for EVs until 2032</t>
  </si>
  <si>
    <t>Fossil Fuel Subsidy Burden (% of GDP, gasoline &amp; diesel, explicit subsidies) (2023)</t>
  </si>
  <si>
    <t>Utility Revenue Potential ($, 30% EVs) (2021)</t>
  </si>
  <si>
    <t>Projected rate of motorization (2050)</t>
  </si>
  <si>
    <t>Gambia</t>
  </si>
  <si>
    <t>Promote low emission fuel and HEVs, introduce an age limit of a maximum of 3 years for imported vehicles.</t>
  </si>
  <si>
    <t>Government of Gambia</t>
  </si>
  <si>
    <t>Ghana</t>
  </si>
  <si>
    <t>Build 1,000 electric vehicle charging stations across the country within five years</t>
  </si>
  <si>
    <t>Benin</t>
  </si>
  <si>
    <t>Exempt 100% EVs from VAT and custom duties</t>
  </si>
  <si>
    <t>Exemption from VAT and excise duties on the import of EVs, including two-wheeler vehicles</t>
  </si>
  <si>
    <t>4%, 16%, and 32% of cars sold to be EVs in 2025, 2030, and 2050 respectively.</t>
  </si>
  <si>
    <t>EVSE</t>
  </si>
  <si>
    <t>ICCT</t>
  </si>
  <si>
    <t>Government of Ghana</t>
  </si>
  <si>
    <t>4%, 16%, and 32% of buses sold to be EVs in 2025, 2030, and 2050 respectively.</t>
  </si>
  <si>
    <t>DR Congo</t>
  </si>
  <si>
    <t>Legislation (agreement)</t>
  </si>
  <si>
    <t>Afreximbank and ECA sign Framework Agreement towards establishing Special Economic Zones for the production of Battery Electric Vehicles in DRC and Zambia</t>
  </si>
  <si>
    <t>COP26 Declaration: Work intensely towards accelerated proliferation and adoption of zero-emission vehicles.</t>
  </si>
  <si>
    <t>Kenya</t>
  </si>
  <si>
    <t>Natiional</t>
  </si>
  <si>
    <t>200,000 electric motorcycles on its roads by end of 2024</t>
  </si>
  <si>
    <r>
      <rPr>
        <color rgb="FF1155CC"/>
        <sz val="10.0"/>
        <u/>
      </rPr>
      <t>Source</t>
    </r>
    <r>
      <rPr>
        <sz val="10.0"/>
      </rPr>
      <t xml:space="preserve">, </t>
    </r>
    <r>
      <rPr>
        <color rgb="FF1155CC"/>
        <sz val="10.0"/>
        <u/>
      </rPr>
      <t>Source</t>
    </r>
  </si>
  <si>
    <t>Non-IEA</t>
  </si>
  <si>
    <t>Egypt</t>
  </si>
  <si>
    <t>Ministerial Resolution 255/2018 exempts EVs from customs duties and allowed the import of EVs that are no older than three years</t>
  </si>
  <si>
    <t>5% share of electric/hybrid vehicles in total vehicles imported by 2025.</t>
  </si>
  <si>
    <t xml:space="preserve">Source </t>
  </si>
  <si>
    <t>Government of Kenya</t>
  </si>
  <si>
    <t>Morocco</t>
  </si>
  <si>
    <t>Mozambique</t>
  </si>
  <si>
    <t>Set up an electric bus assembly plant in the country to assemble around 1,000 buses in first phase</t>
  </si>
  <si>
    <t>Legislation (announced)</t>
  </si>
  <si>
    <t>Financial support up to EGP 50,000 for buyers of locally-manufactured electric cars</t>
  </si>
  <si>
    <t>EVs are not subject to import duties if locally assembled, reduced rates apply for partially and fully assembled imports, also exempt from VAT, surtax, and excise tax.</t>
  </si>
  <si>
    <t>Namibia</t>
  </si>
  <si>
    <t>Government of Ethiopia</t>
  </si>
  <si>
    <t>Aims to have 96,500 light vehicles converted to BEVs by 2025</t>
  </si>
  <si>
    <t>Nigeria</t>
  </si>
  <si>
    <t>100% transition to EV by 2060 with interim targets of 1% EV and 2% HEV by 2030, and 60% EV and 20% HEV by 2050.</t>
  </si>
  <si>
    <t>Government of Nigeria</t>
  </si>
  <si>
    <t>Rwanda</t>
  </si>
  <si>
    <t>Percent added generation required 100% (GWh)</t>
  </si>
  <si>
    <t>Percent added generation required (GWh) (30%)</t>
  </si>
  <si>
    <t>Multiplication factor for 30% EVs</t>
  </si>
  <si>
    <t xml:space="preserve">Score: 
Low readiness (25% +), Medium readiness (25%-10%), High readiness (10%-0) </t>
  </si>
  <si>
    <t>Score</t>
  </si>
  <si>
    <t xml:space="preserve">Updated data from May 27, 2024 </t>
  </si>
  <si>
    <t>Seychelles</t>
  </si>
  <si>
    <t>30% of new private vehicle sales to be electric by 2030</t>
  </si>
  <si>
    <t>Government of Seychelles</t>
  </si>
  <si>
    <t>100% of public bus stock to be electric by 2050.</t>
  </si>
  <si>
    <t>South Africa</t>
  </si>
  <si>
    <t>Convert 5% of the public and national fleet to cleaner alternative fuel and efficient technology vehicles by 2025, with annual increase of 2% thereafter.</t>
  </si>
  <si>
    <t>Government of South Africa</t>
  </si>
  <si>
    <t>Add 40 solar powered public EV charging stations per annum.</t>
  </si>
  <si>
    <t>Exempts EVs from VAT, excise tax, and surtaxes, reduces import tax</t>
  </si>
  <si>
    <t>Tunisia</t>
  </si>
  <si>
    <t>130,000 EVs by 2030</t>
  </si>
  <si>
    <t>Zimbabwe</t>
  </si>
  <si>
    <t>Target (draft)</t>
  </si>
  <si>
    <t>An immediate ban on all ICE vehicle imports</t>
  </si>
  <si>
    <t>33% market penetration of e-vehicles by 2030</t>
  </si>
  <si>
    <t>AFREC</t>
  </si>
  <si>
    <t>Link to methodology</t>
  </si>
  <si>
    <t>National 10-year strategic plan: Importing 439,000 EVs by 2030</t>
  </si>
  <si>
    <t>Waive import duties on import of EVs for public transportation for 8 years</t>
  </si>
  <si>
    <t>Clean Technica</t>
  </si>
  <si>
    <t>Botswana</t>
  </si>
  <si>
    <t>ITA</t>
  </si>
  <si>
    <t>Burkina Faso</t>
  </si>
  <si>
    <t>Finance Bill of 2019 proposed reduction on the excise duty for all vehicles with only electric motor for propulsion (BEVs) from 20% to 10%.</t>
  </si>
  <si>
    <t>Burundi</t>
  </si>
  <si>
    <t xml:space="preserve">Kenya released draft of National E-mobility policy that will institure ZEVs sales targets and investment criteria for domestic manafacturers and assemblers to be eligible for gov incentives </t>
  </si>
  <si>
    <t>Policy</t>
  </si>
  <si>
    <t>Madagascar</t>
  </si>
  <si>
    <t>Exempts electric and hybrid vehicles from VAT</t>
  </si>
  <si>
    <t>Cameroon</t>
  </si>
  <si>
    <t>Index Category: 
EV Readiness Index - Measures country preparedness to adopt EVs at large scale</t>
  </si>
  <si>
    <t>Central African Republic</t>
  </si>
  <si>
    <t>Sub-Category: 
Enabling Policies</t>
  </si>
  <si>
    <t>Chad</t>
  </si>
  <si>
    <t>Malawi</t>
  </si>
  <si>
    <t>Indicator Name: 
EV National Targets</t>
  </si>
  <si>
    <t>Removal of 30% Import Duty and 25% Import Excise on electric motorcycles. Standard rate of 16.5% VAT will be charged.</t>
  </si>
  <si>
    <t>Comoros</t>
  </si>
  <si>
    <t>Description: 
Records key ambitions and targets that support the deployment of electric vehicles (EVs) in Africa.</t>
  </si>
  <si>
    <t>Scoring Categories: 
• No EV-specific targets = Low Readiness (1/3)
• Has EV-specific targets = High Readiness (3/3)</t>
  </si>
  <si>
    <t>Focus: 
• EV-specific ambitions and penetration targets</t>
  </si>
  <si>
    <t>Data Categories: 
• National Targets
• National Ambitions
• Multi-national Commitments</t>
  </si>
  <si>
    <t>Congo</t>
  </si>
  <si>
    <t>Last Updated: 2022</t>
  </si>
  <si>
    <t>Primary Sources: 
• IEA
• Government Documents
• Climatescope</t>
  </si>
  <si>
    <t>Mauritius</t>
  </si>
  <si>
    <t>Introduced a rebate on the excise duty scheme of 10% for the purchase of electric vehicles by individuals up to a maximum of Rs 200,000 ($4,500).</t>
  </si>
  <si>
    <t>Côte d'Ivoire</t>
  </si>
  <si>
    <t>Djibouti</t>
  </si>
  <si>
    <t>Allow duty free imports of electric and hybrid vehicles into Mauritius from July 2022 to June 2024</t>
  </si>
  <si>
    <r>
      <rPr>
        <color rgb="FF1155CC"/>
        <sz val="10.0"/>
        <u/>
      </rPr>
      <t>Source</t>
    </r>
    <r>
      <rPr>
        <sz val="10.0"/>
      </rPr>
      <t xml:space="preserve">, </t>
    </r>
    <r>
      <rPr>
        <color rgb="FF1155CC"/>
        <sz val="10.0"/>
        <u/>
      </rPr>
      <t>Source</t>
    </r>
  </si>
  <si>
    <t>Equatorial Guinea</t>
  </si>
  <si>
    <t>Owners of EVs and hybrids exempt from paying circulation tax</t>
  </si>
  <si>
    <t>Eritrea</t>
  </si>
  <si>
    <t>Eswatini</t>
  </si>
  <si>
    <t>Percent of firms 
experiencing electrical outages</t>
  </si>
  <si>
    <t>Number of electrical 
outages in a typical month</t>
  </si>
  <si>
    <t>If there were outages, 
average duration of 
a typical electrical outage (hours)</t>
  </si>
  <si>
    <t>10-year tax relief for EV manufacturers in Nigeria</t>
  </si>
  <si>
    <t>Average time without 
electricity (hours) in a typical month</t>
  </si>
  <si>
    <t>Yearly average 
time without electricity (hours)</t>
  </si>
  <si>
    <t>Scoring:
WBES: Low: 250+, Medium: 50-249, High:&lt;50
SAIDI: Low: 20+, Medium: 5-20, High: 0-5</t>
  </si>
  <si>
    <t>Score - WBES only</t>
  </si>
  <si>
    <r>
      <rPr>
        <rFont val="Arial"/>
        <color rgb="FFC9C7E9"/>
        <sz val="12.0"/>
      </rPr>
      <t>WBES</t>
    </r>
    <r>
      <rPr>
        <rFont val="Arial"/>
        <color rgb="FFFFFFFF"/>
        <sz val="12.0"/>
      </rPr>
      <t xml:space="preserve"> dates</t>
    </r>
  </si>
  <si>
    <r>
      <rPr>
        <rFont val="Arial"/>
        <b/>
        <color rgb="FFFCE5CD"/>
        <sz val="12.0"/>
      </rPr>
      <t xml:space="preserve">SAIDI </t>
    </r>
    <r>
      <rPr>
        <rFont val="Arial"/>
        <b/>
        <color rgb="FFFFFFFF"/>
        <sz val="12.0"/>
      </rPr>
      <t>dates</t>
    </r>
  </si>
  <si>
    <t>Gabon</t>
  </si>
  <si>
    <r>
      <rPr>
        <rFont val="Arial"/>
        <b/>
        <color rgb="FFC9C7E9"/>
        <sz val="12.0"/>
      </rPr>
      <t>WBES</t>
    </r>
    <r>
      <rPr>
        <rFont val="Arial"/>
        <color rgb="FFFFFFFF"/>
        <sz val="12.0"/>
      </rPr>
      <t xml:space="preserve"> &amp; </t>
    </r>
    <r>
      <rPr>
        <rFont val="Arial"/>
        <b/>
        <color rgb="FFFCE5CD"/>
        <sz val="12.0"/>
      </rPr>
      <t>SAIDI</t>
    </r>
    <r>
      <rPr>
        <rFont val="Arial"/>
        <color rgb="FFFFFFFF"/>
        <sz val="12.0"/>
      </rPr>
      <t xml:space="preserve">
</t>
    </r>
    <r>
      <rPr>
        <rFont val="Arial"/>
        <color rgb="FFFFFFFF"/>
        <sz val="5.0"/>
      </rPr>
      <t>Criteria:
Use SAIDI data if Enterprise data is missing, 
Enterprise data is from 2010 or before, and a more recent SAIDI value is available, otherwise Enterprise data is used</t>
    </r>
  </si>
  <si>
    <t>Score
WBES &amp; SAIDI</t>
  </si>
  <si>
    <t>Source(s)</t>
  </si>
  <si>
    <t>DIVIDER</t>
  </si>
  <si>
    <t>WB SAIDI (2014-2019)</t>
  </si>
  <si>
    <t>WB SAIDI (added June 11th)</t>
  </si>
  <si>
    <t xml:space="preserve">WB SAIDI source </t>
  </si>
  <si>
    <t>Not Found</t>
  </si>
  <si>
    <t>VAT, withholding tax, and import duty exemptions for EVs and associated parts/equipment.</t>
  </si>
  <si>
    <t>Government of Rwanda</t>
  </si>
  <si>
    <t>Guinea</t>
  </si>
  <si>
    <t>Guinea-Bissau</t>
  </si>
  <si>
    <t>World Bank</t>
  </si>
  <si>
    <t>Tariffs at charging stations are capped at industrial rates, with lower off-peak tariffs; provision of charging stations including planning codes.</t>
  </si>
  <si>
    <t>Introduction of a carbon tax, establishment of restricted zones for green transport, and further preferential treatment for EVs.</t>
  </si>
  <si>
    <t>Exempts electric vehicles from import duties and VAT</t>
  </si>
  <si>
    <r>
      <rPr>
        <color rgb="FF1155CC"/>
        <sz val="10.0"/>
        <u/>
      </rPr>
      <t>Source</t>
    </r>
    <r>
      <rPr>
        <sz val="10.0"/>
      </rPr>
      <t xml:space="preserve">, </t>
    </r>
    <r>
      <rPr>
        <color rgb="FF1155CC"/>
        <sz val="10.0"/>
        <u/>
      </rPr>
      <t>Source</t>
    </r>
  </si>
  <si>
    <t>Lesotho</t>
  </si>
  <si>
    <r>
      <rPr>
        <rFont val="Arial"/>
        <b/>
        <color rgb="FFFCE5CD"/>
        <sz val="24.0"/>
      </rPr>
      <t>WB SAIDI</t>
    </r>
    <r>
      <rPr>
        <rFont val="Arial"/>
        <b/>
        <color rgb="FFFFFFFF"/>
        <sz val="24.0"/>
      </rPr>
      <t xml:space="preserve">
</t>
    </r>
    <r>
      <rPr>
        <rFont val="Arial"/>
        <b/>
        <color rgb="FFFCE5CD"/>
        <sz val="24.0"/>
      </rPr>
      <t>--&gt;</t>
    </r>
  </si>
  <si>
    <t>Liberia</t>
  </si>
  <si>
    <t>Excises are waived 100% for BEVs</t>
  </si>
  <si>
    <t>Libya</t>
  </si>
  <si>
    <t>150% tax deduction for investments in the production of electric and hydrogen-powered vehicles</t>
  </si>
  <si>
    <t>Togo</t>
  </si>
  <si>
    <t>Mali</t>
  </si>
  <si>
    <t>Togo exempted EVs from import taxes</t>
  </si>
  <si>
    <t>Mauritania</t>
  </si>
  <si>
    <t>Customs duties rates are reduced to 10% and value-added tax rate to 7% levied on electric car chargers.</t>
  </si>
  <si>
    <t>Government of Tunisia</t>
  </si>
  <si>
    <t>Motorists offered TD10,000 ($3,200) per car to switch to EVs</t>
  </si>
  <si>
    <t>Uganda</t>
  </si>
  <si>
    <t>Exempt hybrid and electric vehicles from import duty</t>
  </si>
  <si>
    <t>Niger</t>
  </si>
  <si>
    <t>Zambia</t>
  </si>
  <si>
    <t>Reduction of customs duty on electric vehicles from 30% to 15% and on electric motorcycles from 25% to 15%</t>
  </si>
  <si>
    <t>Sao Tome &amp; Principe</t>
  </si>
  <si>
    <t>Senegal</t>
  </si>
  <si>
    <t>Sierra Leone</t>
  </si>
  <si>
    <t>Legislation (draft)</t>
  </si>
  <si>
    <t>VAT reduction from 14.5% to 4.5% for 2022-2030</t>
  </si>
  <si>
    <t>Somalia</t>
  </si>
  <si>
    <t>South Sudan</t>
  </si>
  <si>
    <t>Sudan</t>
  </si>
  <si>
    <t>Tanzania</t>
  </si>
  <si>
    <r>
      <rPr>
        <rFont val="Arial"/>
        <b/>
        <color rgb="FFC9C7E9"/>
        <sz val="24.0"/>
      </rPr>
      <t xml:space="preserve">WB 
ENTERPRISE </t>
    </r>
    <r>
      <rPr>
        <rFont val="Arial"/>
        <b/>
        <color rgb="FFFFFFFF"/>
        <sz val="24.0"/>
      </rPr>
      <t xml:space="preserve">
</t>
    </r>
    <r>
      <rPr>
        <rFont val="Arial"/>
        <b/>
        <color rgb="FFC9C7E9"/>
        <sz val="24.0"/>
      </rPr>
      <t>SURVEYS 
&lt;--</t>
    </r>
  </si>
  <si>
    <t>Summary statistics [Percent added generation required (GWh) (30%)]</t>
  </si>
  <si>
    <t xml:space="preserve">Country name </t>
  </si>
  <si>
    <t>Max</t>
  </si>
  <si>
    <t>Min</t>
  </si>
  <si>
    <t>Average</t>
  </si>
  <si>
    <t>Median</t>
  </si>
  <si>
    <t>Indicator Name: 
EV Incentives</t>
  </si>
  <si>
    <t>Description: 
Records legislation that supports the deployment of electric vehicles (EVs) and zero-emission vehicles (ZEVs) in Africa.</t>
  </si>
  <si>
    <t>Scoring Categories: 
• No EV incentives = Low Readiness (1/3)
• Has EV incentives = High Readiness (3/3)</t>
  </si>
  <si>
    <t>Data Categories: 
• Tax Incentives
• Import Duties
• Financial Support
• Manufacturing Incentives</t>
  </si>
  <si>
    <t>Last Updated: 2023</t>
  </si>
  <si>
    <t>Sub-Category: 
Grid Infrastructure</t>
  </si>
  <si>
    <t>Indicator Name: 
Additional Generation for 30% EVs</t>
  </si>
  <si>
    <t>Description: 
Evaluates the additional electricity generation capacity needed to support 30% EV adoption relative to current capacity</t>
  </si>
  <si>
    <t>Calculation Method: 
See methodology note</t>
  </si>
  <si>
    <t>Scoring Categories: 
• Large expansion (&gt;25%) = Low Readiness (1/3)
• Medium expansion (25-10%) = Medium Readiness (2/3)
• Modest expansion (&lt;10%) = High Readiness (3/3)</t>
  </si>
  <si>
    <t>Key Statistics: 
• Minimum value: Cameroon (0.88%)
• Maximum value: Benin (899.73%)
• Median: 16.94%</t>
  </si>
  <si>
    <t>Data Sources: 
• Fuel consumption: Africa Energy Commission (2018)
• Electricity generation: U.S. EIA (2021)</t>
  </si>
  <si>
    <t>Note on use of SAIDI score</t>
  </si>
  <si>
    <t>The World Bank Enterprise Survey data for Angola was last collected in 2010, whereas the System Average Interruption Duration Index (SAIDI) data is available through 2019. Due to the recency of the SAIDI measurements, this analysis utilizes the SAIDI data as the primary metric for evaluating power reliability.</t>
  </si>
  <si>
    <t>The World Bank Enterprise Survey data for Cabo Verde was last collected in 2009, whereas the System Average Interruption Duration Index (SAIDI) data is available through 2019. Due to the recency of the SAIDI measurements, this analysis utilizes the SAIDI data as the primary metric for evaluating power reliability.</t>
  </si>
  <si>
    <t>The World Bank Enterprise Survey data for Eritrea was last collected in 2009, whereas the System Average Interruption Duration Index (SAIDI) data is available through 2014. Due to the recency of the SAIDI measurements, this analysis utilizes the SAIDI data as the primary metric for evaluating power reliability</t>
  </si>
  <si>
    <t>The World Bank Enterprise Survey data for Gabon was last collected in 2009, whereas the System Average Interruption Duration Index (SAIDI) data is available through 2019. Due to the recency of the SAIDI measurements, this analysis utilizes the SAIDI data as the primary metric for evaluating power reliability</t>
  </si>
  <si>
    <t>World Bank Enterprise Survey (WBES) data for Libya could not be sourced, whereas the System Average Interruption Duration Index (SAIDI) data is available through 2015. Due to the availability of SAIDI measurements, this analysis utilizes the SAIDI data as the primary metric for evaluating power reliability in Libya.</t>
  </si>
  <si>
    <t xml:space="preserve"> </t>
  </si>
  <si>
    <t>Summary statistics [Yearly average time without electricity (hours)]</t>
  </si>
  <si>
    <t>Standard deviation</t>
  </si>
  <si>
    <t>Current rate of motorization (2016) (number of vehicles per 1000 people)</t>
  </si>
  <si>
    <t>Scoring: 
Low: &lt;100, Medium: 100-200, 
High: &gt;200</t>
  </si>
  <si>
    <t>IRF, OICA, WHO, WorldData.info, 
Malawi Ministry of Transport, 
Agence Nationale de la Statistique et de la Demographie</t>
  </si>
  <si>
    <t>Indicator Name: 
Grid Reliability</t>
  </si>
  <si>
    <t>Description: 
Measures the reliability of a country's electricity grid through average annual outage hours, indicating the grid's ability to maintain consistent power supply</t>
  </si>
  <si>
    <t>Primary Calculation Method: 
See methodology note</t>
  </si>
  <si>
    <t>Summary Statistics: 
• Maximum: 8,849 hours (Congo, Rep.)
• Minimum: 0.72 hours (Morocco)
• Average: 718 hours
• Median: 235 hours
• Standard Deviation: 1,469 hours</t>
  </si>
  <si>
    <t>Data Sources: 
• Primary: World Bank Enterprise Surveys (consumer-reported data)
• Backup: World Bank SAIDI/SAIFI (utility-reported data)
Note: Combined approach used when primary data unavailable. World Bank Enterprise Surverys (WBES) used as primary source. SAIDI backup was used for the 
following countries: Algeria, Angola, Cabo Verde, Eswatini, Gabon, Libya</t>
  </si>
  <si>
    <t>Scoring Categories WBES &amp; SAIDI: 
• WBES: Low Reliability (&gt;250 hours) = Low Readiness (1/3)
• WBES: Medium Reliability (150-249 hours) = Medium Readiness (2/3)
• WBES: High Reliability (0-149 hours) = High Readiness (3/3)
• SAIDI: Low Reliability (&gt;20) = Low Readiness (1/3)
• SAIDI: Medium Reliability (5-20) = Medium Readiness (2/3)
• SAIDI: High Reliability (0-5) = High Readiness (3/3)</t>
  </si>
  <si>
    <t>https://www.enterprisesurveys.org/en/data/exploretopics/infrastructure</t>
  </si>
  <si>
    <t>Summary statistics
Current rate of motorization (2016) 
(number of vehicles per 1000 people)</t>
  </si>
  <si>
    <t>Sub-Category: 
Market</t>
  </si>
  <si>
    <t>Indicator Name: 
Current Rate of Motorization</t>
  </si>
  <si>
    <t>Description: 
Measures vehicle ownership per 1,000 people, including all registered motor vehicles</t>
  </si>
  <si>
    <t>Calculation Method: 
Motorization Rate = (Number of registered motor vehicles / Total population) × 1,000
• Base year: 2016</t>
  </si>
  <si>
    <t>Summary Statistics: 
• Maximum: 436.15 (Libya)
• Minimum: 0.73 (Djibouti)
• Average: 72.71
• Median: 32.87
• Standard Deviation: 100.24</t>
  </si>
  <si>
    <t>Scoring Categories: 
• Low (&lt;100 vehicles/1000 people)
• Medium (100-200 vehicles/1000 people)
• High (&gt;200 vehicles/1000 people)</t>
  </si>
  <si>
    <t>Reference Points: 
• EU Average: 560
• India: 159
• China: 210
• Vietnam: 544</t>
  </si>
  <si>
    <t>Data Sources: 
• Vehicle Data: Climate Compatible Growth Transport Starter Data Kits
• Population Data: World Bank (2016)
• Additional Sources: World Bank Global Road Safety Facility, CEIC Data, WHO</t>
  </si>
  <si>
    <t>ERI 2021</t>
  </si>
  <si>
    <t>ERI 2022</t>
  </si>
  <si>
    <t>Scoring: 
Low: 0-0.499, Medium: 0.500-0.799, High: 0.800+</t>
  </si>
  <si>
    <t># Public Chargers</t>
  </si>
  <si>
    <t>Scoring:
0-9 (low), 10-30 (medium), &gt;30 (high)</t>
  </si>
  <si>
    <t>AEP</t>
  </si>
  <si>
    <t xml:space="preserve">Electromaps </t>
  </si>
  <si>
    <t>Chargemap</t>
  </si>
  <si>
    <t>Summary statistics
ERI</t>
  </si>
  <si>
    <t>Sub-Category: 
Power Sector Maturity</t>
  </si>
  <si>
    <t>Indicator Name: 
Electricity Regulatory Index (ERI)</t>
  </si>
  <si>
    <t>Description: 
Annual index by African Development Bank (AfDB) that evaluates countries' regulatory and legal environment for electricity</t>
  </si>
  <si>
    <t>Scoring Categories: 
• Low (&lt;0.5) = Low Readiness (1/3)
• Medium (0.5-0.8) = Medium Readiness (2/3)
• High (&gt;0.8) = High Readiness (3/3)</t>
  </si>
  <si>
    <t>Summary Statistics (2022): 
• Maximum: 0.85 (Uganda)
• Minimum: 0.10 (Congo)
• Average: 0.50
• Median: 0.53
• Standard Deviation: 0.19</t>
  </si>
  <si>
    <t>Coverage Note: 
• Data available for 43 countries
• 11 countries marked as 'Not Found'</t>
  </si>
  <si>
    <t>Methodology Note: 
• Based on AfDB's ERI scoring system
• Medium category combines two original ERI medium categories
• Latest dataset from 2022</t>
  </si>
  <si>
    <t>Data Source: 
• African Development Bank (AfDB)</t>
  </si>
  <si>
    <t>Summary statistics
Number of Public Chargers</t>
  </si>
  <si>
    <t>Indicator Name: 
EV Charging Infrastructure</t>
  </si>
  <si>
    <t>Description: 
The number of public EV charging stations in a country</t>
  </si>
  <si>
    <t>Calculation Method: 
Count of public EV charging stations
• Data extracted: July 2024</t>
  </si>
  <si>
    <t>Summary Statistics: 
• Based on the spread of African EV charging point data</t>
  </si>
  <si>
    <t>Scoring Categories: 
• Low (&lt;10 charging stations)
• Medium (10-30 charging stations)
• High (&gt;30 charging stations)</t>
  </si>
  <si>
    <t>Reference Points: 
• Bounds are based on regional benchmarking</t>
  </si>
  <si>
    <t>Data Sources: 
• Electromap
• ChargeMap</t>
  </si>
  <si>
    <t>T</t>
  </si>
  <si>
    <t>Utilitlty Financial Solvency 
(Operating and debt service cost recovery, including subsidies)</t>
  </si>
  <si>
    <t xml:space="preserve">Utility name </t>
  </si>
  <si>
    <t>Utility type</t>
  </si>
  <si>
    <t>Year</t>
  </si>
  <si>
    <t>Scoring: 
Low: &lt;85%, Medium: 85%-100%, High: &gt;100%</t>
  </si>
  <si>
    <t>ENDE</t>
  </si>
  <si>
    <t>Distribution</t>
  </si>
  <si>
    <t>https://utilityperformance.energydata.info/utilities/ENDE</t>
  </si>
  <si>
    <t>SBEE</t>
  </si>
  <si>
    <t>VIU</t>
  </si>
  <si>
    <t>https://utilityperformance.energydata.info/utilities/SBEE</t>
  </si>
  <si>
    <t>BPC</t>
  </si>
  <si>
    <t>https://utilityperformance.energydata.info/utilities/BPC</t>
  </si>
  <si>
    <t>SONABEL</t>
  </si>
  <si>
    <t>https://utilityperformance.energydata.info/utilities/SONABEL</t>
  </si>
  <si>
    <t>REGIDESO</t>
  </si>
  <si>
    <t>https://utilityperformance.energydata.info/utilities/REGIDESO</t>
  </si>
  <si>
    <t>ELECTRA</t>
  </si>
  <si>
    <t>https://utilityperformance.energydata.info/utilities/ELECTRA</t>
  </si>
  <si>
    <t>Eneo</t>
  </si>
  <si>
    <t>https://utilityperformance.energydata.info/utilities/Eneo</t>
  </si>
  <si>
    <t>ENERCA</t>
  </si>
  <si>
    <t>https://utilityperformance.energydata.info/utilities/ENERCA</t>
  </si>
  <si>
    <t>SNE</t>
  </si>
  <si>
    <t>https://utilityperformance.energydata.info/utilities/SNE</t>
  </si>
  <si>
    <t>SONELEC</t>
  </si>
  <si>
    <t>https://utilityperformance.energydata.info/utilities/SONELEC</t>
  </si>
  <si>
    <t>CIE</t>
  </si>
  <si>
    <t>https://utilityperformance.energydata.info/utilities/CIE</t>
  </si>
  <si>
    <t>SNEL</t>
  </si>
  <si>
    <t>https://utilityperformance.energydata.info/utilities/SNEL</t>
  </si>
  <si>
    <t>EEC</t>
  </si>
  <si>
    <t>https://utilityperformance.energydata.info/utilities/EEC</t>
  </si>
  <si>
    <t>EEU</t>
  </si>
  <si>
    <t>https://utilityperformance.energydata.info/utilities/EEU</t>
  </si>
  <si>
    <t>SEEG</t>
  </si>
  <si>
    <t>https://utilityperformance.energydata.info/utilities/SEEG</t>
  </si>
  <si>
    <t>NAWEC</t>
  </si>
  <si>
    <t>https://utilityperformance.energydata.info/utilities/NAWEC</t>
  </si>
  <si>
    <t>ECG</t>
  </si>
  <si>
    <t>https://utilityperformance.energydata.info/utilities/ECG</t>
  </si>
  <si>
    <t>EDG</t>
  </si>
  <si>
    <t>https://utilityperformance.energydata.info/utilities/EDG</t>
  </si>
  <si>
    <t>EAGB</t>
  </si>
  <si>
    <t>https://utilityperformance.energydata.info/utilities/EAGB</t>
  </si>
  <si>
    <t>KPLC</t>
  </si>
  <si>
    <t>Transmission and Distribution</t>
  </si>
  <si>
    <t>https://utilityperformance.energydata.info/utilities/KPLC</t>
  </si>
  <si>
    <t>LEC</t>
  </si>
  <si>
    <t>https://utilityperformance.energydata.info/utilities/LEC_Les</t>
  </si>
  <si>
    <t>https://utilityperformance.energydata.info/utilities/LEC_Lib</t>
  </si>
  <si>
    <t>JIRAMA</t>
  </si>
  <si>
    <t>https://utilityperformance.energydata.info/utilities/JIRAMA</t>
  </si>
  <si>
    <t>ESCOM</t>
  </si>
  <si>
    <t>https://utilityperformance.energydata.info/utilities/ESCOM</t>
  </si>
  <si>
    <t>EDM</t>
  </si>
  <si>
    <t>https://utilityperformance.energydata.info/utilities/EDM_Mal</t>
  </si>
  <si>
    <t>SOMELEC</t>
  </si>
  <si>
    <t>https://utilityperformance.energydata.info/utilities/SOMELEC</t>
  </si>
  <si>
    <t>CEB</t>
  </si>
  <si>
    <t>https://utilityperformance.energydata.info/utilities/CEB</t>
  </si>
  <si>
    <t>LYDEC</t>
  </si>
  <si>
    <t>https://utilityperformance.energydata.info/utilities/LYDEC</t>
  </si>
  <si>
    <t>https://utilityperformance.energydata.info/utilities/EDM_Moz</t>
  </si>
  <si>
    <t>NamPower</t>
  </si>
  <si>
    <t>https://utilityperformance.energydata.info/utilities/NamPower</t>
  </si>
  <si>
    <t>NIGELEC</t>
  </si>
  <si>
    <t>https://utilityperformance.energydata.info/utilities/NIGELEC</t>
  </si>
  <si>
    <t>AEDC, BEDC, EEDC, EKEDC, IBEDC, Ikeja, Jos, KEDCO, Kaduna, PHED, YEDC</t>
  </si>
  <si>
    <t>https://utilityperformance.energydata.info/utilities/AEDC_N
https://utilityperformance.energydata.info/utilities/BEDC
https://utilityperformance.energydata.info/utilities/EEDC
https://utilityperformance.energydata.info/utilities/EKEDC
https://utilityperformance.energydata.info/utilities/IBEDC
https://utilityperformance.energydata.info/utilities/Ikeja
https://utilityperformance.energydata.info/utilities/Jos
https://utilityperformance.energydata.info/utilities/KEDCO
https://utilityperformance.energydata.info/utilities/Kaduna
https://utilityperformance.energydata.info/utilities/PHED
https://utilityperformance.energydata.info/utilities/YEDC</t>
  </si>
  <si>
    <t>EUCL</t>
  </si>
  <si>
    <t>https://utilityperformance.energydata.info/utilities/EUCL</t>
  </si>
  <si>
    <t>EMAE</t>
  </si>
  <si>
    <t>https://utilityperformance.energydata.info/utilities/EMAE</t>
  </si>
  <si>
    <t>Senelec</t>
  </si>
  <si>
    <t>https://utilityperformance.energydata.info/utilities/Senelec</t>
  </si>
  <si>
    <t>Commercial electricity price ($/kWh) - 2022</t>
  </si>
  <si>
    <t>Gasoline pump price ($/L) - 2022</t>
  </si>
  <si>
    <t>PUC</t>
  </si>
  <si>
    <t>ICE fuel cost</t>
  </si>
  <si>
    <t>https://utilityperformance.energydata.info/utilities/PUC_S</t>
  </si>
  <si>
    <t>EV fuel cost</t>
  </si>
  <si>
    <t>EV Charging Relative Affordability</t>
  </si>
  <si>
    <t>Scoring: 
EV pricier (&gt;1) Comparable (0.75-1) , EV cheaper (&lt;0.75)</t>
  </si>
  <si>
    <t>EDSA</t>
  </si>
  <si>
    <t>https://utilityperformance.energydata.info/utilities/EDSA</t>
  </si>
  <si>
    <t>ESKOM</t>
  </si>
  <si>
    <t>https://utilityperformance.energydata.info/utilities/ESKOM</t>
  </si>
  <si>
    <t>SEDC</t>
  </si>
  <si>
    <t>Climatescope, BloombergNEF, GlobalPetrolPrices, United States Environmental Protection Agency (EPA), 2017 Ford Focus Electric efficiency data, 2017 Ford Focus FWD regular gasoline efficiency data, Kenya energy regulatory authority</t>
  </si>
  <si>
    <t>https://utilityperformance.energydata.info/utilities/SEDC</t>
  </si>
  <si>
    <t>TANESCO</t>
  </si>
  <si>
    <t>https://utilityperformance.energydata.info/utilities/TANESCO</t>
  </si>
  <si>
    <t>CEET</t>
  </si>
  <si>
    <t>https://utilityperformance.energydata.info/utilities/CEET</t>
  </si>
  <si>
    <t>STEG</t>
  </si>
  <si>
    <t>https://utilityperformance.energydata.info/utilities/STEG</t>
  </si>
  <si>
    <t>UMEME</t>
  </si>
  <si>
    <t>https://utilityperformance.energydata.info/utilities/UMEME</t>
  </si>
  <si>
    <t>ZESCO</t>
  </si>
  <si>
    <t>https://utilityperformance.energydata.info/utilities/ZESCO</t>
  </si>
  <si>
    <t>ZETDC</t>
  </si>
  <si>
    <t>https://utilityperformance.energydata.info/utilities/ZETDC</t>
  </si>
  <si>
    <t>Summary statistics 
Operating and Debt Service Cost 
Recovery Including Subsidies</t>
  </si>
  <si>
    <t>Indicator Name: 
Utility Cost Recovery</t>
  </si>
  <si>
    <t>Description: 
Measures operating and debt service cost recovery (including subsidies) for largest national utility</t>
  </si>
  <si>
    <t>Scoring Categories: 
• Low (&lt;85%) = Low Readiness (1/3)
• Medium (85-100%) = Medium Readiness (2/3)
• High (&gt;100%) = High Readiness (3/3)</t>
  </si>
  <si>
    <t>Summary Statistics: 
• Maximum: 113.56% (Burundi)
• Minimum: 44.25% (Central African Republic)
• Average: 87%
• Median: 90.68%
• Standard Deviation: 0.19</t>
  </si>
  <si>
    <t>Methodology Note: 
• 100% = Breaking even
• &gt;100% = Operating surplus
• &lt;100% = Operating loss
• Data includes VIU, Distribution, or Transmission and Distribution utilities</t>
  </si>
  <si>
    <t>Rationale: 
• Aligned with World Bank UPBEAT report findings
• Reflects conventional cost recovery bounds
• Incorporates profitable breaking point into index</t>
  </si>
  <si>
    <t>Data Source: 
• World Bank Utility Performance and Behavior Transformation (UPBEAT) Database</t>
  </si>
  <si>
    <t>Access to Finance
(Borrowed any money 
from a formal financial institution 
or using a mobile money account (% age 15+))</t>
  </si>
  <si>
    <t>Scoring:
Low:&lt;20%, Medium: 20-40%, High: &gt;40%</t>
  </si>
  <si>
    <t>World Bank Global Findex, 2021</t>
  </si>
  <si>
    <t>Summary statistics 
Borrowed any money 
from a formal financial institution 
or using a mobile money account (% age 15+)</t>
  </si>
  <si>
    <t>Sub-Category: 
EV Affordability</t>
  </si>
  <si>
    <t>Indicator Name: 
Access to Finance</t>
  </si>
  <si>
    <t>Description: 
Measures the percentage of adults (age 15+) who have borrowed money from a formal financial institution or using a mobile money account</t>
  </si>
  <si>
    <t>Scoring Categories: 
• Low (&lt;20%) = Low Readiness (1/3)
• Medium (20-40%) = Medium Readiness (2/3)
• High (&gt;40%) = High Readiness (3/3)</t>
  </si>
  <si>
    <t>Summary Statistics: 
• Maximum: 40.0% (Kenya)
• Minimum: 3.0% (South Sudan)
• Average: 12.6%
• Median: 10.5%
• Standard Deviation: 7.9%</t>
  </si>
  <si>
    <t>Scoring Rationale: 
• World average: 30%
• High-income countries average: 56%
• Regional benchmarks: Middle East (11%), South Asia (12%), SSA (14%)</t>
  </si>
  <si>
    <t>Data Coverage: 
• Latest available data (primarily 2021-2022)
• Some countries have older or no data</t>
  </si>
  <si>
    <t>Data Source: 
• World Bank Global Findex Database</t>
  </si>
  <si>
    <t>Summary statistics
EV Charging Relative Affordability</t>
  </si>
  <si>
    <t>Indicator Name: 
Relative Affordability</t>
  </si>
  <si>
    <t>Description: 
Compares the cost of operating an EV versus an ICE vehicle over 100 miles, expressed as a ratio of EV to ICE fuel costs</t>
  </si>
  <si>
    <t>Scoring Categories: 
• EV Pricier (&gt;1) = Low Readiness (1/3)
• Comparable (0.75-1) = Medium Readiness (2/3)
• EV Cheaper (&lt;0.75) = High Readiness (3/3)</t>
  </si>
  <si>
    <t>Summary Statistics: 
• Maximum: 3.41 (Libya)
• Minimum: 0.04 (Lesotho)
• Average: 0.38
• Median: 0.28
• Standard Deviation: 0.46</t>
  </si>
  <si>
    <t>Interpretation: 
• Ratio &lt;0.75: EV costs 25% less than ICE
• Ratio 0.75-1: EV and ICE costs comparable
• Ratio &gt;1: EV costs more than ICE</t>
  </si>
  <si>
    <t>Data Sources: 
• Commercial electricity prices (2022)
• Gasoline pump prices (2022)</t>
  </si>
  <si>
    <t>Electricity net generation (billion kWh)</t>
  </si>
  <si>
    <t>Nuclear</t>
  </si>
  <si>
    <t>Renewables</t>
  </si>
  <si>
    <t>Fossil Fuels</t>
  </si>
  <si>
    <t>% Clean</t>
  </si>
  <si>
    <t>% Dirty</t>
  </si>
  <si>
    <t>Scoring: 
Low: &lt;33%, Medium:33%-66%, High: &gt;66%</t>
  </si>
  <si>
    <t>U.S. Energy Information Administration</t>
  </si>
  <si>
    <t>Summary statistics 
Electricity Generated 
from Clean Energy</t>
  </si>
  <si>
    <t>Index Category: 
EV Impact Index - Measures broader benefits of EV adoption</t>
  </si>
  <si>
    <t>Sub-Category: 
Climate</t>
  </si>
  <si>
    <t>Indicator Name: 
Electricity Generated from Clean Energy</t>
  </si>
  <si>
    <t>Description: 
Measures the percentage of total electricity generation from clean energy sources (nuclear and renewables) across African countries</t>
  </si>
  <si>
    <t>Calculation Method: 
Clean Energy % = (Nuclear + Renewables Generation) ÷ Total Electricity Generation × 100</t>
  </si>
  <si>
    <t>Scoring Categories: 
• Low (&lt;33.33%) = Low Impact (1/3)
• Medium (33.33-66.67%) = Medium Impact (2/3)
• High (&gt;66.67%) = High Impact (3/3)</t>
  </si>
  <si>
    <t>Summary Statistics: 
• Maximum: 100.0% (Lesotho)
• Minimum: 0.0% (Botswana)
• Average: 39.5%
• Median: 28.5%
• Standard Deviation: 34.6%</t>
  </si>
  <si>
    <t>Scoring Rationale: 
• Equal thirds distribution chosen over global benchmarks
• Global benchmarks (2021 IRENA data):
  - 33rd percentile: 12.67%
  - 66th percentile: 42.51%</t>
  </si>
  <si>
    <t>Data Source: 
• U.S. Energy Information Administration (EIA)</t>
  </si>
  <si>
    <t>CO2 from fuel combustion</t>
  </si>
  <si>
    <t>population</t>
  </si>
  <si>
    <t>Transport CO2</t>
  </si>
  <si>
    <t>% of CO2 from Transport</t>
  </si>
  <si>
    <t>urban_pm25</t>
  </si>
  <si>
    <t>Scoring: 
Low: 0-33%, Medium: 33%-66.67%, High: 66.67%-100%</t>
  </si>
  <si>
    <t>no2_ug_m3</t>
  </si>
  <si>
    <t>co_ppb</t>
  </si>
  <si>
    <t>sub_pm</t>
  </si>
  <si>
    <t>sub_no2</t>
  </si>
  <si>
    <t>sub_co</t>
  </si>
  <si>
    <t>custom_urban_AQI_2019</t>
  </si>
  <si>
    <t>category (from June)</t>
  </si>
  <si>
    <t>Scoring: 
Low: &lt;100, Medium:100-200, High: &gt;200</t>
  </si>
  <si>
    <t>high</t>
  </si>
  <si>
    <t>World Health Organization Global Health Observatory database, TROPOMI satellite instrument</t>
  </si>
  <si>
    <t>Greenhouse Gas Emissions from Energy, IEA</t>
  </si>
  <si>
    <t>very_high</t>
  </si>
  <si>
    <t>Gasoline_Diesel imports</t>
  </si>
  <si>
    <t>Gasoline_Diesel Exports</t>
  </si>
  <si>
    <t>Net imports</t>
  </si>
  <si>
    <t>Final gasoline_diesel consumption transport</t>
  </si>
  <si>
    <t>Net imports percent</t>
  </si>
  <si>
    <t>moderate</t>
  </si>
  <si>
    <t>Consumption/Net Imports</t>
  </si>
  <si>
    <t>World Energy Balances, IEA</t>
  </si>
  <si>
    <t>Exports/Imports</t>
  </si>
  <si>
    <t>Scoring:
Low: &lt;33.33%, Medium: 33.33-66.67%, High: &gt;66.67%</t>
  </si>
  <si>
    <t>Score(s)</t>
  </si>
  <si>
    <t>serious</t>
  </si>
  <si>
    <t>Summary statistics
Fossil Fuel Subsidy Burden</t>
  </si>
  <si>
    <t>Summary statistics
Custom Composite Urban AQI</t>
  </si>
  <si>
    <t xml:space="preserve">
GDP US$ bn (World Bank 2022)</t>
  </si>
  <si>
    <t>Gasoline - Consumer Explicit Subsidies,
US$ billions (2022)</t>
  </si>
  <si>
    <t>Diesel - Consumer Explicit Subsidies,
US$ billions (2022)</t>
  </si>
  <si>
    <t>Subsidy Burden 
% of GDP</t>
  </si>
  <si>
    <t>Subsidy Burden 
US$</t>
  </si>
  <si>
    <t>Scoring: 
None 0%, Medium 0-0.5%, High: &gt;0.5%</t>
  </si>
  <si>
    <t>IMF Fossil Fuel Subsidies Data: 2023 Update</t>
  </si>
  <si>
    <t>Sub-Category: 
Financial</t>
  </si>
  <si>
    <t>Indicator Name: 
Fossil Fuel Import Dependence</t>
  </si>
  <si>
    <t>Description: 
Measures country's dependence on fossil fuel imports for transportation, calculated as net imports normalized by total consumption</t>
  </si>
  <si>
    <t>Summary Statistics: 
• Maximum: 600.00% (Eritrea)
• Minimum: -80.60% (Niger)
• Average: 136.24%
• Median: 121.75%
• Standard Deviation: 104.93%</t>
  </si>
  <si>
    <t>Scoring Rationale: 
• Higher import dependence indicates greater potential benefit from EV transition
• Net exporters or low consumers have less to gain from EV transition</t>
  </si>
  <si>
    <t>Components Measured: 
• Gasoline imports/exports
• Diesel imports/exports
• Transport sector consumption</t>
  </si>
  <si>
    <t>[IMF data download]</t>
  </si>
  <si>
    <t>Sub-Category: 
Public Health</t>
  </si>
  <si>
    <t>Indicator Name: 
Urban Air Quality</t>
  </si>
  <si>
    <t>Description: 
Measures urban air quality using a composite Air Quality Index that considers multiple pollutants with emphasis on vehicle emissions</t>
  </si>
  <si>
    <t>Components Measured: 
• Urban PM2.5
• Nitrogen Dioxide (NO2)
• Carbon Monoxide (CO)</t>
  </si>
  <si>
    <t>Summary statistics
CO2 from Transportation</t>
  </si>
  <si>
    <t>Summary Statistics: 
• Maximum: 417.96 (Sierra Leone)
• Minimum: 141.51 (Somalia)
• Average: 237.01
• Median: 223.87
• Standard Deviation: 64.38</t>
  </si>
  <si>
    <t>Scoring Categories: 
• Low (AQI &lt;100) = Low Impact (1/3)
• Medium (AQI 100-200) = Medium Impact (2/3)
• High (AQI &gt;200) = High Impact (3/3)</t>
  </si>
  <si>
    <t>Methodology Note: 
• Based on US EPA AQI categories
• Combines measurements of key vehicle emission pollutants
• Weighted to reflect vehicle emission contributions</t>
  </si>
  <si>
    <t>Data Sources: 
• Ground-level measurements
• Satellite remote sensing
• Population demographics
• Latest data: 2019</t>
  </si>
  <si>
    <t>Indicator Name: 
% CO2 from Transportation</t>
  </si>
  <si>
    <t>Description: 
Measures the percentage of CO2 emissions from transportation relative to total CO2 emissions from fuel combustion</t>
  </si>
  <si>
    <t>Scoring Categories: 
• Low (&lt;33.33%) = Low Impact (1/3)
• Medium (33-66.67%) = Medium Impact (2/3)
• High (&gt;66.67%) = High Impact (3/3)</t>
  </si>
  <si>
    <t>Summary Statistics: 
• Maximum: 99.63% (DR Congo)
• Minimum: 7.51% (Gabon)
• Average: 46%
• Median: 45%
• Standard Deviation: 20%</t>
  </si>
  <si>
    <t>Scoring Rationale: 
• Equal thirds distribution chosen due to varying national contexts
• Accounts for differences in:
  - Level of industrialization
  - Energy/electricity generation sources
  - Transportation infrastructure</t>
  </si>
  <si>
    <t>Reference Point: 
• US transportation sector: 28% of total GHG emissions (2022)</t>
  </si>
  <si>
    <t>Data Source: 
• International Energy Agency (IEA)(2021)</t>
  </si>
  <si>
    <t>Summary statistics
Subsidy Burden $ (Explicit)</t>
  </si>
  <si>
    <t>Summary statistics
Subsidy Burden % (Explicit)</t>
  </si>
  <si>
    <t>Final Consumption 
Transport Oil Products 
(Gas &amp; Diesel) ktoe</t>
  </si>
  <si>
    <t>Net Electricity Generation 
(GWh) (EIA 2021)</t>
  </si>
  <si>
    <t>Transport 
EV Consumption (ktoe)</t>
  </si>
  <si>
    <t>Potential 30 Percent EV 
cons (GWh)</t>
  </si>
  <si>
    <t>Total Cons with EVs 
(GWh)</t>
  </si>
  <si>
    <t>% Added Gen Required</t>
  </si>
  <si>
    <t>Potential EV Cons (GWh)</t>
  </si>
  <si>
    <t>Commercial Elec Price 
($/kWh, 2022)</t>
  </si>
  <si>
    <t>EV Revenue ($) (millions)</t>
  </si>
  <si>
    <t>Scoring: 
Low: &lt;$30M, Medium: $30-$110M, High: &gt;$110M</t>
  </si>
  <si>
    <t>Indicator Name: 
Fossil Fuel Subsidy Burden</t>
  </si>
  <si>
    <t>Description: 
State expenditure on explicit subsidies for gasoline and diesel consumers expressed as a % of GDP</t>
  </si>
  <si>
    <t>Summary Statistics: 
• Average: 0.57%
• Median: 0%
• Note: 48 out of 54 African countries recorded no explicit subsidies</t>
  </si>
  <si>
    <r>
      <rPr>
        <rFont val="Arial"/>
        <color theme="1"/>
      </rPr>
      <t xml:space="preserve">EIA 
</t>
    </r>
    <r>
      <rPr>
        <rFont val="Arial"/>
        <i/>
        <color theme="1"/>
        <sz val="5.0"/>
      </rPr>
      <t>Note: Current Revenue = Current electricity generation (Indicator 7) × Electricity tariff (Indicator 5)
Additional Revenue = Additional electricity generation from EV adoption (Indicator 7) × Electricity tariff (Indicator 5)
Total Revenue (Projected Potential Revenue) = Current Revenue + Additional Revenue</t>
    </r>
  </si>
  <si>
    <t>Scoring Categories: 
• Low (0%) = Low Impact (1/3)
• Medium (&gt;0% to 0.5%) = Medium Impact (2/3)
• High (&gt;0.5%) = High Impact (3/3)</t>
  </si>
  <si>
    <t>Scoring Rationale: 
• Fuel subsidies can be costly expense for state treasuries
• Subsidy burden as % of GDP provides a comparable data point between countries
• Average subsidy burden in Africa (0.57%) used as guide for medium category</t>
  </si>
  <si>
    <t>Components Measured: 
• Explicit subsidies for gasoline consumers
• Explicit subsidies for diesel consumers
• Expressed as percentage of national GDP</t>
  </si>
  <si>
    <t>Summary statistics
Utility Revenue Potential</t>
  </si>
  <si>
    <t>Indicator Name: 
Utility Revenue Potential</t>
  </si>
  <si>
    <t>Description: 
Potential utility revenues from selling electricity if 30% of current road transport fleet is electrified</t>
  </si>
  <si>
    <t>Calculation Method: 
Based on data from AFREC (ktoe), EIA (electricity generation), Climatescope (electricity tariffs)
Data Date Range: 2021</t>
  </si>
  <si>
    <t>Summary Statistics: 
• 33rd percentile: $30.3M
• 66th percentile: $109.4M</t>
  </si>
  <si>
    <t>Scoring Categories: 
• Low (&lt;$30M) = Low Impact (1/3)
• Medium ($30M-$110M) = Medium Impact (2/3)
• High (&gt;$110M) = High Impact (3/3)</t>
  </si>
  <si>
    <t>Scoring Rationale: 
• Electricity sales from EVs could be a new revenue source for beleaguered power utilities on the continent
• Scoring categories based on 33rd and 66th percentiles to create regional benchmarking</t>
  </si>
  <si>
    <t>Components Measured: 
• Potential utility revenues from EV electricity sales
• Based on 30% electrification of current road transport fleet</t>
  </si>
  <si>
    <t>GNI per capita (2050)</t>
  </si>
  <si>
    <t>Rate of motorization (2050) (number of vehicles per 1000 people)</t>
  </si>
  <si>
    <t>Scoring: 
Low: &lt;100, Medium: 100-200, High: &gt;200</t>
  </si>
  <si>
    <t>Source - GNI</t>
  </si>
  <si>
    <t>Source - Motorization Rate</t>
  </si>
  <si>
    <t>IRF, OICA, WHO, WorldData.info, Malawi Ministry of Transport, Agence Nationale de la Statistique et de la Demographie</t>
  </si>
  <si>
    <t>Summary statistics
Projected Rate of Motorization 2050</t>
  </si>
  <si>
    <t>Readiness - readiness to adopt and support a vehicle fleet of EVs</t>
  </si>
  <si>
    <t>Average 
(Excluding 
Enabling Policies)</t>
  </si>
  <si>
    <t>Grid</t>
  </si>
  <si>
    <t>Affordability</t>
  </si>
  <si>
    <r>
      <rPr>
        <rFont val="Arial"/>
        <b/>
      </rPr>
      <t xml:space="preserve">National Target (2023) </t>
    </r>
    <r>
      <rPr>
        <rFont val="Arial"/>
        <b/>
        <color rgb="FF1155CC"/>
        <u/>
      </rPr>
      <t>link</t>
    </r>
  </si>
  <si>
    <r>
      <rPr>
        <rFont val="Arial"/>
        <b/>
      </rPr>
      <t xml:space="preserve">EV Incentives (2023) </t>
    </r>
    <r>
      <rPr>
        <rFont val="Arial"/>
        <b/>
        <color rgb="FF1155CC"/>
        <u/>
      </rPr>
      <t>link</t>
    </r>
  </si>
  <si>
    <r>
      <rPr>
        <b/>
      </rPr>
      <t xml:space="preserve">Additional Capacity for 30% EVs (multiplication factor) (2016-2022) </t>
    </r>
    <r>
      <rPr>
        <b/>
        <color rgb="FF1155CC"/>
        <u/>
      </rPr>
      <t>link</t>
    </r>
  </si>
  <si>
    <r>
      <rPr>
        <b/>
      </rPr>
      <t xml:space="preserve">Reliability (yearly average time without electricity, hours, various dates. SAIDI scores in yellow highlight. WBES scores w/o hightlight) (2010-2023) </t>
    </r>
    <r>
      <rPr>
        <b/>
        <color rgb="FF1155CC"/>
        <u/>
      </rPr>
      <t>link</t>
    </r>
  </si>
  <si>
    <t>Sub-Category: 
Market Potential</t>
  </si>
  <si>
    <r>
      <rPr>
        <b/>
      </rPr>
      <t xml:space="preserve">Current Rate of Motorization (2016) </t>
    </r>
    <r>
      <rPr>
        <b/>
        <color rgb="FF1155CC"/>
        <u/>
      </rPr>
      <t>link</t>
    </r>
  </si>
  <si>
    <t>Indicator Name: 
Projected Rate of Motorization 2050</t>
  </si>
  <si>
    <r>
      <rPr>
        <b/>
      </rPr>
      <t xml:space="preserve">EV Charging Infrastructure (2024) </t>
    </r>
    <r>
      <rPr>
        <b/>
        <color rgb="FF1155CC"/>
        <u/>
      </rPr>
      <t>link</t>
    </r>
  </si>
  <si>
    <t>Description: 
Projects the number of passenger vehicles per 1,000 inhabitants by 2050, indicating potential scale of EV market impacts</t>
  </si>
  <si>
    <t>Summary Statistics: 
• Maximum: 739.30 vehicles/1000 people (Seychelles)
• Minimum: 20.60 vehicles/1000 people (Central African Republic)
• Average: 150.23 vehicles/1000 people
• Median: 104.47 vehicles/1000 people
• Standard Deviation: 141.10</t>
  </si>
  <si>
    <r>
      <rPr>
        <b/>
      </rPr>
      <t xml:space="preserve">ERI Score (2022) </t>
    </r>
    <r>
      <rPr>
        <b/>
        <color rgb="FF1155CC"/>
        <u/>
      </rPr>
      <t>link</t>
    </r>
  </si>
  <si>
    <t>Scoring Categories: 
• Low (&lt;100 vehicles/1000 people) = Low Impact (1/3)
• Medium (100-200 vehicles/1000 people) = Medium Impact (2/3)
• High (&gt;200 vehicles/1000 people) = High Impact (3/3)</t>
  </si>
  <si>
    <t>Reference Points: 
• EU Average: 560 vehicles/1000 people
• India: 159 vehicles/1000 people
• China: 210 vehicles/1000 people
• Vietnam: 544 vehicles/1000 people</t>
  </si>
  <si>
    <r>
      <rPr>
        <b/>
      </rPr>
      <t xml:space="preserve">Operating cost and debt service recovery, including subsidies (2019) </t>
    </r>
    <r>
      <rPr>
        <b/>
        <color rgb="FF1155CC"/>
        <u/>
      </rPr>
      <t>link</t>
    </r>
  </si>
  <si>
    <t>Methodology Note: 
• Based on projected GNI per capita for 2050
• Considers current motorization trends
• Accounts for economic development patterns</t>
  </si>
  <si>
    <r>
      <rPr>
        <b/>
      </rPr>
      <t xml:space="preserve">Relative Affordability - Gas vs Charging (EV cost per 100 miles / ICE cost per 100 miles) (2022-2024) </t>
    </r>
    <r>
      <rPr>
        <b/>
        <color rgb="FF1155CC"/>
        <u/>
      </rPr>
      <t>link</t>
    </r>
  </si>
  <si>
    <r>
      <rPr>
        <b/>
        <sz val="10.0"/>
      </rPr>
      <t xml:space="preserve">Borrowed any money 
from a formal financial institution 
or using a mobile money account (% age 15+) </t>
    </r>
    <r>
      <rPr>
        <b/>
        <color rgb="FF1155CC"/>
        <sz val="10.0"/>
        <u/>
      </rPr>
      <t>link</t>
    </r>
  </si>
  <si>
    <t>Average 
(Including 
Enabling Policies)</t>
  </si>
  <si>
    <t>Category scores for country averages</t>
  </si>
  <si>
    <t xml:space="preserve">Impact - potential utility from EV adoption 
</t>
  </si>
  <si>
    <r>
      <rPr>
        <b/>
      </rPr>
      <t xml:space="preserve">% Electricity generated from clean energy (2021) </t>
    </r>
    <r>
      <rPr>
        <b/>
        <color rgb="FF1155CC"/>
        <u/>
      </rPr>
      <t>link</t>
    </r>
  </si>
  <si>
    <r>
      <rPr>
        <b/>
      </rPr>
      <t xml:space="preserve">% CO2 Emissions from Transport (2020) </t>
    </r>
    <r>
      <rPr>
        <b/>
        <color rgb="FF1155CC"/>
        <u/>
      </rPr>
      <t>link</t>
    </r>
  </si>
  <si>
    <r>
      <rPr>
        <b/>
      </rPr>
      <t xml:space="preserve">Urban Air Quality (Custom AQI) (2019) </t>
    </r>
    <r>
      <rPr>
        <b/>
        <color rgb="FF1155CC"/>
        <u/>
      </rPr>
      <t>link</t>
    </r>
  </si>
  <si>
    <r>
      <rPr>
        <b/>
      </rPr>
      <t xml:space="preserve">Projected rate of motorization (2050) </t>
    </r>
    <r>
      <rPr>
        <b/>
        <color rgb="FF1155CC"/>
        <u/>
      </rPr>
      <t>link</t>
    </r>
  </si>
  <si>
    <r>
      <rPr>
        <b/>
      </rPr>
      <t xml:space="preserve">Fossil Fuel Dependence (Ratio of transportation fuel consumption to net imports by country) (2021) </t>
    </r>
    <r>
      <rPr>
        <b/>
        <color rgb="FF1155CC"/>
        <u/>
      </rPr>
      <t>link</t>
    </r>
  </si>
  <si>
    <r>
      <rPr>
        <b/>
      </rPr>
      <t xml:space="preserve">Subsidy Burden (% of GDP, gasoline &amp; diesel, explicit subsidies) (2023) </t>
    </r>
    <r>
      <rPr>
        <b/>
        <color rgb="FF1155CC"/>
        <u/>
      </rPr>
      <t>link</t>
    </r>
  </si>
  <si>
    <r>
      <rPr>
        <b/>
      </rPr>
      <t xml:space="preserve">Utility Revenue Potential ($, 30% EVs) (2021) </t>
    </r>
    <r>
      <rPr>
        <b/>
        <color rgb="FF1155CC"/>
        <u/>
      </rPr>
      <t>link</t>
    </r>
  </si>
  <si>
    <t xml:space="preserve">Not included in map due to lack of sufficient data </t>
  </si>
  <si>
    <t>Readiness Score</t>
  </si>
  <si>
    <t>Rank</t>
  </si>
  <si>
    <t xml:space="preserve">Not included due to lack of sufficient data </t>
  </si>
  <si>
    <t>Impact Score</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</si>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</sst>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
    <numFmt numFmtId="165" formatCode="[&lt;999950]0.0,&quot;K&quot;;[&lt;999950000]0.0,,&quot;M&quot;;0.0,,,&quot;B&quot;"/>
    <numFmt numFmtId="166" formatCode="#,##0.000"/>
    <numFmt numFmtId="167" formatCode="[&lt;999950]0.00,&quot;K&quot;;[&lt;999950000]0.00,,&quot;M&quot;;0.00,,,&quot;B&quot;"/>
    <numFmt numFmtId="168" formatCode="0.0"/>
    <numFmt numFmtId="169" formatCode="0.0%"/>
    <numFmt numFmtId="170" formatCode="[&lt;999950]0.0,&quot;k&quot;;[&lt;999950000]0.00,,&quot;m&quot;;0.00,,,&quot;b&quot;"/>
    <numFmt numFmtId="171" formatCode="mmm, yyyy"/>
    <numFmt numFmtId="172" formatCode="&quot;$&quot;#,##0"/>
    <numFmt numFmtId="173" formatCode="#,##0.0000"/>
  </numFmts>
  <fonts count="96">
    <font>
      <sz val="10.0"/>
      <color rgb="FF000000"/>
      <name val="Arial"/>
      <scheme val="minor"/>
    </font>
    <font>
      <b/>
      <sz val="12.0"/>
      <color theme="1"/>
      <name val="Arial"/>
      <scheme val="minor"/>
    </font>
    <font>
      <color theme="1"/>
      <name val="Arial"/>
      <scheme val="minor"/>
    </font>
    <font>
      <b/>
      <sz val="12.0"/>
      <color rgb="FFFFFFFF"/>
      <name val="Arial"/>
      <scheme val="minor"/>
    </font>
    <font>
      <b/>
      <sz val="28.0"/>
      <color rgb="FF29576D"/>
      <name val="Montserrat"/>
    </font>
    <font/>
    <font>
      <sz val="12.0"/>
      <color theme="1"/>
      <name val="Arial"/>
      <scheme val="minor"/>
    </font>
    <font>
      <b/>
      <color theme="1"/>
      <name val="Arial"/>
      <scheme val="minor"/>
    </font>
    <font>
      <b/>
      <u/>
      <sz val="12.0"/>
      <color rgb="FFFFFFFF"/>
    </font>
    <font>
      <u/>
      <color rgb="FF0000FF"/>
    </font>
    <font>
      <u/>
      <color rgb="FF0000FF"/>
    </font>
    <font>
      <color theme="1"/>
      <name val="Arial"/>
    </font>
    <font>
      <b/>
      <color theme="1"/>
      <name val="Arial"/>
    </font>
    <font>
      <u/>
      <color rgb="FF0000FF"/>
    </font>
    <font>
      <u/>
      <color rgb="FF0000FF"/>
    </font>
    <font>
      <u/>
      <color rgb="FF0000FF"/>
    </font>
    <font>
      <u/>
      <color rgb="FF0000FF"/>
    </font>
    <font>
      <b/>
      <u/>
      <color rgb="FFFFFFFF"/>
    </font>
    <font>
      <u/>
      <color rgb="FF0000FF"/>
    </font>
    <font>
      <u/>
      <color rgb="FF0000FF"/>
    </font>
    <font>
      <u/>
      <color rgb="FF0000FF"/>
    </font>
    <font>
      <u/>
      <color rgb="FF0000FF"/>
    </font>
    <font>
      <u/>
      <color rgb="FF0000FF"/>
    </font>
    <font>
      <u/>
      <color rgb="FF0000FF"/>
    </font>
    <font>
      <color rgb="FF000000"/>
      <name val="Arial"/>
    </font>
    <font>
      <u/>
      <color rgb="FF0000FF"/>
    </font>
    <font>
      <u/>
      <color rgb="FF0000FF"/>
    </font>
    <font>
      <u/>
      <color rgb="FF0000FF"/>
    </font>
    <font>
      <u/>
      <color rgb="FF0000FF"/>
    </font>
    <font>
      <u/>
      <color rgb="FF0000FF"/>
    </font>
    <font>
      <b/>
      <i/>
      <color theme="1"/>
      <name val="Arial"/>
      <scheme val="minor"/>
    </font>
    <font>
      <u/>
      <color rgb="FF0000FF"/>
    </font>
    <font>
      <u/>
      <color rgb="FF0000FF"/>
    </font>
    <font>
      <b/>
      <sz val="10.0"/>
      <color theme="1"/>
      <name val="Arial"/>
      <scheme val="minor"/>
    </font>
    <font>
      <sz val="10.0"/>
      <color theme="1"/>
      <name val="Arial"/>
      <scheme val="minor"/>
    </font>
    <font>
      <b/>
      <color rgb="FF000000"/>
    </font>
    <font>
      <u/>
      <sz val="10.0"/>
      <color rgb="FF0000FF"/>
    </font>
    <font>
      <u/>
      <sz val="10.0"/>
      <color rgb="FF0000FF"/>
    </font>
    <font>
      <u/>
      <color rgb="FF0000FF"/>
    </font>
    <font>
      <u/>
      <sz val="10.0"/>
      <color rgb="FF0000FF"/>
    </font>
    <font>
      <u/>
      <sz val="10.0"/>
      <color rgb="FF0000FF"/>
    </font>
    <font>
      <b/>
      <color rgb="FF000000"/>
      <name val="Arial"/>
      <scheme val="minor"/>
    </font>
    <font>
      <u/>
      <sz val="10.0"/>
      <color rgb="FF0000FF"/>
    </font>
    <font>
      <u/>
      <sz val="10.0"/>
      <color rgb="FF0000FF"/>
    </font>
    <font>
      <u/>
      <sz val="10.0"/>
      <color rgb="FF0000FF"/>
    </font>
    <font>
      <color rgb="FF000000"/>
      <name val="Arial"/>
      <scheme val="minor"/>
    </font>
    <font>
      <u/>
      <color rgb="FF0000FF"/>
    </font>
    <font>
      <u/>
      <color rgb="FF0000FF"/>
    </font>
    <font>
      <color rgb="FFFFFFFF"/>
      <name val="Arial"/>
      <scheme val="minor"/>
    </font>
    <font>
      <u/>
      <sz val="10.0"/>
      <color rgb="FF0000FF"/>
    </font>
    <font>
      <u/>
      <color rgb="FF0000FF"/>
    </font>
    <font>
      <color rgb="FFFF0000"/>
      <name val="Arial"/>
      <scheme val="minor"/>
    </font>
    <font>
      <color rgb="FF000000"/>
    </font>
    <font>
      <b/>
      <color rgb="FFFFFFFF"/>
      <name val="Arial"/>
      <scheme val="minor"/>
    </font>
    <font>
      <sz val="12.0"/>
      <color rgb="FF000000"/>
      <name val="Inherit"/>
    </font>
    <font>
      <color theme="1"/>
      <name val="Graphik"/>
    </font>
    <font>
      <sz val="12.0"/>
      <color rgb="FFFFFFFF"/>
      <name val="Arial"/>
      <scheme val="minor"/>
    </font>
    <font>
      <sz val="12.0"/>
      <color rgb="FFFCE5CD"/>
      <name val="Arial"/>
      <scheme val="minor"/>
    </font>
    <font>
      <b/>
      <sz val="24.0"/>
      <color rgb="FFFFFFFF"/>
      <name val="Arial"/>
      <scheme val="minor"/>
    </font>
    <font>
      <sz val="10.0"/>
      <color rgb="FF000000"/>
      <name val="Inherit"/>
    </font>
    <font>
      <u/>
      <color rgb="FF0000FF"/>
    </font>
    <font>
      <sz val="10.0"/>
      <color rgb="FFFFFFFF"/>
      <name val="Arial"/>
      <scheme val="minor"/>
    </font>
    <font>
      <b/>
      <sz val="10.0"/>
      <color rgb="FFFFFFFF"/>
      <name val="Arial"/>
      <scheme val="minor"/>
    </font>
    <font>
      <b/>
      <sz val="10.0"/>
      <color rgb="FF000000"/>
      <name val="Arial"/>
      <scheme val="minor"/>
    </font>
    <font>
      <u/>
      <color rgb="FF0000FF"/>
    </font>
    <font>
      <u/>
      <color rgb="FF0000FF"/>
    </font>
    <font>
      <u/>
      <color rgb="FF0000FF"/>
    </font>
    <font>
      <b/>
      <sz val="12.0"/>
      <color rgb="FFFFFFFF"/>
      <name val="Arial"/>
    </font>
    <font>
      <color rgb="FFFFFFFF"/>
      <name val="Arial"/>
    </font>
    <font>
      <u/>
      <color rgb="FF1155CC"/>
      <name val="Arial"/>
    </font>
    <font>
      <u/>
      <color rgb="FF1155CC"/>
      <name val="Arial"/>
    </font>
    <font>
      <sz val="10.0"/>
      <color rgb="FF1F1F1F"/>
      <name val="Arial"/>
      <scheme val="minor"/>
    </font>
    <font>
      <u/>
      <color rgb="FF0000FF"/>
      <name val="Arial"/>
    </font>
    <font>
      <b/>
      <color rgb="FFFFFFFF"/>
      <name val="Arial"/>
    </font>
    <font>
      <u/>
      <color rgb="FF0000FF"/>
      <name val="Arial"/>
    </font>
    <font>
      <u/>
      <sz val="10.0"/>
      <color rgb="FF0000FF"/>
    </font>
    <font>
      <sz val="12.0"/>
      <color rgb="FF000000"/>
      <name val="Calibri"/>
    </font>
    <font>
      <u/>
      <sz val="12.0"/>
      <color rgb="FF000000"/>
      <name val="Calibri"/>
    </font>
    <font>
      <sz val="10.0"/>
      <color rgb="FF000000"/>
    </font>
    <font>
      <sz val="12.0"/>
      <color rgb="FFFFFFFF"/>
      <name val="&quot;Google Sans&quot;"/>
    </font>
    <font>
      <u/>
      <color rgb="FF0000FF"/>
    </font>
    <font>
      <b/>
      <sz val="12.0"/>
      <color theme="0"/>
      <name val="Arial"/>
      <scheme val="minor"/>
    </font>
    <font>
      <b/>
      <sz val="12.0"/>
      <color theme="0"/>
      <name val="Arial"/>
    </font>
    <font>
      <b/>
      <sz val="10.0"/>
      <color rgb="FF1F1F1F"/>
      <name val="&quot;Google Sans&quot;"/>
    </font>
    <font>
      <b/>
      <sz val="11.0"/>
      <color theme="1"/>
      <name val="Arial"/>
      <scheme val="minor"/>
    </font>
    <font>
      <b/>
      <color rgb="FF0000FF"/>
      <name val="Arial"/>
    </font>
    <font>
      <b/>
      <u/>
      <color rgb="FF0000FF"/>
    </font>
    <font>
      <b/>
      <color rgb="FF0000FF"/>
    </font>
    <font>
      <b/>
      <u/>
      <color rgb="FF0000FF"/>
    </font>
    <font>
      <b/>
      <u/>
      <color rgb="FF0000FF"/>
    </font>
    <font>
      <b/>
      <u/>
      <color rgb="FF0000FF"/>
    </font>
    <font>
      <b/>
      <u/>
      <sz val="10.0"/>
      <color rgb="FF0000FF"/>
    </font>
    <font>
      <b/>
      <u/>
      <color rgb="FF0000FF"/>
    </font>
    <font>
      <b/>
      <u/>
      <color rgb="FF0000FF"/>
    </font>
    <font>
      <b/>
      <u/>
      <color rgb="FF0000FF"/>
    </font>
    <font>
      <b/>
      <u/>
      <color rgb="FF0000FF"/>
    </font>
  </fonts>
  <fills count="25">
    <fill>
      <patternFill patternType="none"/>
    </fill>
    <fill>
      <patternFill patternType="lightGray"/>
    </fill>
    <fill>
      <patternFill patternType="solid">
        <fgColor rgb="FF29576D"/>
        <bgColor rgb="FF29576D"/>
      </patternFill>
    </fill>
    <fill>
      <patternFill patternType="solid">
        <fgColor rgb="FF2B576D"/>
        <bgColor rgb="FF2B576D"/>
      </patternFill>
    </fill>
    <fill>
      <patternFill patternType="solid">
        <fgColor rgb="FFD6DF28"/>
        <bgColor rgb="FFD6DF28"/>
      </patternFill>
    </fill>
    <fill>
      <patternFill patternType="solid">
        <fgColor rgb="FFEFEFEF"/>
        <bgColor rgb="FFEFEFEF"/>
      </patternFill>
    </fill>
    <fill>
      <patternFill patternType="solid">
        <fgColor rgb="FFB7E1CD"/>
        <bgColor rgb="FFB7E1CD"/>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A4C2F4"/>
        <bgColor rgb="FFA4C2F4"/>
      </patternFill>
    </fill>
    <fill>
      <patternFill patternType="solid">
        <fgColor rgb="FFFFE599"/>
        <bgColor rgb="FFFFE599"/>
      </patternFill>
    </fill>
    <fill>
      <patternFill patternType="solid">
        <fgColor rgb="FFF4CCCC"/>
        <bgColor rgb="FFF4CCCC"/>
      </patternFill>
    </fill>
    <fill>
      <patternFill patternType="solid">
        <fgColor rgb="FFF9CB9C"/>
        <bgColor rgb="FFF9CB9C"/>
      </patternFill>
    </fill>
    <fill>
      <patternFill patternType="solid">
        <fgColor rgb="FF9FC5E8"/>
        <bgColor rgb="FF9FC5E8"/>
      </patternFill>
    </fill>
    <fill>
      <patternFill patternType="solid">
        <fgColor rgb="FFEA9999"/>
        <bgColor rgb="FFEA9999"/>
      </patternFill>
    </fill>
    <fill>
      <patternFill patternType="solid">
        <fgColor rgb="FFFCE5CD"/>
        <bgColor rgb="FFFCE5CD"/>
      </patternFill>
    </fill>
    <fill>
      <patternFill patternType="solid">
        <fgColor rgb="FFFFF2CC"/>
        <bgColor rgb="FFFFF2CC"/>
      </patternFill>
    </fill>
    <fill>
      <patternFill patternType="solid">
        <fgColor rgb="FF000000"/>
        <bgColor rgb="FF000000"/>
      </patternFill>
    </fill>
    <fill>
      <patternFill patternType="solid">
        <fgColor rgb="FF434343"/>
        <bgColor rgb="FF434343"/>
      </patternFill>
    </fill>
    <fill>
      <patternFill patternType="solid">
        <fgColor rgb="FFC9C7E9"/>
        <bgColor rgb="FFC9C7E9"/>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E27375"/>
        <bgColor rgb="FFE27375"/>
      </patternFill>
    </fill>
  </fills>
  <borders count="7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rder>
    <border>
      <right style="thick">
        <color rgb="FF000000"/>
      </right>
    </border>
    <border>
      <left style="thin">
        <color rgb="FF000000"/>
      </left>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ck">
        <color rgb="FF000000"/>
      </right>
      <top style="thin">
        <color rgb="FF000000"/>
      </top>
      <bottom style="thick">
        <color rgb="FF000000"/>
      </bottom>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left style="thick">
        <color rgb="FF000000"/>
      </left>
      <bottom style="thick">
        <color rgb="FF000000"/>
      </bottom>
    </border>
    <border>
      <right style="thick">
        <color rgb="FF000000"/>
      </right>
      <bottom style="thin">
        <color rgb="FF000000"/>
      </bottom>
    </border>
    <border>
      <left style="thin">
        <color rgb="FF000000"/>
      </left>
      <top style="thin">
        <color rgb="FF000000"/>
      </top>
      <bottom style="thick">
        <color rgb="FF000000"/>
      </bottom>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right style="thin">
        <color rgb="FF000000"/>
      </right>
      <bottom style="thick">
        <color rgb="FF000000"/>
      </bottom>
    </border>
    <border>
      <right style="thick">
        <color rgb="FF000000"/>
      </right>
      <top style="thick">
        <color rgb="FF000000"/>
      </top>
      <bottom style="thick">
        <color rgb="FF000000"/>
      </bottom>
    </border>
    <border>
      <bottom style="thick">
        <color rgb="FF000000"/>
      </bottom>
    </border>
    <border>
      <top style="thin">
        <color rgb="FF000000"/>
      </top>
      <bottom style="thick">
        <color rgb="FF000000"/>
      </bottom>
    </border>
    <border>
      <right style="thick">
        <color rgb="FF000000"/>
      </right>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ck">
        <color rgb="FF000000"/>
      </left>
      <right style="thin">
        <color rgb="FF000000"/>
      </right>
    </border>
    <border>
      <left style="thick">
        <color rgb="FF000000"/>
      </left>
      <right style="thin">
        <color rgb="FF000000"/>
      </right>
      <top style="thick">
        <color rgb="FF000000"/>
      </top>
      <bottom style="thick">
        <color rgb="FF000000"/>
      </bottom>
    </border>
    <border>
      <left style="thin">
        <color rgb="FF666666"/>
      </left>
      <bottom style="thin">
        <color rgb="FF666666"/>
      </bottom>
    </border>
    <border>
      <bottom style="thin">
        <color rgb="FF666666"/>
      </bottom>
    </border>
    <border>
      <top style="thin">
        <color rgb="FFE6E6E6"/>
      </top>
    </border>
    <border>
      <left style="thick">
        <color rgb="FF000000"/>
      </left>
      <bottom style="thin">
        <color rgb="FF666666"/>
      </bottom>
    </border>
    <border>
      <right style="thin">
        <color rgb="FF666666"/>
      </right>
      <bottom style="thin">
        <color rgb="FF666666"/>
      </bottom>
    </border>
    <border>
      <right style="thick">
        <color rgb="FF000000"/>
      </right>
      <bottom style="thin">
        <color rgb="FF666666"/>
      </bottom>
    </border>
    <border>
      <right style="thin">
        <color rgb="FF666666"/>
      </right>
    </border>
    <border>
      <left style="thin">
        <color rgb="FF666666"/>
      </left>
      <right style="thin">
        <color rgb="FF666666"/>
      </right>
    </border>
    <border>
      <left style="thin">
        <color rgb="FF666666"/>
      </left>
    </border>
    <border>
      <left style="thick">
        <color rgb="FF000000"/>
      </left>
      <right style="thin">
        <color rgb="FF666666"/>
      </right>
    </border>
    <border>
      <left style="thin">
        <color rgb="FF999999"/>
      </left>
      <top style="thick">
        <color rgb="FF000000"/>
      </top>
    </border>
    <border>
      <left style="thin">
        <color rgb="FF666666"/>
      </left>
      <right style="thick">
        <color rgb="FF000000"/>
      </right>
    </border>
    <border>
      <left style="thin">
        <color rgb="FF999999"/>
      </left>
    </border>
    <border>
      <left style="thin">
        <color rgb="FF000000"/>
      </left>
      <top style="thin">
        <color rgb="FF000000"/>
      </top>
    </border>
    <border>
      <top style="thin">
        <color rgb="FF000000"/>
      </top>
    </border>
    <border>
      <bottom style="thin">
        <color rgb="FFE6E6E6"/>
      </bottom>
    </border>
    <border>
      <left style="thick">
        <color rgb="FF38761D"/>
      </left>
    </border>
    <border>
      <right style="thick">
        <color rgb="FF38761D"/>
      </right>
    </border>
    <border>
      <left style="thick">
        <color rgb="FF38761D"/>
      </left>
      <top style="thick">
        <color rgb="FF000000"/>
      </top>
    </border>
    <border>
      <right style="thick">
        <color rgb="FF38761D"/>
      </right>
      <top style="thick">
        <color rgb="FF000000"/>
      </top>
    </border>
    <border>
      <left style="thin">
        <color rgb="FF999999"/>
      </left>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left style="thick">
        <color rgb="FF000000"/>
      </left>
      <right style="thick">
        <color rgb="FF000000"/>
      </right>
      <bottom style="thick">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38761D"/>
      </left>
      <bottom style="thick">
        <color rgb="FF000000"/>
      </bottom>
    </border>
    <border>
      <right style="thick">
        <color rgb="FF38761D"/>
      </right>
      <bottom style="thick">
        <color rgb="FF000000"/>
      </bottom>
    </border>
    <border>
      <right style="thin">
        <color rgb="FF666666"/>
      </right>
      <bottom style="thick">
        <color rgb="FF000000"/>
      </bottom>
    </border>
    <border>
      <left style="thin">
        <color rgb="FF666666"/>
      </left>
      <right style="thin">
        <color rgb="FF666666"/>
      </right>
      <bottom style="thick">
        <color rgb="FF000000"/>
      </bottom>
    </border>
    <border>
      <left style="thin">
        <color rgb="FF666666"/>
      </left>
      <bottom style="thick">
        <color rgb="FF000000"/>
      </bottom>
    </border>
    <border>
      <left style="thick">
        <color rgb="FF000000"/>
      </left>
      <right style="thin">
        <color rgb="FF666666"/>
      </right>
      <bottom style="thick">
        <color rgb="FF000000"/>
      </bottom>
    </border>
    <border>
      <left style="thin">
        <color rgb="FF666666"/>
      </left>
      <right style="thick">
        <color rgb="FF000000"/>
      </right>
      <bottom style="thick">
        <color rgb="FF000000"/>
      </bottom>
    </border>
    <border>
      <left style="thick">
        <color rgb="FF000000"/>
      </left>
      <right style="thick">
        <color rgb="FF000000"/>
      </right>
      <top style="thick">
        <color rgb="FF000000"/>
      </top>
    </border>
  </borders>
  <cellStyleXfs count="1">
    <xf borderId="0" fillId="0" fontId="0" numFmtId="0" applyAlignment="1" applyFont="1"/>
  </cellStyleXfs>
  <cellXfs count="830">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Fill="1" applyFont="1"/>
    <xf borderId="1" fillId="3" fontId="3" numFmtId="0" xfId="0" applyAlignment="1" applyBorder="1" applyFill="1" applyFont="1">
      <alignment horizontal="center" readingOrder="0"/>
    </xf>
    <xf borderId="0" fillId="0" fontId="4" numFmtId="0" xfId="0" applyAlignment="1" applyFont="1">
      <alignment horizontal="center" readingOrder="0"/>
    </xf>
    <xf borderId="2" fillId="0" fontId="5" numFmtId="0" xfId="0" applyBorder="1" applyFont="1"/>
    <xf borderId="0" fillId="0" fontId="6" numFmtId="0" xfId="0" applyAlignment="1" applyFont="1">
      <alignment horizontal="center" readingOrder="0"/>
    </xf>
    <xf borderId="3" fillId="0" fontId="5" numFmtId="0" xfId="0" applyBorder="1" applyFont="1"/>
    <xf borderId="4" fillId="3" fontId="3" numFmtId="0" xfId="0" applyAlignment="1" applyBorder="1" applyFill="1" applyFont="1">
      <alignment horizontal="center" readingOrder="0"/>
    </xf>
    <xf borderId="0" fillId="0" fontId="7" numFmtId="0" xfId="0" applyAlignment="1" applyFont="1">
      <alignment horizontal="center"/>
    </xf>
    <xf borderId="5" fillId="0" fontId="5" numFmtId="0" xfId="0" applyBorder="1" applyFont="1"/>
    <xf borderId="6" fillId="0" fontId="5" numFmtId="0" xfId="0" applyBorder="1" applyFont="1"/>
    <xf borderId="0" fillId="0" fontId="7" numFmtId="0" xfId="0" applyAlignment="1" applyFont="1">
      <alignment readingOrder="0"/>
    </xf>
    <xf borderId="7" fillId="4" fontId="7" numFmtId="0" xfId="0" applyAlignment="1" applyBorder="1" applyFill="1" applyFont="1">
      <alignment readingOrder="0"/>
    </xf>
    <xf borderId="8" fillId="4" fontId="7" numFmtId="0" xfId="0" applyAlignment="1" applyBorder="1" applyFill="1" applyFont="1">
      <alignment readingOrder="0"/>
    </xf>
    <xf borderId="9" fillId="4" fontId="7" numFmtId="0" xfId="0" applyAlignment="1" applyBorder="1" applyFill="1" applyFont="1">
      <alignment readingOrder="0"/>
    </xf>
    <xf borderId="0" fillId="0" fontId="2" numFmtId="0" xfId="0" applyAlignment="1" applyFont="1">
      <alignment readingOrder="0"/>
    </xf>
    <xf borderId="10" fillId="3" fontId="8" numFmtId="0" xfId="0" applyAlignment="1" applyBorder="1" applyFill="1" applyFont="1">
      <alignment horizontal="center" readingOrder="0"/>
    </xf>
    <xf borderId="11" fillId="0" fontId="5" numFmtId="0" xfId="0" applyBorder="1" applyFont="1"/>
    <xf borderId="10" fillId="4" fontId="7" numFmtId="0" xfId="0" applyAlignment="1" applyBorder="1" applyFill="1" applyFont="1">
      <alignment readingOrder="0"/>
    </xf>
    <xf borderId="12" fillId="4" fontId="7" numFmtId="0" xfId="0" applyAlignment="1" applyBorder="1" applyFill="1" applyFont="1">
      <alignment readingOrder="0"/>
    </xf>
    <xf borderId="12" fillId="4" fontId="7" numFmtId="0" xfId="0" applyAlignment="1" applyBorder="1" applyFill="1" applyFont="1">
      <alignment horizontal="center" readingOrder="0" shrinkToFit="0" wrapText="1"/>
    </xf>
    <xf borderId="0" fillId="0" fontId="2" numFmtId="0" xfId="0" applyAlignment="1" applyFont="1">
      <alignment readingOrder="0"/>
    </xf>
    <xf borderId="13" fillId="5" fontId="9" numFmtId="0" xfId="0" applyAlignment="1" applyBorder="1" applyFill="1" applyFont="1">
      <alignment readingOrder="0"/>
    </xf>
    <xf borderId="12" fillId="4" fontId="7" numFmtId="0" xfId="0" applyAlignment="1" applyBorder="1" applyFill="1" applyFont="1">
      <alignment readingOrder="0" shrinkToFit="0" wrapText="1"/>
    </xf>
    <xf borderId="14" fillId="0" fontId="2" numFmtId="0" xfId="0" applyAlignment="1" applyBorder="1" applyFont="1">
      <alignment readingOrder="0"/>
    </xf>
    <xf borderId="15" fillId="4" fontId="7" numFmtId="0" xfId="0" applyAlignment="1" applyBorder="1" applyFill="1" applyFont="1">
      <alignment horizontal="center" readingOrder="0" shrinkToFit="0" wrapText="1"/>
    </xf>
    <xf borderId="16" fillId="0" fontId="2" numFmtId="0" xfId="0" applyAlignment="1" applyBorder="1" applyFont="1">
      <alignment readingOrder="0"/>
    </xf>
    <xf borderId="0" fillId="4" fontId="7" numFmtId="0" xfId="0" applyAlignment="1" applyFill="1" applyFont="1">
      <alignment horizontal="center" readingOrder="0" shrinkToFit="0" wrapText="1"/>
    </xf>
    <xf borderId="12" fillId="4" fontId="7" numFmtId="0" xfId="0" applyAlignment="1" applyBorder="1" applyFill="1" applyFont="1">
      <alignment readingOrder="0" shrinkToFit="0" vertical="center" wrapText="1"/>
    </xf>
    <xf borderId="10" fillId="0" fontId="5" numFmtId="0" xfId="0" applyBorder="1" applyFont="1"/>
    <xf borderId="12" fillId="0" fontId="5" numFmtId="0" xfId="0" applyBorder="1" applyFont="1"/>
    <xf borderId="12" fillId="4" fontId="7" numFmtId="164" xfId="0" applyAlignment="1" applyBorder="1" applyFill="1" applyFont="1" applyNumberFormat="1">
      <alignment horizontal="center" readingOrder="0"/>
    </xf>
    <xf borderId="15" fillId="4" fontId="7" numFmtId="164" xfId="0" applyAlignment="1" applyBorder="1" applyFill="1" applyFont="1" applyNumberFormat="1">
      <alignment horizontal="center" readingOrder="0"/>
    </xf>
    <xf borderId="7" fillId="5" fontId="10" numFmtId="0" xfId="0" applyAlignment="1" applyBorder="1" applyFill="1" applyFont="1">
      <alignment readingOrder="0"/>
    </xf>
    <xf borderId="0" fillId="4" fontId="7" numFmtId="0" xfId="0" applyAlignment="1" applyFill="1" applyFont="1">
      <alignment horizontal="center" readingOrder="0"/>
    </xf>
    <xf borderId="8" fillId="0" fontId="2" numFmtId="0" xfId="0" applyAlignment="1" applyBorder="1" applyFont="1">
      <alignment readingOrder="0" shrinkToFit="0" wrapText="1"/>
    </xf>
    <xf borderId="0" fillId="0" fontId="11" numFmtId="0" xfId="0" applyAlignment="1" applyFont="1">
      <alignment vertical="bottom"/>
    </xf>
    <xf borderId="9" fillId="0" fontId="2" numFmtId="0" xfId="0" applyAlignment="1" applyBorder="1" applyFont="1">
      <alignment readingOrder="0"/>
    </xf>
    <xf borderId="10" fillId="6" fontId="12" numFmtId="0" xfId="0" applyAlignment="1" applyBorder="1" applyFill="1" applyFont="1">
      <alignment vertical="bottom"/>
    </xf>
    <xf borderId="10" fillId="7" fontId="7" numFmtId="0" xfId="0" applyAlignment="1" applyBorder="1" applyFill="1" applyFont="1">
      <alignment readingOrder="0"/>
    </xf>
    <xf borderId="14" fillId="0" fontId="2" numFmtId="0" xfId="0" applyAlignment="1" applyBorder="1" applyFont="1">
      <alignment readingOrder="0" shrinkToFit="0" wrapText="1"/>
    </xf>
    <xf borderId="12" fillId="5" fontId="13" numFmtId="0" xfId="0" applyAlignment="1" applyBorder="1" applyFill="1" applyFont="1">
      <alignment readingOrder="0" shrinkToFit="0" wrapText="1"/>
    </xf>
    <xf borderId="17" fillId="5" fontId="14" numFmtId="0" xfId="0" applyAlignment="1" applyBorder="1" applyFill="1" applyFont="1">
      <alignment readingOrder="0"/>
    </xf>
    <xf borderId="12" fillId="8" fontId="2" numFmtId="0" xfId="0" applyAlignment="1" applyBorder="1" applyFill="1" applyFont="1">
      <alignment horizontal="center" readingOrder="0" shrinkToFit="0" wrapText="1"/>
    </xf>
    <xf borderId="17" fillId="8" fontId="2" numFmtId="0" xfId="0" applyAlignment="1" applyBorder="1" applyFill="1" applyFont="1">
      <alignment horizontal="center" readingOrder="0"/>
    </xf>
    <xf borderId="15" fillId="8" fontId="2" numFmtId="0" xfId="0" applyAlignment="1" applyBorder="1" applyFill="1" applyFont="1">
      <alignment horizontal="center" readingOrder="0" shrinkToFit="0" wrapText="1"/>
    </xf>
    <xf borderId="18" fillId="8" fontId="2" numFmtId="0" xfId="0" applyAlignment="1" applyBorder="1" applyFill="1" applyFont="1">
      <alignment horizontal="center" readingOrder="0"/>
    </xf>
    <xf borderId="0" fillId="8" fontId="2" numFmtId="0" xfId="0" applyAlignment="1" applyFill="1" applyFont="1">
      <alignment horizontal="center" readingOrder="0" shrinkToFit="0" wrapText="1"/>
    </xf>
    <xf borderId="19" fillId="8" fontId="2" numFmtId="0" xfId="0" applyAlignment="1" applyBorder="1" applyFill="1" applyFont="1">
      <alignment horizontal="center" readingOrder="0"/>
    </xf>
    <xf borderId="12" fillId="0" fontId="2" numFmtId="0" xfId="0" applyAlignment="1" applyBorder="1" applyFont="1">
      <alignment readingOrder="0" shrinkToFit="0" vertical="top" wrapText="1"/>
    </xf>
    <xf borderId="17" fillId="0" fontId="2" numFmtId="0" xfId="0" applyAlignment="1" applyBorder="1" applyFont="1">
      <alignment readingOrder="0"/>
    </xf>
    <xf borderId="19" fillId="0" fontId="5" numFmtId="0" xfId="0" applyBorder="1" applyFont="1"/>
    <xf borderId="20" fillId="0" fontId="5" numFmtId="0" xfId="0" applyBorder="1" applyFont="1"/>
    <xf borderId="21" fillId="0" fontId="5" numFmtId="0" xfId="0" applyBorder="1" applyFont="1"/>
    <xf borderId="22" fillId="5" fontId="15" numFmtId="0" xfId="0" applyAlignment="1" applyBorder="1" applyFill="1" applyFont="1">
      <alignment readingOrder="0" shrinkToFit="0" wrapText="1"/>
    </xf>
    <xf borderId="23" fillId="5" fontId="16" numFmtId="0" xfId="0" applyAlignment="1" applyBorder="1" applyFill="1" applyFont="1">
      <alignment readingOrder="0"/>
    </xf>
    <xf borderId="24" fillId="3" fontId="17" numFmtId="0" xfId="0" applyAlignment="1" applyBorder="1" applyFill="1" applyFont="1">
      <alignment horizontal="center" readingOrder="0"/>
    </xf>
    <xf borderId="23" fillId="8" fontId="2" numFmtId="0" xfId="0" applyAlignment="1" applyBorder="1" applyFill="1" applyFont="1">
      <alignment horizontal="center" readingOrder="0"/>
    </xf>
    <xf borderId="22" fillId="8" fontId="2" numFmtId="0" xfId="0" applyAlignment="1" applyBorder="1" applyFill="1" applyFont="1">
      <alignment horizontal="center" readingOrder="0" shrinkToFit="0" wrapText="1"/>
    </xf>
    <xf borderId="25" fillId="0" fontId="5" numFmtId="0" xfId="0" applyBorder="1" applyFont="1"/>
    <xf borderId="26" fillId="8" fontId="2" numFmtId="0" xfId="0" applyAlignment="1" applyBorder="1" applyFill="1" applyFont="1">
      <alignment horizontal="center" readingOrder="0"/>
    </xf>
    <xf borderId="27" fillId="0" fontId="5" numFmtId="0" xfId="0" applyBorder="1" applyFont="1"/>
    <xf borderId="14" fillId="8" fontId="2" numFmtId="0" xfId="0" applyAlignment="1" applyBorder="1" applyFill="1" applyFont="1">
      <alignment horizontal="center" readingOrder="0" shrinkToFit="0" wrapText="1"/>
    </xf>
    <xf borderId="28" fillId="8" fontId="2" numFmtId="0" xfId="0" applyAlignment="1" applyBorder="1" applyFill="1" applyFont="1">
      <alignment horizontal="center" readingOrder="0"/>
    </xf>
    <xf borderId="29" fillId="8" fontId="2" numFmtId="0" xfId="0" applyAlignment="1" applyBorder="1" applyFill="1" applyFont="1">
      <alignment horizontal="center" readingOrder="0" shrinkToFit="0" wrapText="1"/>
    </xf>
    <xf borderId="23" fillId="0" fontId="2" numFmtId="0" xfId="0" applyAlignment="1" applyBorder="1" applyFont="1">
      <alignment readingOrder="0"/>
    </xf>
    <xf borderId="28" fillId="0" fontId="5" numFmtId="0" xfId="0" applyBorder="1" applyFont="1"/>
    <xf borderId="30" fillId="0" fontId="5" numFmtId="0" xfId="0" applyBorder="1" applyFont="1"/>
    <xf borderId="22" fillId="0" fontId="2" numFmtId="0" xfId="0" applyAlignment="1" applyBorder="1" applyFont="1">
      <alignment readingOrder="0" shrinkToFit="0" vertical="top" wrapText="1"/>
    </xf>
    <xf borderId="29" fillId="0" fontId="5" numFmtId="0" xfId="0" applyBorder="1" applyFont="1"/>
    <xf borderId="13" fillId="4" fontId="7" numFmtId="0" xfId="0" applyAlignment="1" applyBorder="1" applyFill="1" applyFont="1">
      <alignment readingOrder="0"/>
    </xf>
    <xf borderId="31" fillId="0" fontId="5" numFmtId="0" xfId="0" applyBorder="1" applyFont="1"/>
    <xf borderId="10" fillId="9" fontId="7" numFmtId="0" xfId="0" applyAlignment="1" applyBorder="1" applyFill="1" applyFont="1">
      <alignment readingOrder="0"/>
    </xf>
    <xf borderId="14" fillId="4" fontId="7" numFmtId="0" xfId="0" applyAlignment="1" applyBorder="1" applyFill="1" applyFont="1">
      <alignment readingOrder="0"/>
    </xf>
    <xf borderId="1" fillId="10" fontId="7" numFmtId="0" xfId="0" applyAlignment="1" applyBorder="1" applyFill="1" applyFont="1">
      <alignment readingOrder="0"/>
    </xf>
    <xf borderId="17" fillId="5" fontId="18" numFmtId="0" xfId="0" applyAlignment="1" applyBorder="1" applyFill="1" applyFont="1">
      <alignment readingOrder="0" shrinkToFit="0" wrapText="1"/>
    </xf>
    <xf borderId="17" fillId="8" fontId="2" numFmtId="0" xfId="0" applyAlignment="1" applyBorder="1" applyFill="1" applyFont="1">
      <alignment horizontal="center" readingOrder="0" shrinkToFit="0" vertical="bottom" wrapText="1"/>
    </xf>
    <xf borderId="23" fillId="5" fontId="19" numFmtId="0" xfId="0" applyAlignment="1" applyBorder="1" applyFill="1" applyFont="1">
      <alignment readingOrder="0" shrinkToFit="0" wrapText="1"/>
    </xf>
    <xf borderId="18" fillId="8" fontId="2" numFmtId="0" xfId="0" applyAlignment="1" applyBorder="1" applyFill="1" applyFont="1">
      <alignment horizontal="center" readingOrder="0" shrinkToFit="0" vertical="bottom" wrapText="1"/>
    </xf>
    <xf borderId="32" fillId="7" fontId="7" numFmtId="0" xfId="0" applyAlignment="1" applyBorder="1" applyFill="1" applyFont="1">
      <alignment readingOrder="0"/>
    </xf>
    <xf borderId="23" fillId="8" fontId="2" numFmtId="0" xfId="0" applyAlignment="1" applyBorder="1" applyFill="1" applyFont="1">
      <alignment horizontal="center" readingOrder="0" shrinkToFit="0" wrapText="1"/>
    </xf>
    <xf borderId="19" fillId="8" fontId="2" numFmtId="0" xfId="0" applyAlignment="1" applyBorder="1" applyFill="1" applyFont="1">
      <alignment horizontal="center" readingOrder="0" shrinkToFit="0" vertical="bottom" wrapText="1"/>
    </xf>
    <xf borderId="26" fillId="8" fontId="2" numFmtId="0" xfId="0" applyAlignment="1" applyBorder="1" applyFill="1" applyFont="1">
      <alignment horizontal="center" readingOrder="0" shrinkToFit="0" wrapText="1"/>
    </xf>
    <xf borderId="28" fillId="8" fontId="2" numFmtId="0" xfId="0" applyAlignment="1" applyBorder="1" applyFill="1" applyFont="1">
      <alignment horizontal="center" readingOrder="0" shrinkToFit="0" wrapText="1"/>
    </xf>
    <xf borderId="33" fillId="5" fontId="20" numFmtId="0" xfId="0" applyAlignment="1" applyBorder="1" applyFill="1" applyFont="1">
      <alignment readingOrder="0"/>
    </xf>
    <xf borderId="23" fillId="0" fontId="2" numFmtId="0" xfId="0" applyAlignment="1" applyBorder="1" applyFont="1">
      <alignment readingOrder="0" shrinkToFit="0" vertical="top" wrapText="1"/>
    </xf>
    <xf borderId="33" fillId="0" fontId="2" numFmtId="0" xfId="0" applyAlignment="1" applyBorder="1" applyFont="1">
      <alignment readingOrder="0" shrinkToFit="0" wrapText="1"/>
    </xf>
    <xf borderId="1" fillId="11" fontId="7" numFmtId="0" xfId="0" applyAlignment="1" applyBorder="1" applyFill="1" applyFont="1">
      <alignment readingOrder="0"/>
    </xf>
    <xf borderId="17" fillId="0" fontId="21" numFmtId="0" xfId="0" applyAlignment="1" applyBorder="1" applyFont="1">
      <alignment readingOrder="0" shrinkToFit="0" vertical="center" wrapText="1"/>
    </xf>
    <xf borderId="34" fillId="0" fontId="5" numFmtId="0" xfId="0" applyBorder="1" applyFont="1"/>
    <xf borderId="23" fillId="8" fontId="2" numFmtId="0" xfId="0" applyAlignment="1" applyBorder="1" applyFill="1" applyFont="1">
      <alignment horizontal="center" readingOrder="0" shrinkToFit="0" vertical="bottom" wrapText="1"/>
    </xf>
    <xf borderId="12" fillId="5" fontId="22" numFmtId="0" xfId="0" applyAlignment="1" applyBorder="1" applyFill="1" applyFont="1">
      <alignment readingOrder="0"/>
    </xf>
    <xf borderId="14" fillId="5" fontId="23" numFmtId="0" xfId="0" applyAlignment="1" applyBorder="1" applyFill="1" applyFont="1">
      <alignment readingOrder="0"/>
    </xf>
    <xf borderId="26" fillId="8" fontId="2" numFmtId="0" xfId="0" applyAlignment="1" applyBorder="1" applyFill="1" applyFont="1">
      <alignment horizontal="center" readingOrder="0" shrinkToFit="0" vertical="bottom" wrapText="1"/>
    </xf>
    <xf borderId="14" fillId="8" fontId="24" numFmtId="0" xfId="0" applyAlignment="1" applyBorder="1" applyFill="1" applyFont="1">
      <alignment horizontal="left" readingOrder="0" shrinkToFit="0" wrapText="1"/>
    </xf>
    <xf borderId="12" fillId="0" fontId="2" numFmtId="0" xfId="0" applyAlignment="1" applyBorder="1" applyFont="1">
      <alignment readingOrder="0" shrinkToFit="0" vertical="top" wrapText="1"/>
    </xf>
    <xf borderId="32" fillId="9" fontId="7" numFmtId="0" xfId="0" applyAlignment="1" applyBorder="1" applyFill="1" applyFont="1">
      <alignment readingOrder="0"/>
    </xf>
    <xf borderId="28" fillId="8" fontId="2" numFmtId="0" xfId="0" applyAlignment="1" applyBorder="1" applyFill="1" applyFont="1">
      <alignment horizontal="center" readingOrder="0" shrinkToFit="0" vertical="bottom" wrapText="1"/>
    </xf>
    <xf borderId="35" fillId="5" fontId="25" numFmtId="0" xfId="0" applyAlignment="1" applyBorder="1" applyFill="1" applyFont="1">
      <alignment readingOrder="0" shrinkToFit="0" wrapText="1"/>
    </xf>
    <xf borderId="35" fillId="8" fontId="2" numFmtId="0" xfId="0" applyAlignment="1" applyBorder="1" applyFill="1" applyFont="1">
      <alignment horizontal="center" readingOrder="0" shrinkToFit="0" wrapText="1"/>
    </xf>
    <xf borderId="33" fillId="5" fontId="26" numFmtId="0" xfId="0" applyAlignment="1" applyBorder="1" applyFill="1" applyFont="1">
      <alignment readingOrder="0" shrinkToFit="0" wrapText="1"/>
    </xf>
    <xf borderId="8" fillId="8" fontId="2" numFmtId="0" xfId="0" applyAlignment="1" applyBorder="1" applyFill="1" applyFont="1">
      <alignment horizontal="center" readingOrder="0" shrinkToFit="0" wrapText="1"/>
    </xf>
    <xf borderId="33" fillId="0" fontId="2" numFmtId="0" xfId="0" applyAlignment="1" applyBorder="1" applyFont="1">
      <alignment readingOrder="0" shrinkToFit="0" wrapText="1"/>
    </xf>
    <xf borderId="10" fillId="12" fontId="7" numFmtId="0" xfId="0" applyAlignment="1" applyBorder="1" applyFill="1" applyFont="1">
      <alignment readingOrder="0"/>
    </xf>
    <xf borderId="36" fillId="8" fontId="2" numFmtId="0" xfId="0" applyAlignment="1" applyBorder="1" applyFill="1" applyFont="1">
      <alignment horizontal="center" readingOrder="0" shrinkToFit="0" wrapText="1"/>
    </xf>
    <xf borderId="35" fillId="0" fontId="2" numFmtId="0" xfId="0" applyAlignment="1" applyBorder="1" applyFont="1">
      <alignment readingOrder="0" shrinkToFit="0" vertical="top" wrapText="1"/>
    </xf>
    <xf borderId="36" fillId="0" fontId="5" numFmtId="0" xfId="0" applyBorder="1" applyFont="1"/>
    <xf borderId="37" fillId="0" fontId="5" numFmtId="0" xfId="0" applyBorder="1" applyFont="1"/>
    <xf borderId="32" fillId="12" fontId="7" numFmtId="0" xfId="0" applyAlignment="1" applyBorder="1" applyFill="1" applyFont="1">
      <alignment readingOrder="0"/>
    </xf>
    <xf borderId="17" fillId="0" fontId="2" numFmtId="0" xfId="0" applyAlignment="1" applyBorder="1" applyFont="1">
      <alignment readingOrder="0" shrinkToFit="0" wrapText="1"/>
    </xf>
    <xf borderId="20" fillId="13" fontId="7" numFmtId="0" xfId="0" applyAlignment="1" applyBorder="1" applyFill="1" applyFont="1">
      <alignment readingOrder="0"/>
    </xf>
    <xf borderId="23" fillId="0" fontId="2" numFmtId="0" xfId="0" applyAlignment="1" applyBorder="1" applyFont="1">
      <alignment readingOrder="0" shrinkToFit="0" vertical="top" wrapText="1"/>
    </xf>
    <xf borderId="38" fillId="5" fontId="27" numFmtId="0" xfId="0" applyAlignment="1" applyBorder="1" applyFill="1" applyFont="1">
      <alignment readingOrder="0" shrinkToFit="0" wrapText="1"/>
    </xf>
    <xf borderId="32" fillId="13" fontId="7" numFmtId="0" xfId="0" applyAlignment="1" applyBorder="1" applyFill="1" applyFont="1">
      <alignment readingOrder="0"/>
    </xf>
    <xf borderId="10" fillId="13" fontId="7" numFmtId="0" xfId="0" applyAlignment="1" applyBorder="1" applyFill="1" applyFont="1">
      <alignment readingOrder="0"/>
    </xf>
    <xf borderId="38" fillId="8" fontId="2" numFmtId="0" xfId="0" applyAlignment="1" applyBorder="1" applyFill="1" applyFont="1">
      <alignment horizontal="center" readingOrder="0" shrinkToFit="0" vertical="center" wrapText="1"/>
    </xf>
    <xf borderId="39" fillId="8" fontId="2" numFmtId="0" xfId="0" applyAlignment="1" applyBorder="1" applyFill="1" applyFont="1">
      <alignment horizontal="center" readingOrder="0" shrinkToFit="0" vertical="center" wrapText="1"/>
    </xf>
    <xf borderId="25" fillId="8" fontId="2" numFmtId="0" xfId="0" applyAlignment="1" applyBorder="1" applyFill="1" applyFont="1">
      <alignment horizontal="center" readingOrder="0" shrinkToFit="0" vertical="center" wrapText="1"/>
    </xf>
    <xf borderId="38" fillId="0" fontId="2" numFmtId="0" xfId="0" applyAlignment="1" applyBorder="1" applyFont="1">
      <alignment readingOrder="0" shrinkToFit="0" vertical="top" wrapText="1"/>
    </xf>
    <xf borderId="0" fillId="0" fontId="2" numFmtId="0" xfId="0" applyAlignment="1" applyFont="1">
      <alignment shrinkToFit="0" wrapText="1"/>
    </xf>
    <xf borderId="40" fillId="14" fontId="7" numFmtId="0" xfId="0" applyAlignment="1" applyBorder="1" applyFill="1" applyFont="1">
      <alignment readingOrder="0"/>
    </xf>
    <xf borderId="23" fillId="0" fontId="2" numFmtId="0" xfId="0" applyAlignment="1" applyBorder="1" applyFont="1">
      <alignment readingOrder="0" shrinkToFit="0" wrapText="1"/>
    </xf>
    <xf borderId="18" fillId="5" fontId="28" numFmtId="0" xfId="0" applyAlignment="1" applyBorder="1" applyFill="1" applyFont="1">
      <alignment readingOrder="0"/>
    </xf>
    <xf borderId="0" fillId="0" fontId="2" numFmtId="0" xfId="0" applyAlignment="1" applyFont="1">
      <alignment horizontal="left"/>
    </xf>
    <xf borderId="10" fillId="10" fontId="7" numFmtId="0" xfId="0" applyAlignment="1" applyBorder="1" applyFill="1" applyFont="1">
      <alignment readingOrder="0"/>
    </xf>
    <xf borderId="0" fillId="0" fontId="7" numFmtId="0" xfId="0" applyAlignment="1" applyFont="1">
      <alignment horizontal="left"/>
    </xf>
    <xf borderId="18" fillId="0" fontId="2" numFmtId="0" xfId="0" applyAlignment="1" applyBorder="1" applyFont="1">
      <alignment readingOrder="0" shrinkToFit="0" wrapText="1"/>
    </xf>
    <xf borderId="19" fillId="0" fontId="2" numFmtId="0" xfId="0" applyAlignment="1" applyBorder="1" applyFont="1">
      <alignment horizontal="left"/>
    </xf>
    <xf borderId="14" fillId="5" fontId="29" numFmtId="0" xfId="0" applyAlignment="1" applyBorder="1" applyFill="1" applyFont="1">
      <alignment readingOrder="0" shrinkToFit="0" wrapText="1"/>
    </xf>
    <xf borderId="17" fillId="0" fontId="2" numFmtId="0" xfId="0" applyAlignment="1" applyBorder="1" applyFont="1">
      <alignment horizontal="center" readingOrder="0" shrinkToFit="0" vertical="bottom" wrapText="1"/>
    </xf>
    <xf borderId="18" fillId="0" fontId="2" numFmtId="0" xfId="0" applyAlignment="1" applyBorder="1" applyFont="1">
      <alignment horizontal="center" readingOrder="0" shrinkToFit="0" vertical="bottom" wrapText="1"/>
    </xf>
    <xf borderId="19" fillId="0" fontId="2" numFmtId="0" xfId="0" applyAlignment="1" applyBorder="1" applyFont="1">
      <alignment horizontal="center" readingOrder="0" shrinkToFit="0" vertical="bottom" wrapText="1"/>
    </xf>
    <xf borderId="0" fillId="0" fontId="30" numFmtId="0" xfId="0" applyAlignment="1" applyFont="1">
      <alignment horizontal="left"/>
    </xf>
    <xf borderId="32" fillId="0" fontId="7" numFmtId="0" xfId="0" applyAlignment="1" applyBorder="1" applyFont="1">
      <alignment readingOrder="0"/>
    </xf>
    <xf borderId="17" fillId="0" fontId="2" numFmtId="0" xfId="0" applyAlignment="1" applyBorder="1" applyFont="1">
      <alignment readingOrder="0" shrinkToFit="0" vertical="center" wrapText="1"/>
    </xf>
    <xf borderId="33" fillId="0" fontId="2" numFmtId="0" xfId="0" applyAlignment="1" applyBorder="1" applyFont="1">
      <alignment readingOrder="0" shrinkToFit="0" vertical="top" wrapText="1"/>
    </xf>
    <xf borderId="41" fillId="0" fontId="7" numFmtId="0" xfId="0" applyAlignment="1" applyBorder="1" applyFont="1">
      <alignment readingOrder="0"/>
    </xf>
    <xf borderId="39" fillId="5" fontId="31" numFmtId="0" xfId="0" applyAlignment="1" applyBorder="1" applyFill="1" applyFont="1">
      <alignment readingOrder="0"/>
    </xf>
    <xf borderId="0" fillId="0" fontId="7" numFmtId="0" xfId="0" applyAlignment="1" applyFont="1">
      <alignment readingOrder="0" shrinkToFit="0" wrapText="1"/>
    </xf>
    <xf borderId="39" fillId="0" fontId="2" numFmtId="0" xfId="0" applyAlignment="1" applyBorder="1" applyFont="1">
      <alignment readingOrder="0" shrinkToFit="0" wrapText="1"/>
    </xf>
    <xf borderId="0" fillId="3" fontId="3" numFmtId="0" xfId="0" applyAlignment="1" applyFill="1" applyFont="1">
      <alignment horizontal="center" readingOrder="0" shrinkToFit="0" wrapText="1"/>
    </xf>
    <xf borderId="32" fillId="11" fontId="7" numFmtId="0" xfId="0" applyAlignment="1" applyBorder="1" applyFill="1" applyFont="1">
      <alignment readingOrder="0"/>
    </xf>
    <xf borderId="40" fillId="0" fontId="5" numFmtId="0" xfId="0" applyBorder="1" applyFont="1"/>
    <xf borderId="10" fillId="3" fontId="3" numFmtId="0" xfId="0" applyAlignment="1" applyBorder="1" applyFill="1" applyFont="1">
      <alignment horizontal="center" readingOrder="0" shrinkToFit="0" wrapText="1"/>
    </xf>
    <xf borderId="0" fillId="0" fontId="2" numFmtId="0" xfId="0" applyAlignment="1" applyFont="1">
      <alignment horizontal="left"/>
    </xf>
    <xf borderId="8" fillId="5" fontId="32" numFmtId="0" xfId="0" applyAlignment="1" applyBorder="1" applyFill="1" applyFont="1">
      <alignment readingOrder="0"/>
    </xf>
    <xf borderId="0" fillId="0" fontId="3" numFmtId="0" xfId="0" applyAlignment="1" applyFont="1">
      <alignment horizontal="center" readingOrder="0" shrinkToFit="0" wrapText="1"/>
    </xf>
    <xf borderId="8" fillId="0" fontId="2" numFmtId="0" xfId="0" applyAlignment="1" applyBorder="1" applyFont="1">
      <alignment readingOrder="0"/>
    </xf>
    <xf borderId="42" fillId="7" fontId="33" numFmtId="0" xfId="0" applyAlignment="1" applyBorder="1" applyFill="1" applyFont="1">
      <alignment horizontal="center" readingOrder="0" shrinkToFit="0" wrapText="1"/>
    </xf>
    <xf borderId="43" fillId="0" fontId="5" numFmtId="0" xfId="0" applyBorder="1" applyFont="1"/>
    <xf borderId="42" fillId="9" fontId="33" numFmtId="0" xfId="0" applyAlignment="1" applyBorder="1" applyFill="1" applyFont="1">
      <alignment horizontal="center" readingOrder="0" shrinkToFit="0" wrapText="1"/>
    </xf>
    <xf borderId="39" fillId="0" fontId="2" numFmtId="0" xfId="0" applyAlignment="1" applyBorder="1" applyFont="1">
      <alignment readingOrder="0" vertical="top"/>
    </xf>
    <xf borderId="0" fillId="0" fontId="2" numFmtId="0" xfId="0" applyFont="1"/>
    <xf borderId="42" fillId="12" fontId="33" numFmtId="0" xfId="0" applyAlignment="1" applyBorder="1" applyFill="1" applyFont="1">
      <alignment horizontal="center" readingOrder="0" shrinkToFit="0" wrapText="1"/>
    </xf>
    <xf borderId="42" fillId="13" fontId="33" numFmtId="0" xfId="0" applyAlignment="1" applyBorder="1" applyFill="1" applyFont="1">
      <alignment horizontal="center" readingOrder="0" shrinkToFit="0" wrapText="1"/>
    </xf>
    <xf borderId="44" fillId="3" fontId="3" numFmtId="0" xfId="0" applyAlignment="1" applyBorder="1" applyFill="1" applyFont="1">
      <alignment horizontal="left" readingOrder="0"/>
    </xf>
    <xf borderId="42" fillId="14" fontId="33" numFmtId="0" xfId="0" applyAlignment="1" applyBorder="1" applyFill="1" applyFont="1">
      <alignment horizontal="center" readingOrder="0" shrinkToFit="0" wrapText="1"/>
    </xf>
    <xf borderId="44" fillId="3" fontId="3" numFmtId="0" xfId="0" applyAlignment="1" applyBorder="1" applyFill="1" applyFont="1">
      <alignment horizontal="center" readingOrder="0"/>
    </xf>
    <xf borderId="45" fillId="6" fontId="33" numFmtId="0" xfId="0" applyAlignment="1" applyBorder="1" applyFill="1" applyFont="1">
      <alignment horizontal="center" readingOrder="0" shrinkToFit="0" wrapText="1"/>
    </xf>
    <xf borderId="46" fillId="0" fontId="5" numFmtId="0" xfId="0" applyBorder="1" applyFont="1"/>
    <xf borderId="0" fillId="3" fontId="3" numFmtId="0" xfId="0" applyAlignment="1" applyFill="1" applyFont="1">
      <alignment horizontal="center" readingOrder="0"/>
    </xf>
    <xf borderId="0" fillId="3" fontId="3" numFmtId="0" xfId="0" applyAlignment="1" applyFill="1" applyFont="1">
      <alignment readingOrder="0"/>
    </xf>
    <xf borderId="0" fillId="0" fontId="7" numFmtId="0" xfId="0" applyFont="1"/>
    <xf borderId="46" fillId="10" fontId="33" numFmtId="0" xfId="0" applyAlignment="1" applyBorder="1" applyFill="1" applyFont="1">
      <alignment horizontal="center" readingOrder="0" shrinkToFit="0" wrapText="1"/>
    </xf>
    <xf borderId="1" fillId="0" fontId="34" numFmtId="0" xfId="0" applyAlignment="1" applyBorder="1" applyFont="1">
      <alignment horizontal="left" readingOrder="0"/>
    </xf>
    <xf borderId="43" fillId="11" fontId="7" numFmtId="0" xfId="0" applyAlignment="1" applyBorder="1" applyFill="1" applyFont="1">
      <alignment horizontal="center" readingOrder="0"/>
    </xf>
    <xf borderId="2" fillId="0" fontId="34" numFmtId="0" xfId="0" applyAlignment="1" applyBorder="1" applyFont="1">
      <alignment horizontal="left" readingOrder="0"/>
    </xf>
    <xf borderId="2" fillId="15" fontId="34" numFmtId="0" xfId="0" applyAlignment="1" applyBorder="1" applyFill="1" applyFont="1">
      <alignment horizontal="left" readingOrder="0"/>
    </xf>
    <xf borderId="47" fillId="13" fontId="33" numFmtId="0" xfId="0" applyAlignment="1" applyBorder="1" applyFill="1" applyFont="1">
      <alignment horizontal="center" readingOrder="0" shrinkToFit="0" wrapText="1"/>
    </xf>
    <xf borderId="0" fillId="0" fontId="33" numFmtId="0" xfId="0" applyAlignment="1" applyFont="1">
      <alignment horizontal="center" readingOrder="0" shrinkToFit="0" wrapText="1"/>
    </xf>
    <xf borderId="19" fillId="0" fontId="2" numFmtId="0" xfId="0" applyAlignment="1" applyBorder="1" applyFont="1">
      <alignment horizontal="center" readingOrder="0"/>
    </xf>
    <xf borderId="48" fillId="7" fontId="35" numFmtId="0" xfId="0" applyAlignment="1" applyBorder="1" applyFill="1" applyFont="1">
      <alignment readingOrder="0" shrinkToFit="0" wrapText="1"/>
    </xf>
    <xf borderId="2" fillId="0" fontId="36" numFmtId="0" xfId="0" applyAlignment="1" applyBorder="1" applyFont="1">
      <alignment horizontal="left" readingOrder="0"/>
    </xf>
    <xf borderId="49" fillId="7" fontId="35" numFmtId="0" xfId="0" applyAlignment="1" applyBorder="1" applyFill="1" applyFont="1">
      <alignment readingOrder="0" shrinkToFit="0" wrapText="1"/>
    </xf>
    <xf borderId="49" fillId="9" fontId="35" numFmtId="0" xfId="0" applyAlignment="1" applyBorder="1" applyFill="1" applyFont="1">
      <alignment readingOrder="0" shrinkToFit="0" wrapText="1"/>
    </xf>
    <xf borderId="3" fillId="0" fontId="37" numFmtId="0" xfId="0" applyAlignment="1" applyBorder="1" applyFont="1">
      <alignment horizontal="left" readingOrder="0"/>
    </xf>
    <xf borderId="10" fillId="0" fontId="0" numFmtId="0" xfId="0" applyAlignment="1" applyBorder="1" applyFont="1">
      <alignment horizontal="left" readingOrder="0"/>
    </xf>
    <xf borderId="0" fillId="0" fontId="0" numFmtId="0" xfId="0" applyAlignment="1" applyFont="1">
      <alignment horizontal="left" readingOrder="0"/>
    </xf>
    <xf borderId="0" fillId="16" fontId="0" numFmtId="0" xfId="0" applyAlignment="1" applyFill="1" applyFont="1">
      <alignment horizontal="left" readingOrder="0"/>
    </xf>
    <xf borderId="49" fillId="12" fontId="35" numFmtId="0" xfId="0" applyAlignment="1" applyBorder="1" applyFill="1" applyFont="1">
      <alignment readingOrder="0" shrinkToFit="0" wrapText="1"/>
    </xf>
    <xf borderId="0" fillId="0" fontId="38" numFmtId="0" xfId="0" applyAlignment="1" applyFont="1">
      <alignment horizontal="center" readingOrder="0"/>
    </xf>
    <xf borderId="0" fillId="0" fontId="39" numFmtId="0" xfId="0" applyAlignment="1" applyFont="1">
      <alignment horizontal="left" readingOrder="0"/>
    </xf>
    <xf borderId="49" fillId="13" fontId="35" numFmtId="0" xfId="0" applyAlignment="1" applyBorder="1" applyFill="1" applyFont="1">
      <alignment readingOrder="0" shrinkToFit="0" wrapText="1"/>
    </xf>
    <xf borderId="11" fillId="0" fontId="40" numFmtId="0" xfId="0" applyAlignment="1" applyBorder="1" applyFont="1">
      <alignment horizontal="left" readingOrder="0"/>
    </xf>
    <xf borderId="0" fillId="3" fontId="3" numFmtId="0" xfId="0" applyAlignment="1" applyFill="1" applyFont="1">
      <alignment horizontal="left" readingOrder="0"/>
    </xf>
    <xf borderId="0" fillId="15" fontId="0" numFmtId="0" xfId="0" applyAlignment="1" applyFill="1" applyFont="1">
      <alignment horizontal="left" readingOrder="0"/>
    </xf>
    <xf borderId="49" fillId="14" fontId="41" numFmtId="0" xfId="0" applyAlignment="1" applyBorder="1" applyFill="1" applyFont="1">
      <alignment readingOrder="0" shrinkToFit="0" wrapText="1"/>
    </xf>
    <xf borderId="1" fillId="0" fontId="0" numFmtId="0" xfId="0" applyAlignment="1" applyBorder="1" applyFont="1">
      <alignment horizontal="left" readingOrder="0"/>
    </xf>
    <xf borderId="2" fillId="0" fontId="0" numFmtId="0" xfId="0" applyAlignment="1" applyBorder="1" applyFont="1">
      <alignment horizontal="left" readingOrder="0"/>
    </xf>
    <xf borderId="50" fillId="14" fontId="35" numFmtId="0" xfId="0" applyAlignment="1" applyBorder="1" applyFill="1" applyFont="1">
      <alignment readingOrder="0" shrinkToFit="0" wrapText="1"/>
    </xf>
    <xf borderId="51" fillId="6" fontId="35" numFmtId="0" xfId="0" applyAlignment="1" applyBorder="1" applyFill="1" applyFont="1">
      <alignment readingOrder="0" shrinkToFit="0" wrapText="1"/>
    </xf>
    <xf borderId="49" fillId="6" fontId="35" numFmtId="0" xfId="0" applyAlignment="1" applyBorder="1" applyFill="1" applyFont="1">
      <alignment readingOrder="0" shrinkToFit="0" wrapText="1"/>
    </xf>
    <xf borderId="52" fillId="0" fontId="42" numFmtId="0" xfId="0" applyAlignment="1" applyBorder="1" applyFont="1">
      <alignment horizontal="left" readingOrder="0"/>
    </xf>
    <xf borderId="0" fillId="0" fontId="43" numFmtId="0" xfId="0" applyAlignment="1" applyFont="1">
      <alignment horizontal="left" readingOrder="0"/>
    </xf>
    <xf borderId="3" fillId="0" fontId="34" numFmtId="0" xfId="0" applyAlignment="1" applyBorder="1" applyFont="1">
      <alignment horizontal="left" readingOrder="0"/>
    </xf>
    <xf borderId="49" fillId="10" fontId="35" numFmtId="0" xfId="0" applyAlignment="1" applyBorder="1" applyFill="1" applyFont="1">
      <alignment readingOrder="0" shrinkToFit="0" wrapText="1"/>
    </xf>
    <xf borderId="10" fillId="0" fontId="34" numFmtId="0" xfId="0" applyAlignment="1" applyBorder="1" applyFont="1">
      <alignment horizontal="left" readingOrder="0"/>
    </xf>
    <xf borderId="0" fillId="0" fontId="34" numFmtId="0" xfId="0" applyAlignment="1" applyFont="1">
      <alignment horizontal="left" readingOrder="0"/>
    </xf>
    <xf borderId="49" fillId="11" fontId="41" numFmtId="0" xfId="0" applyAlignment="1" applyBorder="1" applyFill="1" applyFont="1">
      <alignment readingOrder="0" shrinkToFit="0" wrapText="1"/>
    </xf>
    <xf borderId="49" fillId="11" fontId="35" numFmtId="0" xfId="0" applyAlignment="1" applyBorder="1" applyFill="1" applyFont="1">
      <alignment readingOrder="0" shrinkToFit="0" wrapText="1"/>
    </xf>
    <xf borderId="49" fillId="11" fontId="35" numFmtId="165" xfId="0" applyAlignment="1" applyBorder="1" applyFill="1" applyFont="1" applyNumberFormat="1">
      <alignment readingOrder="0" shrinkToFit="0" wrapText="1"/>
    </xf>
    <xf borderId="53" fillId="13" fontId="35" numFmtId="0" xfId="0" applyAlignment="1" applyBorder="1" applyFill="1" applyFont="1">
      <alignment readingOrder="0" shrinkToFit="0" wrapText="1"/>
    </xf>
    <xf borderId="11" fillId="0" fontId="34" numFmtId="0" xfId="0" applyAlignment="1" applyBorder="1" applyFont="1">
      <alignment horizontal="left" readingOrder="0"/>
    </xf>
    <xf borderId="0" fillId="0" fontId="7" numFmtId="0" xfId="0" applyAlignment="1" applyFont="1">
      <alignment readingOrder="0" shrinkToFit="0" wrapText="1"/>
    </xf>
    <xf borderId="54" fillId="0" fontId="44" numFmtId="0" xfId="0" applyAlignment="1" applyBorder="1" applyFont="1">
      <alignment horizontal="left" readingOrder="0"/>
    </xf>
    <xf borderId="48" fillId="0" fontId="2" numFmtId="0" xfId="0" applyBorder="1" applyFont="1"/>
    <xf borderId="11" fillId="0" fontId="34" numFmtId="0" xfId="0" applyAlignment="1" applyBorder="1" applyFont="1">
      <alignment horizontal="left"/>
    </xf>
    <xf borderId="49" fillId="0" fontId="2" numFmtId="0" xfId="0" applyBorder="1" applyFont="1"/>
    <xf borderId="49" fillId="0" fontId="2" numFmtId="166" xfId="0" applyBorder="1" applyFont="1" applyNumberFormat="1"/>
    <xf borderId="49" fillId="17" fontId="45" numFmtId="4" xfId="0" applyBorder="1" applyFill="1" applyFont="1" applyNumberFormat="1"/>
    <xf borderId="10" fillId="0" fontId="2" numFmtId="0" xfId="0" applyAlignment="1" applyBorder="1" applyFont="1">
      <alignment horizontal="left" readingOrder="0"/>
    </xf>
    <xf borderId="0" fillId="0" fontId="2" numFmtId="0" xfId="0" applyAlignment="1" applyFont="1">
      <alignment horizontal="left" readingOrder="0"/>
    </xf>
    <xf borderId="49" fillId="0" fontId="2" numFmtId="2" xfId="0" applyAlignment="1" applyBorder="1" applyFont="1" applyNumberFormat="1">
      <alignment readingOrder="0"/>
    </xf>
    <xf borderId="0" fillId="0" fontId="46" numFmtId="0" xfId="0" applyAlignment="1" applyFont="1">
      <alignment horizontal="left" readingOrder="0"/>
    </xf>
    <xf borderId="49" fillId="0" fontId="2" numFmtId="0" xfId="0" applyBorder="1" applyFont="1"/>
    <xf borderId="11" fillId="0" fontId="47" numFmtId="0" xfId="0" applyAlignment="1" applyBorder="1" applyFont="1">
      <alignment horizontal="left" readingOrder="0"/>
    </xf>
    <xf borderId="49" fillId="0" fontId="2" numFmtId="2" xfId="0" applyBorder="1" applyFont="1" applyNumberFormat="1"/>
    <xf borderId="49" fillId="18" fontId="48" numFmtId="9" xfId="0" applyBorder="1" applyFill="1" applyFont="1" applyNumberFormat="1"/>
    <xf borderId="1" fillId="2" fontId="3" numFmtId="0" xfId="0" applyAlignment="1" applyBorder="1" applyFill="1" applyFont="1">
      <alignment readingOrder="0" shrinkToFit="0" vertical="bottom" wrapText="0"/>
    </xf>
    <xf borderId="2" fillId="2" fontId="3" numFmtId="0" xfId="0" applyAlignment="1" applyBorder="1" applyFill="1" applyFont="1">
      <alignment readingOrder="0" shrinkToFit="0" vertical="bottom" wrapText="0"/>
    </xf>
    <xf borderId="2" fillId="2" fontId="3" numFmtId="10" xfId="0" applyAlignment="1" applyBorder="1" applyFill="1" applyFont="1" applyNumberFormat="1">
      <alignment readingOrder="0" shrinkToFit="0" vertical="bottom" wrapText="0"/>
    </xf>
    <xf borderId="2" fillId="2" fontId="3" numFmtId="4" xfId="0" applyAlignment="1" applyBorder="1" applyFill="1" applyFont="1" applyNumberFormat="1">
      <alignment readingOrder="0" shrinkToFit="0" vertical="bottom" wrapText="0"/>
    </xf>
    <xf borderId="2" fillId="2" fontId="3" numFmtId="0" xfId="0" applyAlignment="1" applyBorder="1" applyFill="1" applyFont="1">
      <alignment readingOrder="0"/>
    </xf>
    <xf borderId="50" fillId="0" fontId="2" numFmtId="9" xfId="0" applyAlignment="1" applyBorder="1" applyFont="1" applyNumberFormat="1">
      <alignment readingOrder="0"/>
    </xf>
    <xf borderId="2" fillId="2" fontId="3" numFmtId="2" xfId="0" applyAlignment="1" applyBorder="1" applyFill="1" applyFont="1" applyNumberFormat="1">
      <alignment readingOrder="0"/>
    </xf>
    <xf borderId="3" fillId="2" fontId="3" numFmtId="0" xfId="0" applyAlignment="1" applyBorder="1" applyFill="1" applyFont="1">
      <alignment readingOrder="0"/>
    </xf>
    <xf borderId="0" fillId="0" fontId="1" numFmtId="0" xfId="0" applyFont="1"/>
    <xf borderId="0" fillId="0" fontId="1" numFmtId="0" xfId="0" applyAlignment="1" applyFont="1">
      <alignment readingOrder="0"/>
    </xf>
    <xf borderId="0" fillId="0" fontId="33" numFmtId="0" xfId="0" applyFont="1"/>
    <xf borderId="1" fillId="0" fontId="0" numFmtId="0" xfId="0" applyAlignment="1" applyBorder="1" applyFont="1">
      <alignment readingOrder="0" shrinkToFit="0" vertical="bottom" wrapText="0"/>
    </xf>
    <xf borderId="54" fillId="0" fontId="49" numFmtId="0" xfId="0" applyAlignment="1" applyBorder="1" applyFont="1">
      <alignment horizontal="left" readingOrder="0"/>
    </xf>
    <xf borderId="51" fillId="0" fontId="2" numFmtId="10" xfId="0" applyBorder="1" applyFont="1" applyNumberFormat="1"/>
    <xf borderId="2" fillId="0" fontId="0" numFmtId="2" xfId="0" applyAlignment="1" applyBorder="1" applyFont="1" applyNumberFormat="1">
      <alignment horizontal="right" readingOrder="0" shrinkToFit="0" vertical="bottom" wrapText="0"/>
    </xf>
    <xf borderId="49" fillId="0" fontId="2" numFmtId="10" xfId="0" applyAlignment="1" applyBorder="1" applyFont="1" applyNumberFormat="1">
      <alignment readingOrder="0"/>
    </xf>
    <xf borderId="2" fillId="0" fontId="34" numFmtId="10" xfId="0" applyBorder="1" applyFont="1" applyNumberFormat="1"/>
    <xf borderId="10" fillId="0" fontId="2" numFmtId="0" xfId="0" applyAlignment="1" applyBorder="1" applyFont="1">
      <alignment readingOrder="0"/>
    </xf>
    <xf borderId="49" fillId="0" fontId="34" numFmtId="2" xfId="0" applyAlignment="1" applyBorder="1" applyFont="1" applyNumberFormat="1">
      <alignment readingOrder="0"/>
    </xf>
    <xf borderId="2" fillId="0" fontId="34" numFmtId="4" xfId="0" applyBorder="1" applyFont="1" applyNumberFormat="1"/>
    <xf borderId="0" fillId="15" fontId="2" numFmtId="0" xfId="0" applyAlignment="1" applyFill="1" applyFont="1">
      <alignment readingOrder="0"/>
    </xf>
    <xf borderId="2" fillId="0" fontId="0" numFmtId="0" xfId="0" applyAlignment="1" applyBorder="1" applyFont="1">
      <alignment readingOrder="0"/>
    </xf>
    <xf borderId="11" fillId="0" fontId="2" numFmtId="0" xfId="0" applyAlignment="1" applyBorder="1" applyFont="1">
      <alignment horizontal="left"/>
    </xf>
    <xf borderId="20" fillId="0" fontId="2" numFmtId="0" xfId="0" applyAlignment="1" applyBorder="1" applyFont="1">
      <alignment readingOrder="0"/>
    </xf>
    <xf borderId="11" fillId="0" fontId="34" numFmtId="0" xfId="0" applyAlignment="1" applyBorder="1" applyFont="1">
      <alignment horizontal="left" readingOrder="0"/>
    </xf>
    <xf borderId="28" fillId="0" fontId="2" numFmtId="0" xfId="0" applyAlignment="1" applyBorder="1" applyFont="1">
      <alignment readingOrder="0"/>
    </xf>
    <xf borderId="28" fillId="15" fontId="2" numFmtId="0" xfId="0" applyAlignment="1" applyBorder="1" applyFill="1" applyFont="1">
      <alignment readingOrder="0"/>
    </xf>
    <xf borderId="0" fillId="0" fontId="34" numFmtId="0" xfId="0" applyAlignment="1" applyFont="1">
      <alignment horizontal="left"/>
    </xf>
    <xf borderId="2" fillId="0" fontId="0" numFmtId="2" xfId="0" applyBorder="1" applyFont="1" applyNumberFormat="1"/>
    <xf borderId="28" fillId="0" fontId="2" numFmtId="0" xfId="0" applyBorder="1" applyFont="1"/>
    <xf borderId="2" fillId="0" fontId="11" numFmtId="2" xfId="0" applyAlignment="1" applyBorder="1" applyFont="1" applyNumberFormat="1">
      <alignment horizontal="right" vertical="bottom"/>
    </xf>
    <xf borderId="49" fillId="0" fontId="2" numFmtId="167" xfId="0" applyBorder="1" applyFont="1" applyNumberFormat="1"/>
    <xf borderId="28" fillId="0" fontId="50" numFmtId="0" xfId="0" applyAlignment="1" applyBorder="1" applyFont="1">
      <alignment horizontal="left" readingOrder="0"/>
    </xf>
    <xf borderId="30" fillId="0" fontId="2" numFmtId="0" xfId="0" applyAlignment="1" applyBorder="1" applyFont="1">
      <alignment horizontal="left"/>
    </xf>
    <xf borderId="0" fillId="0" fontId="51" numFmtId="0" xfId="0" applyAlignment="1" applyFont="1">
      <alignment readingOrder="0"/>
    </xf>
    <xf borderId="3" fillId="0" fontId="52" numFmtId="0" xfId="0" applyAlignment="1" applyBorder="1" applyFont="1">
      <alignment readingOrder="0"/>
    </xf>
    <xf borderId="0" fillId="0" fontId="34" numFmtId="0" xfId="0" applyFont="1"/>
    <xf borderId="0" fillId="0" fontId="34" numFmtId="0" xfId="0" applyAlignment="1" applyFont="1">
      <alignment readingOrder="0"/>
    </xf>
    <xf borderId="0" fillId="0" fontId="2" numFmtId="0" xfId="0" applyFont="1"/>
    <xf borderId="0" fillId="0" fontId="2" numFmtId="0" xfId="0" applyAlignment="1" applyFont="1">
      <alignment horizontal="center" readingOrder="0"/>
    </xf>
    <xf borderId="10" fillId="0" fontId="0" numFmtId="0" xfId="0" applyAlignment="1" applyBorder="1" applyFont="1">
      <alignment readingOrder="0" shrinkToFit="0" vertical="bottom" wrapText="0"/>
    </xf>
    <xf borderId="0" fillId="0" fontId="0" numFmtId="2" xfId="0" applyAlignment="1" applyFont="1" applyNumberFormat="1">
      <alignment horizontal="right" readingOrder="0" shrinkToFit="0" vertical="bottom" wrapText="0"/>
    </xf>
    <xf borderId="0" fillId="0" fontId="34" numFmtId="10" xfId="0" applyFont="1" applyNumberFormat="1"/>
    <xf borderId="0" fillId="0" fontId="34" numFmtId="4" xfId="0" applyFont="1" applyNumberFormat="1"/>
    <xf borderId="0" fillId="0" fontId="0" numFmtId="0" xfId="0" applyAlignment="1" applyFont="1">
      <alignment readingOrder="0"/>
    </xf>
    <xf borderId="0" fillId="0" fontId="0" numFmtId="2" xfId="0" applyFont="1" applyNumberFormat="1"/>
    <xf borderId="0" fillId="0" fontId="11" numFmtId="2" xfId="0" applyAlignment="1" applyFont="1" applyNumberFormat="1">
      <alignment horizontal="right" vertical="bottom"/>
    </xf>
    <xf borderId="11" fillId="0" fontId="34" numFmtId="0" xfId="0" applyAlignment="1" applyBorder="1" applyFont="1">
      <alignment readingOrder="0"/>
    </xf>
    <xf borderId="53" fillId="0" fontId="2" numFmtId="2" xfId="0" applyAlignment="1" applyBorder="1" applyFont="1" applyNumberFormat="1">
      <alignment readingOrder="0"/>
    </xf>
    <xf borderId="0" fillId="0" fontId="2" numFmtId="2" xfId="0" applyAlignment="1" applyFont="1" applyNumberFormat="1">
      <alignment readingOrder="0"/>
    </xf>
    <xf borderId="11" fillId="0" fontId="34" numFmtId="0" xfId="0" applyBorder="1" applyFont="1"/>
    <xf borderId="49" fillId="17" fontId="2" numFmtId="4" xfId="0" applyBorder="1" applyFill="1" applyFont="1" applyNumberFormat="1"/>
    <xf borderId="55" fillId="3" fontId="53" numFmtId="0" xfId="0" applyBorder="1" applyFill="1" applyFont="1"/>
    <xf borderId="56" fillId="3" fontId="48" numFmtId="0" xfId="0" applyBorder="1" applyFill="1" applyFont="1"/>
    <xf borderId="12" fillId="0" fontId="48" numFmtId="0" xfId="0" applyBorder="1" applyFont="1"/>
    <xf borderId="0" fillId="0" fontId="48" numFmtId="0" xfId="0" applyFont="1"/>
    <xf borderId="12" fillId="0" fontId="2" numFmtId="0" xfId="0" applyBorder="1" applyFont="1"/>
    <xf borderId="57" fillId="0" fontId="54" numFmtId="0" xfId="0" applyAlignment="1" applyBorder="1" applyFont="1">
      <alignment horizontal="left" readingOrder="0"/>
    </xf>
    <xf borderId="12" fillId="0" fontId="54" numFmtId="0" xfId="0" applyAlignment="1" applyBorder="1" applyFont="1">
      <alignment horizontal="left" readingOrder="0"/>
    </xf>
    <xf borderId="0" fillId="0" fontId="54" numFmtId="0" xfId="0" applyAlignment="1" applyFont="1">
      <alignment horizontal="left" readingOrder="0"/>
    </xf>
    <xf borderId="54" fillId="0" fontId="34" numFmtId="0" xfId="0" applyAlignment="1" applyBorder="1" applyFont="1">
      <alignment horizontal="left" readingOrder="0"/>
    </xf>
    <xf borderId="57" fillId="0" fontId="55" numFmtId="0" xfId="0" applyAlignment="1" applyBorder="1" applyFont="1">
      <alignment horizontal="left" readingOrder="0"/>
    </xf>
    <xf borderId="49" fillId="0" fontId="2" numFmtId="9" xfId="0" applyBorder="1" applyFont="1" applyNumberFormat="1"/>
    <xf borderId="17" fillId="0" fontId="2" numFmtId="0" xfId="0" applyBorder="1" applyFont="1"/>
    <xf borderId="19" fillId="0" fontId="2" numFmtId="0" xfId="0" applyBorder="1" applyFont="1"/>
    <xf borderId="50" fillId="18" fontId="48" numFmtId="9" xfId="0" applyAlignment="1" applyBorder="1" applyFill="1" applyFont="1" applyNumberFormat="1">
      <alignment readingOrder="0"/>
    </xf>
    <xf borderId="0" fillId="2" fontId="3" numFmtId="0" xfId="0" applyAlignment="1" applyFill="1" applyFont="1">
      <alignment readingOrder="0" vertical="bottom"/>
    </xf>
    <xf borderId="0" fillId="2" fontId="56" numFmtId="0" xfId="0" applyAlignment="1" applyFill="1" applyFont="1">
      <alignment readingOrder="0"/>
    </xf>
    <xf borderId="0" fillId="2" fontId="57" numFmtId="0" xfId="0" applyAlignment="1" applyFill="1" applyFont="1">
      <alignment readingOrder="0"/>
    </xf>
    <xf borderId="58" fillId="2" fontId="56" numFmtId="0" xfId="0" applyAlignment="1" applyBorder="1" applyFill="1" applyFont="1">
      <alignment readingOrder="0"/>
    </xf>
    <xf borderId="59" fillId="2" fontId="56" numFmtId="0" xfId="0" applyAlignment="1" applyBorder="1" applyFill="1" applyFont="1">
      <alignment readingOrder="0"/>
    </xf>
    <xf borderId="0" fillId="2" fontId="3" numFmtId="0" xfId="0" applyAlignment="1" applyFill="1" applyFont="1">
      <alignment horizontal="center" readingOrder="0"/>
    </xf>
    <xf borderId="0" fillId="2" fontId="3" numFmtId="0" xfId="0" applyAlignment="1" applyFill="1" applyFont="1">
      <alignment horizontal="right" readingOrder="0" vertical="bottom"/>
    </xf>
    <xf borderId="10" fillId="2" fontId="3" numFmtId="0" xfId="0" applyAlignment="1" applyBorder="1" applyFill="1" applyFont="1">
      <alignment readingOrder="0"/>
    </xf>
    <xf borderId="0" fillId="0" fontId="45" numFmtId="0" xfId="0" applyFont="1"/>
    <xf borderId="1" fillId="0" fontId="0" numFmtId="0" xfId="0" applyAlignment="1" applyBorder="1" applyFont="1">
      <alignment readingOrder="0" vertical="top"/>
    </xf>
    <xf borderId="2" fillId="8" fontId="24" numFmtId="0" xfId="0" applyAlignment="1" applyBorder="1" applyFill="1" applyFont="1">
      <alignment horizontal="left" readingOrder="0"/>
    </xf>
    <xf borderId="2" fillId="8" fontId="2" numFmtId="0" xfId="0" applyAlignment="1" applyBorder="1" applyFill="1" applyFont="1">
      <alignment readingOrder="0"/>
    </xf>
    <xf borderId="2" fillId="0" fontId="24" numFmtId="0" xfId="0" applyAlignment="1" applyBorder="1" applyFont="1">
      <alignment horizontal="left" readingOrder="0"/>
    </xf>
    <xf borderId="2" fillId="9" fontId="2" numFmtId="2" xfId="0" applyAlignment="1" applyBorder="1" applyFill="1" applyFont="1" applyNumberFormat="1">
      <alignment readingOrder="0"/>
    </xf>
    <xf borderId="2" fillId="0" fontId="0" numFmtId="0" xfId="0" applyAlignment="1" applyBorder="1" applyFont="1">
      <alignment readingOrder="0" vertical="bottom"/>
    </xf>
    <xf borderId="60" fillId="16" fontId="2" numFmtId="0" xfId="0" applyBorder="1" applyFill="1" applyFont="1"/>
    <xf borderId="61" fillId="16" fontId="2" numFmtId="2" xfId="0" applyBorder="1" applyFill="1" applyFont="1" applyNumberFormat="1"/>
    <xf borderId="49" fillId="0" fontId="2" numFmtId="4" xfId="0" applyBorder="1" applyFont="1" applyNumberFormat="1"/>
    <xf borderId="49" fillId="18" fontId="48" numFmtId="0" xfId="0" applyBorder="1" applyFill="1" applyFont="1"/>
    <xf borderId="2" fillId="0" fontId="52" numFmtId="0" xfId="0" applyAlignment="1" applyBorder="1" applyFont="1">
      <alignment readingOrder="0"/>
    </xf>
    <xf borderId="2" fillId="19" fontId="58" numFmtId="0" xfId="0" applyAlignment="1" applyBorder="1" applyFill="1" applyFont="1">
      <alignment horizontal="center" readingOrder="0"/>
    </xf>
    <xf borderId="2" fillId="0" fontId="2" numFmtId="0" xfId="0" applyAlignment="1" applyBorder="1" applyFont="1">
      <alignment horizontal="right" readingOrder="0"/>
    </xf>
    <xf borderId="1" fillId="0" fontId="2" numFmtId="0" xfId="0" applyAlignment="1" applyBorder="1" applyFont="1">
      <alignment readingOrder="0"/>
    </xf>
    <xf borderId="10" fillId="16" fontId="0" numFmtId="0" xfId="0" applyAlignment="1" applyBorder="1" applyFill="1" applyFont="1">
      <alignment readingOrder="0" vertical="bottom"/>
    </xf>
    <xf borderId="0" fillId="16" fontId="11" numFmtId="0" xfId="0" applyAlignment="1" applyFill="1" applyFont="1">
      <alignment horizontal="right" vertical="bottom"/>
    </xf>
    <xf borderId="0" fillId="16" fontId="0" numFmtId="0" xfId="0" applyAlignment="1" applyFill="1" applyFont="1">
      <alignment readingOrder="0" vertical="bottom"/>
    </xf>
    <xf borderId="0" fillId="16" fontId="2" numFmtId="0" xfId="0" applyFill="1" applyFont="1"/>
    <xf borderId="0" fillId="16" fontId="59" numFmtId="0" xfId="0" applyFill="1" applyFont="1"/>
    <xf borderId="0" fillId="16" fontId="59" numFmtId="2" xfId="0" applyFill="1" applyFont="1" applyNumberFormat="1"/>
    <xf borderId="0" fillId="16" fontId="2" numFmtId="0" xfId="0" applyAlignment="1" applyFill="1" applyFont="1">
      <alignment readingOrder="0"/>
    </xf>
    <xf borderId="58" fillId="16" fontId="34" numFmtId="0" xfId="0" applyBorder="1" applyFill="1" applyFont="1"/>
    <xf borderId="11" fillId="16" fontId="34" numFmtId="2" xfId="0" applyBorder="1" applyFill="1" applyFont="1" applyNumberFormat="1"/>
    <xf borderId="0" fillId="0" fontId="52" numFmtId="0" xfId="0" applyAlignment="1" applyFont="1">
      <alignment readingOrder="0"/>
    </xf>
    <xf borderId="0" fillId="0" fontId="2" numFmtId="0" xfId="0" applyAlignment="1" applyFont="1">
      <alignment horizontal="right" readingOrder="0"/>
    </xf>
    <xf borderId="11" fillId="0" fontId="2" numFmtId="0" xfId="0" applyAlignment="1" applyBorder="1" applyFont="1">
      <alignment readingOrder="0"/>
    </xf>
    <xf borderId="10" fillId="0" fontId="0" numFmtId="0" xfId="0" applyAlignment="1" applyBorder="1" applyFont="1">
      <alignment readingOrder="0" vertical="bottom"/>
    </xf>
    <xf borderId="0" fillId="0" fontId="11" numFmtId="0" xfId="0" applyAlignment="1" applyFont="1">
      <alignment horizontal="right" vertical="bottom"/>
    </xf>
    <xf borderId="0" fillId="0" fontId="0" numFmtId="0" xfId="0" applyAlignment="1" applyFont="1">
      <alignment readingOrder="0" vertical="bottom"/>
    </xf>
    <xf borderId="0" fillId="8" fontId="2" numFmtId="0" xfId="0" applyFill="1" applyFont="1"/>
    <xf borderId="0" fillId="0" fontId="59" numFmtId="0" xfId="0" applyFont="1"/>
    <xf borderId="0" fillId="0" fontId="59" numFmtId="2" xfId="0" applyFont="1" applyNumberFormat="1"/>
    <xf borderId="0" fillId="9" fontId="2" numFmtId="2" xfId="0" applyAlignment="1" applyFill="1" applyFont="1" applyNumberFormat="1">
      <alignment readingOrder="0"/>
    </xf>
    <xf borderId="58" fillId="7" fontId="34" numFmtId="0" xfId="0" applyBorder="1" applyFill="1" applyFont="1"/>
    <xf borderId="59" fillId="7" fontId="34" numFmtId="2" xfId="0" applyBorder="1" applyFill="1" applyFont="1" applyNumberFormat="1"/>
    <xf borderId="10" fillId="9" fontId="2" numFmtId="2" xfId="0" applyAlignment="1" applyBorder="1" applyFill="1" applyFont="1" applyNumberFormat="1">
      <alignment readingOrder="0"/>
    </xf>
    <xf borderId="11" fillId="0" fontId="2" numFmtId="0" xfId="0" applyBorder="1" applyFont="1"/>
    <xf borderId="20" fillId="0" fontId="2" numFmtId="0" xfId="0" applyAlignment="1" applyBorder="1" applyFont="1">
      <alignment horizontal="left" readingOrder="0"/>
    </xf>
    <xf borderId="28" fillId="0" fontId="34" numFmtId="0" xfId="0" applyAlignment="1" applyBorder="1" applyFont="1">
      <alignment horizontal="left" readingOrder="0"/>
    </xf>
    <xf borderId="59" fillId="16" fontId="34" numFmtId="2" xfId="0" applyBorder="1" applyFill="1" applyFont="1" applyNumberFormat="1"/>
    <xf borderId="28" fillId="0" fontId="2" numFmtId="0" xfId="0" applyAlignment="1" applyBorder="1" applyFont="1">
      <alignment horizontal="left" readingOrder="0"/>
    </xf>
    <xf borderId="28" fillId="0" fontId="2" numFmtId="0" xfId="0" applyAlignment="1" applyBorder="1" applyFont="1">
      <alignment horizontal="left"/>
    </xf>
    <xf borderId="62" fillId="0" fontId="60" numFmtId="0" xfId="0" applyAlignment="1" applyBorder="1" applyFont="1">
      <alignment horizontal="left" readingOrder="0"/>
    </xf>
    <xf borderId="0" fillId="8" fontId="24" numFmtId="0" xfId="0" applyAlignment="1" applyFill="1" applyFont="1">
      <alignment horizontal="left" readingOrder="0"/>
    </xf>
    <xf borderId="0" fillId="0" fontId="24" numFmtId="0" xfId="0" applyAlignment="1" applyFont="1">
      <alignment horizontal="left" readingOrder="0"/>
    </xf>
    <xf borderId="58" fillId="9" fontId="61" numFmtId="2" xfId="0" applyAlignment="1" applyBorder="1" applyFill="1" applyFont="1" applyNumberFormat="1">
      <alignment readingOrder="0"/>
    </xf>
    <xf borderId="59" fillId="9" fontId="34" numFmtId="2" xfId="0" applyAlignment="1" applyBorder="1" applyFill="1" applyFont="1" applyNumberFormat="1">
      <alignment readingOrder="0"/>
    </xf>
    <xf borderId="20" fillId="0" fontId="0" numFmtId="0" xfId="0" applyAlignment="1" applyBorder="1" applyFont="1">
      <alignment readingOrder="0" shrinkToFit="0" vertical="bottom" wrapText="0"/>
    </xf>
    <xf borderId="0" fillId="8" fontId="24" numFmtId="0" xfId="0" applyAlignment="1" applyFill="1" applyFont="1">
      <alignment horizontal="right" readingOrder="0"/>
    </xf>
    <xf borderId="28" fillId="0" fontId="0" numFmtId="2" xfId="0" applyAlignment="1" applyBorder="1" applyFont="1" applyNumberFormat="1">
      <alignment horizontal="right" readingOrder="0" shrinkToFit="0" vertical="bottom" wrapText="0"/>
    </xf>
    <xf borderId="0" fillId="0" fontId="24" numFmtId="0" xfId="0" applyAlignment="1" applyFont="1">
      <alignment horizontal="right" readingOrder="0"/>
    </xf>
    <xf borderId="28" fillId="0" fontId="34" numFmtId="10" xfId="0" applyBorder="1" applyFont="1" applyNumberFormat="1"/>
    <xf borderId="28" fillId="0" fontId="34" numFmtId="4" xfId="0" applyBorder="1" applyFont="1" applyNumberFormat="1"/>
    <xf borderId="28" fillId="0" fontId="0" numFmtId="0" xfId="0" applyAlignment="1" applyBorder="1" applyFont="1">
      <alignment readingOrder="0"/>
    </xf>
    <xf borderId="0" fillId="19" fontId="58" numFmtId="0" xfId="0" applyAlignment="1" applyFill="1" applyFont="1">
      <alignment horizontal="center" readingOrder="0"/>
    </xf>
    <xf borderId="28" fillId="0" fontId="0" numFmtId="2" xfId="0" applyBorder="1" applyFont="1" applyNumberFormat="1"/>
    <xf borderId="28" fillId="0" fontId="11" numFmtId="2" xfId="0" applyAlignment="1" applyBorder="1" applyFont="1" applyNumberFormat="1">
      <alignment horizontal="right" vertical="bottom"/>
    </xf>
    <xf borderId="30" fillId="0" fontId="34" numFmtId="0" xfId="0" applyBorder="1" applyFont="1"/>
    <xf borderId="0" fillId="0" fontId="34" numFmtId="10" xfId="0" applyAlignment="1" applyFont="1" applyNumberFormat="1">
      <alignment readingOrder="0"/>
    </xf>
    <xf borderId="0" fillId="0" fontId="0" numFmtId="0" xfId="0" applyAlignment="1" applyFont="1">
      <alignment horizontal="right"/>
    </xf>
    <xf borderId="0" fillId="0" fontId="0" numFmtId="10" xfId="0" applyFont="1" applyNumberFormat="1"/>
    <xf borderId="0" fillId="0" fontId="34" numFmtId="2" xfId="0" applyFont="1" applyNumberFormat="1"/>
    <xf borderId="58" fillId="9" fontId="34" numFmtId="2" xfId="0" applyAlignment="1" applyBorder="1" applyFill="1" applyFont="1" applyNumberFormat="1">
      <alignment readingOrder="0"/>
    </xf>
    <xf borderId="24" fillId="4" fontId="33" numFmtId="0" xfId="0" applyAlignment="1" applyBorder="1" applyFill="1" applyFont="1">
      <alignment horizontal="center" readingOrder="0"/>
    </xf>
    <xf borderId="50" fillId="0" fontId="45" numFmtId="9" xfId="0" applyAlignment="1" applyBorder="1" applyFont="1" applyNumberFormat="1">
      <alignment readingOrder="0"/>
    </xf>
    <xf borderId="63" fillId="4" fontId="33" numFmtId="4" xfId="0" applyAlignment="1" applyBorder="1" applyFill="1" applyFont="1" applyNumberFormat="1">
      <alignment readingOrder="0"/>
    </xf>
    <xf borderId="10" fillId="4" fontId="34" numFmtId="0" xfId="0" applyAlignment="1" applyBorder="1" applyFill="1" applyFont="1">
      <alignment horizontal="right" readingOrder="0"/>
    </xf>
    <xf borderId="10" fillId="4" fontId="34" numFmtId="10" xfId="0" applyAlignment="1" applyBorder="1" applyFill="1" applyFont="1" applyNumberFormat="1">
      <alignment horizontal="left"/>
    </xf>
    <xf borderId="58" fillId="16" fontId="34" numFmtId="2" xfId="0" applyBorder="1" applyFill="1" applyFont="1" applyNumberFormat="1"/>
    <xf borderId="64" fillId="4" fontId="34" numFmtId="4" xfId="0" applyAlignment="1" applyBorder="1" applyFill="1" applyFont="1" applyNumberFormat="1">
      <alignment readingOrder="0"/>
    </xf>
    <xf borderId="0" fillId="0" fontId="0" numFmtId="0" xfId="0" applyFont="1"/>
    <xf borderId="65" fillId="4" fontId="34" numFmtId="4" xfId="0" applyAlignment="1" applyBorder="1" applyFill="1" applyFont="1" applyNumberFormat="1">
      <alignment readingOrder="0"/>
    </xf>
    <xf borderId="64" fillId="4" fontId="34" numFmtId="10" xfId="0" applyAlignment="1" applyBorder="1" applyFill="1" applyFont="1" applyNumberFormat="1">
      <alignment horizontal="left"/>
    </xf>
    <xf borderId="20" fillId="4" fontId="34" numFmtId="0" xfId="0" applyAlignment="1" applyBorder="1" applyFill="1" applyFont="1">
      <alignment horizontal="right" readingOrder="0"/>
    </xf>
    <xf borderId="55" fillId="3" fontId="53" numFmtId="0" xfId="0" applyAlignment="1" applyBorder="1" applyFill="1" applyFont="1">
      <alignment horizontal="left"/>
    </xf>
    <xf borderId="65" fillId="4" fontId="34" numFmtId="10" xfId="0" applyAlignment="1" applyBorder="1" applyFill="1" applyFont="1" applyNumberFormat="1">
      <alignment horizontal="left"/>
    </xf>
    <xf borderId="66" fillId="3" fontId="53" numFmtId="0" xfId="0" applyAlignment="1" applyBorder="1" applyFill="1" applyFont="1">
      <alignment horizontal="left"/>
    </xf>
    <xf borderId="12" fillId="0" fontId="2" numFmtId="0" xfId="0" applyAlignment="1" applyBorder="1" applyFont="1">
      <alignment horizontal="left"/>
    </xf>
    <xf borderId="67" fillId="0" fontId="2" numFmtId="0" xfId="0" applyAlignment="1" applyBorder="1" applyFont="1">
      <alignment horizontal="left"/>
    </xf>
    <xf borderId="67" fillId="0" fontId="2" numFmtId="0" xfId="0" applyBorder="1" applyFont="1"/>
    <xf borderId="68" fillId="0" fontId="2" numFmtId="0" xfId="0" applyBorder="1" applyFont="1"/>
    <xf borderId="44" fillId="0" fontId="2" numFmtId="0" xfId="0" applyBorder="1" applyFont="1"/>
    <xf borderId="57" fillId="0" fontId="2" numFmtId="0" xfId="0" applyBorder="1" applyFont="1"/>
    <xf borderId="10" fillId="16" fontId="0" numFmtId="0" xfId="0" applyAlignment="1" applyBorder="1" applyFill="1" applyFont="1">
      <alignment readingOrder="0" vertical="top"/>
    </xf>
    <xf borderId="58" fillId="16" fontId="34" numFmtId="4" xfId="0" applyBorder="1" applyFill="1" applyFont="1" applyNumberFormat="1"/>
    <xf borderId="0" fillId="0" fontId="2" numFmtId="4" xfId="0" applyAlignment="1" applyFont="1" applyNumberFormat="1">
      <alignment horizontal="right" readingOrder="0"/>
    </xf>
    <xf borderId="10" fillId="0" fontId="2" numFmtId="4" xfId="0" applyAlignment="1" applyBorder="1" applyFont="1" applyNumberFormat="1">
      <alignment readingOrder="0"/>
    </xf>
    <xf borderId="55" fillId="2" fontId="62" numFmtId="10" xfId="0" applyBorder="1" applyFill="1" applyFont="1" applyNumberFormat="1"/>
    <xf borderId="54" fillId="0" fontId="34" numFmtId="4" xfId="0" applyBorder="1" applyFont="1" applyNumberFormat="1"/>
    <xf borderId="12" fillId="0" fontId="34" numFmtId="10" xfId="0" applyBorder="1" applyFont="1" applyNumberFormat="1"/>
    <xf borderId="17" fillId="0" fontId="34" numFmtId="10" xfId="0" applyBorder="1" applyFont="1" applyNumberFormat="1"/>
    <xf borderId="0" fillId="0" fontId="2" numFmtId="0" xfId="0" applyFont="1"/>
    <xf borderId="58" fillId="20" fontId="34" numFmtId="0" xfId="0" applyBorder="1" applyFill="1" applyFont="1"/>
    <xf borderId="59" fillId="20" fontId="34" numFmtId="2" xfId="0" applyBorder="1" applyFill="1" applyFont="1" applyNumberFormat="1"/>
    <xf borderId="10" fillId="0" fontId="2" numFmtId="3" xfId="0" applyAlignment="1" applyBorder="1" applyFont="1" applyNumberFormat="1">
      <alignment readingOrder="0"/>
    </xf>
    <xf borderId="0" fillId="0" fontId="2" numFmtId="3" xfId="0" applyAlignment="1" applyFont="1" applyNumberFormat="1">
      <alignment horizontal="right" readingOrder="0"/>
    </xf>
    <xf borderId="20" fillId="0" fontId="0" numFmtId="0" xfId="0" applyAlignment="1" applyBorder="1" applyFont="1">
      <alignment readingOrder="0" vertical="bottom"/>
    </xf>
    <xf borderId="28" fillId="0" fontId="11" numFmtId="0" xfId="0" applyAlignment="1" applyBorder="1" applyFont="1">
      <alignment horizontal="right" vertical="bottom"/>
    </xf>
    <xf borderId="28" fillId="0" fontId="0" numFmtId="0" xfId="0" applyAlignment="1" applyBorder="1" applyFont="1">
      <alignment readingOrder="0" vertical="bottom"/>
    </xf>
    <xf borderId="28" fillId="8" fontId="2" numFmtId="0" xfId="0" applyBorder="1" applyFill="1" applyFont="1"/>
    <xf borderId="28" fillId="0" fontId="59" numFmtId="0" xfId="0" applyBorder="1" applyFont="1"/>
    <xf borderId="28" fillId="0" fontId="59" numFmtId="2" xfId="0" applyBorder="1" applyFont="1" applyNumberFormat="1"/>
    <xf borderId="69" fillId="7" fontId="34" numFmtId="0" xfId="0" applyBorder="1" applyFill="1" applyFont="1"/>
    <xf borderId="70" fillId="7" fontId="34" numFmtId="2" xfId="0" applyBorder="1" applyFill="1" applyFont="1" applyNumberFormat="1"/>
    <xf borderId="28" fillId="2" fontId="2" numFmtId="0" xfId="0" applyBorder="1" applyFill="1" applyFont="1"/>
    <xf borderId="28" fillId="0" fontId="2" numFmtId="0" xfId="0" applyAlignment="1" applyBorder="1" applyFont="1">
      <alignment horizontal="right" readingOrder="0"/>
    </xf>
    <xf borderId="30" fillId="0" fontId="2" numFmtId="0" xfId="0" applyBorder="1" applyFont="1"/>
    <xf borderId="1" fillId="16" fontId="63" numFmtId="0" xfId="0" applyAlignment="1" applyBorder="1" applyFill="1" applyFont="1">
      <alignment readingOrder="0" vertical="bottom"/>
    </xf>
    <xf borderId="2" fillId="16" fontId="0" numFmtId="0" xfId="0" applyAlignment="1" applyBorder="1" applyFill="1" applyFont="1">
      <alignment readingOrder="0" vertical="bottom"/>
    </xf>
    <xf borderId="2" fillId="16" fontId="2" numFmtId="0" xfId="0" applyBorder="1" applyFill="1" applyFont="1"/>
    <xf borderId="3" fillId="16" fontId="2" numFmtId="0" xfId="0" applyBorder="1" applyFill="1" applyFont="1"/>
    <xf borderId="0" fillId="0" fontId="2" numFmtId="0" xfId="0" applyAlignment="1" applyFont="1">
      <alignment horizontal="right"/>
    </xf>
    <xf borderId="11" fillId="16" fontId="2" numFmtId="0" xfId="0" applyBorder="1" applyFill="1" applyFont="1"/>
    <xf borderId="0" fillId="0" fontId="0" numFmtId="0" xfId="0" applyAlignment="1" applyFont="1">
      <alignment horizontal="right" readingOrder="0" vertical="bottom"/>
    </xf>
    <xf borderId="20" fillId="16" fontId="0" numFmtId="0" xfId="0" applyAlignment="1" applyBorder="1" applyFill="1" applyFont="1">
      <alignment readingOrder="0" vertical="top"/>
    </xf>
    <xf borderId="28" fillId="16" fontId="2" numFmtId="168" xfId="0" applyAlignment="1" applyBorder="1" applyFill="1" applyFont="1" applyNumberFormat="1">
      <alignment readingOrder="0"/>
    </xf>
    <xf borderId="28" fillId="16" fontId="2" numFmtId="168" xfId="0" applyBorder="1" applyFill="1" applyFont="1" applyNumberFormat="1"/>
    <xf borderId="28" fillId="16" fontId="2" numFmtId="0" xfId="0" applyBorder="1" applyFill="1" applyFont="1"/>
    <xf borderId="28" fillId="16" fontId="2" numFmtId="0" xfId="0" applyAlignment="1" applyBorder="1" applyFill="1" applyFont="1">
      <alignment readingOrder="0"/>
    </xf>
    <xf borderId="30" fillId="16" fontId="2" numFmtId="0" xfId="0" applyBorder="1" applyFill="1" applyFont="1"/>
    <xf borderId="0" fillId="0" fontId="33" numFmtId="0" xfId="0" applyAlignment="1" applyFont="1">
      <alignment horizontal="center" readingOrder="0"/>
    </xf>
    <xf borderId="0" fillId="0" fontId="33" numFmtId="0" xfId="0" applyAlignment="1" applyFont="1">
      <alignment readingOrder="0"/>
    </xf>
    <xf borderId="0" fillId="0" fontId="2" numFmtId="168" xfId="0" applyFont="1" applyNumberFormat="1"/>
    <xf borderId="0" fillId="0" fontId="2" numFmtId="168" xfId="0" applyAlignment="1" applyFont="1" applyNumberFormat="1">
      <alignment horizontal="right"/>
    </xf>
    <xf borderId="63" fillId="4" fontId="33" numFmtId="0" xfId="0" applyAlignment="1" applyBorder="1" applyFill="1" applyFont="1">
      <alignment readingOrder="0"/>
    </xf>
    <xf borderId="0" fillId="0" fontId="34" numFmtId="1" xfId="0" applyAlignment="1" applyFont="1" applyNumberFormat="1">
      <alignment horizontal="left"/>
    </xf>
    <xf borderId="64" fillId="4" fontId="34" numFmtId="1" xfId="0" applyAlignment="1" applyBorder="1" applyFill="1" applyFont="1" applyNumberFormat="1">
      <alignment horizontal="left"/>
    </xf>
    <xf borderId="64" fillId="4" fontId="0" numFmtId="0" xfId="0" applyAlignment="1" applyBorder="1" applyFill="1" applyFont="1">
      <alignment readingOrder="0" vertical="bottom"/>
    </xf>
    <xf borderId="0" fillId="0" fontId="34" numFmtId="2" xfId="0" applyAlignment="1" applyFont="1" applyNumberFormat="1">
      <alignment horizontal="left"/>
    </xf>
    <xf borderId="64" fillId="4" fontId="34" numFmtId="2" xfId="0" applyAlignment="1" applyBorder="1" applyFill="1" applyFont="1" applyNumberFormat="1">
      <alignment horizontal="left"/>
    </xf>
    <xf borderId="65" fillId="4" fontId="2" numFmtId="0" xfId="0" applyAlignment="1" applyBorder="1" applyFill="1" applyFont="1">
      <alignment readingOrder="0"/>
    </xf>
    <xf borderId="65" fillId="4" fontId="34" numFmtId="1" xfId="0" applyAlignment="1" applyBorder="1" applyFill="1" applyFont="1" applyNumberFormat="1">
      <alignment horizontal="left"/>
    </xf>
    <xf borderId="0" fillId="0" fontId="2" numFmtId="1" xfId="0" applyFont="1" applyNumberFormat="1"/>
    <xf borderId="0" fillId="0" fontId="2" numFmtId="1" xfId="0" applyAlignment="1" applyFont="1" applyNumberFormat="1">
      <alignment horizontal="right"/>
    </xf>
    <xf borderId="0" fillId="2" fontId="3" numFmtId="0" xfId="0" applyAlignment="1" applyFill="1" applyFont="1">
      <alignment readingOrder="0" shrinkToFit="0" vertical="bottom" wrapText="0"/>
    </xf>
    <xf borderId="0" fillId="2" fontId="3" numFmtId="0" xfId="0" applyAlignment="1" applyFill="1" applyFont="1">
      <alignment readingOrder="0" shrinkToFit="0" wrapText="1"/>
    </xf>
    <xf borderId="0" fillId="2" fontId="3" numFmtId="0" xfId="0" applyAlignment="1" applyFill="1" applyFont="1">
      <alignment readingOrder="0"/>
    </xf>
    <xf borderId="11" fillId="2" fontId="3" numFmtId="0" xfId="0" applyAlignment="1" applyBorder="1" applyFill="1" applyFont="1">
      <alignment readingOrder="0"/>
    </xf>
    <xf borderId="0" fillId="0" fontId="53" numFmtId="0" xfId="0" applyFont="1"/>
    <xf borderId="0" fillId="0" fontId="0" numFmtId="0" xfId="0" applyAlignment="1" applyFont="1">
      <alignment readingOrder="0" shrinkToFit="0" vertical="bottom" wrapText="0"/>
    </xf>
    <xf borderId="0" fillId="0" fontId="34" numFmtId="2" xfId="0" applyAlignment="1" applyFont="1" applyNumberFormat="1">
      <alignment horizontal="right" readingOrder="0" vertical="bottom"/>
    </xf>
    <xf borderId="11" fillId="0" fontId="2" numFmtId="2" xfId="0" applyAlignment="1" applyBorder="1" applyFont="1" applyNumberFormat="1">
      <alignment readingOrder="0"/>
    </xf>
    <xf borderId="11" fillId="0" fontId="2" numFmtId="2" xfId="0" applyBorder="1" applyFont="1" applyNumberFormat="1"/>
    <xf borderId="55" fillId="2" fontId="53" numFmtId="0" xfId="0" applyBorder="1" applyFill="1" applyFont="1"/>
    <xf borderId="56" fillId="2" fontId="53" numFmtId="0" xfId="0" applyBorder="1" applyFill="1" applyFont="1"/>
    <xf borderId="66" fillId="2" fontId="53" numFmtId="0" xfId="0" applyBorder="1" applyFill="1" applyFont="1"/>
    <xf borderId="50" fillId="8" fontId="45" numFmtId="9" xfId="0" applyAlignment="1" applyBorder="1" applyFill="1" applyFont="1" applyNumberFormat="1">
      <alignment readingOrder="0"/>
    </xf>
    <xf borderId="0" fillId="0" fontId="0" numFmtId="1" xfId="0" applyAlignment="1" applyFont="1" applyNumberFormat="1">
      <alignment readingOrder="0" vertical="bottom"/>
    </xf>
    <xf borderId="0" fillId="0" fontId="0" numFmtId="1" xfId="0" applyAlignment="1" applyFont="1" applyNumberFormat="1">
      <alignment horizontal="right" readingOrder="0" vertical="bottom"/>
    </xf>
    <xf borderId="49" fillId="18" fontId="48" numFmtId="4" xfId="0" applyBorder="1" applyFill="1" applyFont="1" applyNumberFormat="1"/>
    <xf borderId="28" fillId="0" fontId="0" numFmtId="0" xfId="0" applyAlignment="1" applyBorder="1" applyFont="1">
      <alignment readingOrder="0" shrinkToFit="0" vertical="bottom" wrapText="0"/>
    </xf>
    <xf borderId="28" fillId="0" fontId="34" numFmtId="2" xfId="0" applyAlignment="1" applyBorder="1" applyFont="1" applyNumberFormat="1">
      <alignment horizontal="right" readingOrder="0" vertical="bottom"/>
    </xf>
    <xf borderId="30" fillId="0" fontId="2" numFmtId="2" xfId="0" applyBorder="1" applyFont="1" applyNumberFormat="1"/>
    <xf borderId="0" fillId="0" fontId="64" numFmtId="0" xfId="0" applyAlignment="1" applyFont="1">
      <alignment readingOrder="0"/>
    </xf>
    <xf borderId="49" fillId="18" fontId="48" numFmtId="2" xfId="0" applyBorder="1" applyFill="1" applyFont="1" applyNumberFormat="1"/>
    <xf borderId="64" fillId="4" fontId="2" numFmtId="0" xfId="0" applyAlignment="1" applyBorder="1" applyFill="1" applyFont="1">
      <alignment readingOrder="0"/>
    </xf>
    <xf borderId="65" fillId="4" fontId="0" numFmtId="0" xfId="0" applyAlignment="1" applyBorder="1" applyFill="1" applyFont="1">
      <alignment readingOrder="0" shrinkToFit="0" vertical="bottom" wrapText="0"/>
    </xf>
    <xf borderId="65" fillId="4" fontId="34" numFmtId="2" xfId="0" applyAlignment="1" applyBorder="1" applyFill="1" applyFont="1" applyNumberFormat="1">
      <alignment horizontal="left"/>
    </xf>
    <xf borderId="49" fillId="0" fontId="45" numFmtId="4" xfId="0" applyBorder="1" applyFont="1" applyNumberFormat="1"/>
    <xf borderId="49" fillId="8" fontId="2" numFmtId="2" xfId="0" applyAlignment="1" applyBorder="1" applyFill="1" applyFont="1" applyNumberFormat="1">
      <alignment readingOrder="0"/>
    </xf>
    <xf borderId="49" fillId="18" fontId="48" numFmtId="10" xfId="0" applyBorder="1" applyFill="1" applyFont="1" applyNumberFormat="1"/>
    <xf borderId="53" fillId="18" fontId="48" numFmtId="2" xfId="0" applyBorder="1" applyFill="1" applyFont="1" applyNumberFormat="1"/>
    <xf borderId="0" fillId="0" fontId="48" numFmtId="2" xfId="0" applyFont="1" applyNumberFormat="1"/>
    <xf borderId="0" fillId="19" fontId="2" numFmtId="0" xfId="0" applyFill="1" applyFont="1"/>
    <xf borderId="10" fillId="0" fontId="2" numFmtId="0" xfId="0" applyBorder="1" applyFont="1"/>
    <xf borderId="1" fillId="2" fontId="3" numFmtId="0" xfId="0" applyAlignment="1" applyBorder="1" applyFill="1" applyFont="1">
      <alignment readingOrder="0"/>
    </xf>
    <xf borderId="0" fillId="2" fontId="3" numFmtId="0" xfId="0" applyAlignment="1" applyFill="1" applyFont="1">
      <alignment readingOrder="0"/>
    </xf>
    <xf borderId="10" fillId="0" fontId="45" numFmtId="0" xfId="0" applyAlignment="1" applyBorder="1" applyFont="1">
      <alignment horizontal="right" readingOrder="0" vertical="bottom"/>
    </xf>
    <xf borderId="0" fillId="2" fontId="3" numFmtId="0" xfId="0" applyAlignment="1" applyFill="1" applyFont="1">
      <alignment horizontal="left" readingOrder="0"/>
    </xf>
    <xf borderId="0" fillId="8" fontId="7" numFmtId="0" xfId="0" applyAlignment="1" applyFill="1" applyFont="1">
      <alignment readingOrder="0"/>
    </xf>
    <xf borderId="0" fillId="8" fontId="34" numFmtId="0" xfId="0" applyAlignment="1" applyFill="1" applyFont="1">
      <alignment readingOrder="0"/>
    </xf>
    <xf borderId="0" fillId="8" fontId="2" numFmtId="0" xfId="0" applyAlignment="1" applyFill="1" applyFont="1">
      <alignment readingOrder="0"/>
    </xf>
    <xf borderId="11" fillId="0" fontId="2" numFmtId="2" xfId="0" applyAlignment="1" applyBorder="1" applyFont="1" applyNumberFormat="1">
      <alignment readingOrder="0"/>
    </xf>
    <xf borderId="0" fillId="8" fontId="2" numFmtId="0" xfId="0" applyAlignment="1" applyFill="1" applyFont="1">
      <alignment horizontal="right" readingOrder="0"/>
    </xf>
    <xf borderId="11" fillId="8" fontId="2" numFmtId="0" xfId="0" applyAlignment="1" applyBorder="1" applyFill="1" applyFont="1">
      <alignment readingOrder="0"/>
    </xf>
    <xf borderId="0" fillId="8" fontId="52" numFmtId="0" xfId="0" applyAlignment="1" applyFill="1" applyFont="1">
      <alignment readingOrder="0"/>
    </xf>
    <xf borderId="10" fillId="18" fontId="61" numFmtId="9" xfId="0" applyBorder="1" applyFill="1" applyFont="1" applyNumberFormat="1"/>
    <xf borderId="0" fillId="18" fontId="61" numFmtId="2" xfId="0" applyFill="1" applyFont="1" applyNumberFormat="1"/>
    <xf borderId="0" fillId="18" fontId="61" numFmtId="9" xfId="0" applyFill="1" applyFont="1" applyNumberFormat="1"/>
    <xf borderId="11" fillId="18" fontId="61" numFmtId="2" xfId="0" applyBorder="1" applyFill="1" applyFont="1" applyNumberFormat="1"/>
    <xf borderId="0" fillId="18" fontId="48" numFmtId="0" xfId="0" applyAlignment="1" applyFill="1" applyFont="1">
      <alignment horizontal="right" readingOrder="0"/>
    </xf>
    <xf borderId="11" fillId="18" fontId="48" numFmtId="0" xfId="0" applyAlignment="1" applyBorder="1" applyFill="1" applyFont="1">
      <alignment horizontal="right" readingOrder="0"/>
    </xf>
    <xf borderId="0" fillId="8" fontId="48" numFmtId="0" xfId="0" applyAlignment="1" applyFill="1" applyFont="1">
      <alignment horizontal="right" readingOrder="0"/>
    </xf>
    <xf borderId="0" fillId="8" fontId="11" numFmtId="0" xfId="0" applyAlignment="1" applyFill="1" applyFont="1">
      <alignment vertical="bottom"/>
    </xf>
    <xf borderId="0" fillId="8" fontId="11" numFmtId="0" xfId="0" applyAlignment="1" applyFill="1" applyFont="1">
      <alignment horizontal="right" vertical="bottom"/>
    </xf>
    <xf borderId="0" fillId="0" fontId="0" numFmtId="2" xfId="0" applyAlignment="1" applyFont="1" applyNumberFormat="1">
      <alignment readingOrder="0"/>
    </xf>
    <xf borderId="20" fillId="0" fontId="45" numFmtId="0" xfId="0" applyAlignment="1" applyBorder="1" applyFont="1">
      <alignment horizontal="right" readingOrder="0" vertical="bottom"/>
    </xf>
    <xf borderId="28" fillId="0" fontId="2" numFmtId="2" xfId="0" applyAlignment="1" applyBorder="1" applyFont="1" applyNumberFormat="1">
      <alignment readingOrder="0"/>
    </xf>
    <xf borderId="30" fillId="0" fontId="2" numFmtId="2" xfId="0" applyAlignment="1" applyBorder="1" applyFont="1" applyNumberFormat="1">
      <alignment readingOrder="0"/>
    </xf>
    <xf borderId="0" fillId="0" fontId="2" numFmtId="2" xfId="0" applyFont="1" applyNumberFormat="1"/>
    <xf borderId="0" fillId="0" fontId="65" numFmtId="2" xfId="0" applyAlignment="1" applyFont="1" applyNumberFormat="1">
      <alignment horizontal="center" readingOrder="0"/>
    </xf>
    <xf borderId="0" fillId="0" fontId="2" numFmtId="2" xfId="0" applyAlignment="1" applyFont="1" applyNumberFormat="1">
      <alignment horizontal="center" readingOrder="0"/>
    </xf>
    <xf borderId="55" fillId="2" fontId="53" numFmtId="2" xfId="0" applyBorder="1" applyFill="1" applyFont="1" applyNumberFormat="1"/>
    <xf borderId="12" fillId="0" fontId="2" numFmtId="2" xfId="0" applyBorder="1" applyFont="1" applyNumberFormat="1"/>
    <xf borderId="17" fillId="0" fontId="2" numFmtId="2" xfId="0" applyBorder="1" applyFont="1" applyNumberFormat="1"/>
    <xf borderId="28" fillId="8" fontId="34" numFmtId="0" xfId="0" applyAlignment="1" applyBorder="1" applyFill="1" applyFont="1">
      <alignment readingOrder="0"/>
    </xf>
    <xf borderId="28" fillId="8" fontId="2" numFmtId="0" xfId="0" applyAlignment="1" applyBorder="1" applyFill="1" applyFont="1">
      <alignment readingOrder="0"/>
    </xf>
    <xf borderId="28" fillId="8" fontId="2" numFmtId="0" xfId="0" applyAlignment="1" applyBorder="1" applyFill="1" applyFont="1">
      <alignment horizontal="right" readingOrder="0"/>
    </xf>
    <xf borderId="30" fillId="8" fontId="2" numFmtId="0" xfId="0" applyAlignment="1" applyBorder="1" applyFill="1" applyFont="1">
      <alignment readingOrder="0"/>
    </xf>
    <xf borderId="0" fillId="8" fontId="7" numFmtId="0" xfId="0" applyFill="1" applyFont="1"/>
    <xf borderId="27" fillId="8" fontId="5" numFmtId="0" xfId="0" applyBorder="1" applyFill="1" applyFont="1"/>
    <xf borderId="0" fillId="8" fontId="33" numFmtId="0" xfId="0" applyAlignment="1" applyFill="1" applyFont="1">
      <alignment readingOrder="0"/>
    </xf>
    <xf borderId="0" fillId="8" fontId="0" numFmtId="0" xfId="0" applyAlignment="1" applyFill="1" applyFont="1">
      <alignment readingOrder="0" shrinkToFit="0" vertical="bottom" wrapText="0"/>
    </xf>
    <xf borderId="0" fillId="8" fontId="66" numFmtId="0" xfId="0" applyAlignment="1" applyFill="1" applyFont="1">
      <alignment horizontal="center" readingOrder="0"/>
    </xf>
    <xf borderId="12" fillId="8" fontId="2" numFmtId="0" xfId="0" applyBorder="1" applyFill="1" applyFont="1"/>
    <xf borderId="67" fillId="8" fontId="7" numFmtId="0" xfId="0" applyBorder="1" applyFill="1" applyFont="1"/>
    <xf borderId="17" fillId="8" fontId="2" numFmtId="0" xfId="0" applyBorder="1" applyFill="1" applyFont="1"/>
    <xf borderId="19" fillId="8" fontId="7" numFmtId="0" xfId="0" applyBorder="1" applyFill="1" applyFont="1"/>
    <xf borderId="68" fillId="8" fontId="7" numFmtId="0" xfId="0" applyBorder="1" applyFill="1" applyFont="1"/>
    <xf borderId="49" fillId="0" fontId="2" numFmtId="0" xfId="0" applyAlignment="1" applyBorder="1" applyFont="1">
      <alignment readingOrder="0"/>
    </xf>
    <xf borderId="0" fillId="2" fontId="67" numFmtId="0" xfId="0" applyAlignment="1" applyFill="1" applyFont="1">
      <alignment readingOrder="0" vertical="bottom"/>
    </xf>
    <xf borderId="0" fillId="2" fontId="67" numFmtId="0" xfId="0" applyAlignment="1" applyFill="1" applyFont="1">
      <alignment vertical="bottom"/>
    </xf>
    <xf borderId="11" fillId="2" fontId="67" numFmtId="0" xfId="0" applyAlignment="1" applyBorder="1" applyFill="1" applyFont="1">
      <alignment readingOrder="0" vertical="bottom"/>
    </xf>
    <xf borderId="0" fillId="0" fontId="11" numFmtId="0" xfId="0" applyAlignment="1" applyFont="1">
      <alignment vertical="bottom"/>
    </xf>
    <xf borderId="0" fillId="18" fontId="68" numFmtId="9" xfId="0" applyAlignment="1" applyFill="1" applyFont="1" applyNumberFormat="1">
      <alignment vertical="bottom"/>
    </xf>
    <xf borderId="11" fillId="18" fontId="68" numFmtId="2" xfId="0" applyAlignment="1" applyBorder="1" applyFill="1" applyFont="1" applyNumberFormat="1">
      <alignment vertical="bottom"/>
    </xf>
    <xf borderId="0" fillId="0" fontId="11" numFmtId="10" xfId="0" applyAlignment="1" applyFont="1" applyNumberFormat="1">
      <alignment horizontal="right" vertical="bottom"/>
    </xf>
    <xf borderId="0" fillId="0" fontId="11" numFmtId="0" xfId="0" applyAlignment="1" applyFont="1">
      <alignment horizontal="right" vertical="bottom"/>
    </xf>
    <xf borderId="11" fillId="0" fontId="24" numFmtId="2" xfId="0" applyAlignment="1" applyBorder="1" applyFont="1" applyNumberFormat="1">
      <alignment vertical="bottom"/>
    </xf>
    <xf borderId="0" fillId="0" fontId="69" numFmtId="0" xfId="0" applyAlignment="1" applyFont="1">
      <alignment vertical="bottom"/>
    </xf>
    <xf borderId="0" fillId="0" fontId="70" numFmtId="0" xfId="0" applyAlignment="1" applyFont="1">
      <alignment shrinkToFit="0" vertical="bottom" wrapText="0"/>
    </xf>
    <xf borderId="0" fillId="0" fontId="11" numFmtId="0" xfId="0" applyAlignment="1" applyFont="1">
      <alignment readingOrder="0" vertical="bottom"/>
    </xf>
    <xf borderId="0" fillId="2" fontId="67" numFmtId="2" xfId="0" applyAlignment="1" applyFill="1" applyFont="1" applyNumberFormat="1">
      <alignment readingOrder="0" vertical="bottom"/>
    </xf>
    <xf borderId="0" fillId="2" fontId="67" numFmtId="2" xfId="0" applyAlignment="1" applyFill="1" applyFont="1" applyNumberFormat="1">
      <alignment vertical="bottom"/>
    </xf>
    <xf borderId="0" fillId="2" fontId="3" numFmtId="2" xfId="0" applyAlignment="1" applyFill="1" applyFont="1" applyNumberFormat="1">
      <alignment readingOrder="0" shrinkToFit="0" vertical="bottom" wrapText="0"/>
    </xf>
    <xf borderId="0" fillId="0" fontId="34" numFmtId="2" xfId="0" applyAlignment="1" applyFont="1" applyNumberFormat="1">
      <alignment readingOrder="0"/>
    </xf>
    <xf borderId="11" fillId="0" fontId="0" numFmtId="2" xfId="0" applyBorder="1" applyFont="1" applyNumberFormat="1"/>
    <xf borderId="28" fillId="0" fontId="11" numFmtId="0" xfId="0" applyAlignment="1" applyBorder="1" applyFont="1">
      <alignment vertical="bottom"/>
    </xf>
    <xf borderId="28" fillId="0" fontId="11" numFmtId="10" xfId="0" applyAlignment="1" applyBorder="1" applyFont="1" applyNumberFormat="1">
      <alignment horizontal="right" vertical="bottom"/>
    </xf>
    <xf borderId="28" fillId="0" fontId="11" numFmtId="0" xfId="0" applyAlignment="1" applyBorder="1" applyFont="1">
      <alignment horizontal="right" vertical="bottom"/>
    </xf>
    <xf borderId="30" fillId="0" fontId="24" numFmtId="2" xfId="0" applyAlignment="1" applyBorder="1" applyFont="1" applyNumberFormat="1">
      <alignment vertical="bottom"/>
    </xf>
    <xf borderId="64" fillId="4" fontId="11" numFmtId="0" xfId="0" applyAlignment="1" applyBorder="1" applyFill="1" applyFont="1">
      <alignment vertical="bottom"/>
    </xf>
    <xf borderId="65" fillId="4" fontId="11" numFmtId="0" xfId="0" applyAlignment="1" applyBorder="1" applyFill="1" applyFont="1">
      <alignment vertical="bottom"/>
    </xf>
    <xf borderId="64" fillId="4" fontId="2" numFmtId="9" xfId="0" applyAlignment="1" applyBorder="1" applyFill="1" applyFont="1" applyNumberFormat="1">
      <alignment horizontal="left"/>
    </xf>
    <xf borderId="0" fillId="0" fontId="71" numFmtId="0" xfId="0" applyAlignment="1" applyFont="1">
      <alignment readingOrder="0"/>
    </xf>
    <xf borderId="56" fillId="2" fontId="48" numFmtId="0" xfId="0" applyBorder="1" applyFill="1" applyFont="1"/>
    <xf borderId="66" fillId="2" fontId="48" numFmtId="0" xfId="0" applyBorder="1" applyFill="1" applyFont="1"/>
    <xf borderId="0" fillId="0" fontId="11" numFmtId="9" xfId="0" applyAlignment="1" applyFont="1" applyNumberFormat="1">
      <alignment horizontal="right" vertical="bottom"/>
    </xf>
    <xf borderId="0" fillId="0" fontId="24" numFmtId="2" xfId="0" applyAlignment="1" applyFont="1" applyNumberFormat="1">
      <alignment horizontal="left" readingOrder="0" vertical="bottom"/>
    </xf>
    <xf borderId="11" fillId="0" fontId="24" numFmtId="2" xfId="0" applyAlignment="1" applyBorder="1" applyFont="1" applyNumberFormat="1">
      <alignment horizontal="right" readingOrder="0" vertical="bottom"/>
    </xf>
    <xf borderId="0" fillId="0" fontId="11" numFmtId="0" xfId="0" applyAlignment="1" applyFont="1">
      <alignment horizontal="right" readingOrder="0" vertical="bottom"/>
    </xf>
    <xf borderId="0" fillId="18" fontId="68" numFmtId="0" xfId="0" applyAlignment="1" applyFill="1" applyFont="1">
      <alignment vertical="bottom"/>
    </xf>
    <xf borderId="11" fillId="18" fontId="68" numFmtId="0" xfId="0" applyAlignment="1" applyBorder="1" applyFill="1" applyFont="1">
      <alignment vertical="bottom"/>
    </xf>
    <xf borderId="0" fillId="0" fontId="24" numFmtId="0" xfId="0" applyAlignment="1" applyFont="1">
      <alignment vertical="bottom"/>
    </xf>
    <xf borderId="0" fillId="0" fontId="11" numFmtId="0" xfId="0" applyAlignment="1" applyFont="1">
      <alignment readingOrder="0" shrinkToFit="0" vertical="bottom" wrapText="0"/>
    </xf>
    <xf borderId="49" fillId="8" fontId="0" numFmtId="166" xfId="0" applyBorder="1" applyFill="1" applyFont="1" applyNumberFormat="1"/>
    <xf borderId="0" fillId="0" fontId="11" numFmtId="9" xfId="0" applyAlignment="1" applyFont="1" applyNumberFormat="1">
      <alignment vertical="bottom"/>
    </xf>
    <xf borderId="28" fillId="0" fontId="11" numFmtId="9" xfId="0" applyAlignment="1" applyBorder="1" applyFont="1" applyNumberFormat="1">
      <alignment horizontal="right" vertical="bottom"/>
    </xf>
    <xf borderId="28" fillId="0" fontId="24" numFmtId="0" xfId="0" applyAlignment="1" applyBorder="1" applyFont="1">
      <alignment vertical="bottom"/>
    </xf>
    <xf borderId="30" fillId="0" fontId="24" numFmtId="2" xfId="0" applyAlignment="1" applyBorder="1" applyFont="1" applyNumberFormat="1">
      <alignment horizontal="right" readingOrder="0" vertical="bottom"/>
    </xf>
    <xf borderId="0" fillId="0" fontId="45" numFmtId="2" xfId="0" applyAlignment="1" applyFont="1" applyNumberFormat="1">
      <alignment horizontal="right"/>
    </xf>
    <xf borderId="64" fillId="4" fontId="34" numFmtId="169" xfId="0" applyAlignment="1" applyBorder="1" applyFill="1" applyFont="1" applyNumberFormat="1">
      <alignment horizontal="left"/>
    </xf>
    <xf borderId="65" fillId="4" fontId="34" numFmtId="169" xfId="0" applyAlignment="1" applyBorder="1" applyFill="1" applyFont="1" applyNumberFormat="1">
      <alignment horizontal="left"/>
    </xf>
    <xf borderId="0" fillId="0" fontId="72" numFmtId="0" xfId="0" applyAlignment="1" applyFont="1">
      <alignment horizontal="center" readingOrder="0" vertical="bottom"/>
    </xf>
    <xf borderId="0" fillId="0" fontId="11" numFmtId="0" xfId="0" applyAlignment="1" applyFont="1">
      <alignment horizontal="center" readingOrder="0" vertical="bottom"/>
    </xf>
    <xf borderId="55" fillId="2" fontId="73" numFmtId="0" xfId="0" applyAlignment="1" applyBorder="1" applyFill="1" applyFont="1">
      <alignment vertical="bottom"/>
    </xf>
    <xf borderId="56" fillId="2" fontId="53" numFmtId="2" xfId="0" applyAlignment="1" applyBorder="1" applyFill="1" applyFont="1" applyNumberFormat="1">
      <alignment horizontal="right"/>
    </xf>
    <xf borderId="71" fillId="0" fontId="2" numFmtId="0" xfId="0" applyBorder="1" applyFont="1"/>
    <xf borderId="12" fillId="0" fontId="53" numFmtId="0" xfId="0" applyBorder="1" applyFont="1"/>
    <xf borderId="12" fillId="0" fontId="11" numFmtId="0" xfId="0" applyAlignment="1" applyBorder="1" applyFont="1">
      <alignment vertical="bottom"/>
    </xf>
    <xf borderId="72" fillId="0" fontId="2" numFmtId="0" xfId="0" applyBorder="1" applyFont="1"/>
    <xf borderId="72" fillId="0" fontId="2" numFmtId="166" xfId="0" applyBorder="1" applyFont="1" applyNumberFormat="1"/>
    <xf borderId="17" fillId="0" fontId="11" numFmtId="0" xfId="0" applyAlignment="1" applyBorder="1" applyFont="1">
      <alignment vertical="bottom"/>
    </xf>
    <xf borderId="19" fillId="0" fontId="45" numFmtId="2" xfId="0" applyAlignment="1" applyBorder="1" applyFont="1" applyNumberFormat="1">
      <alignment horizontal="right"/>
    </xf>
    <xf borderId="72" fillId="0" fontId="2" numFmtId="4" xfId="0" applyBorder="1" applyFont="1" applyNumberFormat="1"/>
    <xf borderId="72" fillId="0" fontId="2" numFmtId="2" xfId="0" applyAlignment="1" applyBorder="1" applyFont="1" applyNumberFormat="1">
      <alignment readingOrder="0"/>
    </xf>
    <xf borderId="72" fillId="0" fontId="2" numFmtId="0" xfId="0" applyBorder="1" applyFont="1"/>
    <xf borderId="72" fillId="0" fontId="2" numFmtId="2" xfId="0" applyBorder="1" applyFont="1" applyNumberFormat="1"/>
    <xf borderId="72" fillId="0" fontId="2" numFmtId="9" xfId="0" applyBorder="1" applyFont="1" applyNumberFormat="1"/>
    <xf borderId="73" fillId="8" fontId="45" numFmtId="9" xfId="0" applyAlignment="1" applyBorder="1" applyFill="1" applyFont="1" applyNumberFormat="1">
      <alignment readingOrder="0"/>
    </xf>
    <xf borderId="74" fillId="0" fontId="2" numFmtId="10" xfId="0" applyBorder="1" applyFont="1" applyNumberFormat="1"/>
    <xf borderId="72" fillId="0" fontId="2" numFmtId="10" xfId="0" applyAlignment="1" applyBorder="1" applyFont="1" applyNumberFormat="1">
      <alignment readingOrder="0"/>
    </xf>
    <xf borderId="72" fillId="0" fontId="34" numFmtId="2" xfId="0" applyAlignment="1" applyBorder="1" applyFont="1" applyNumberFormat="1">
      <alignment readingOrder="0"/>
    </xf>
    <xf borderId="72" fillId="0" fontId="2" numFmtId="167" xfId="0" applyBorder="1" applyFont="1" applyNumberFormat="1"/>
    <xf borderId="28" fillId="0" fontId="34" numFmtId="2" xfId="0" applyAlignment="1" applyBorder="1" applyFont="1" applyNumberFormat="1">
      <alignment readingOrder="0"/>
    </xf>
    <xf borderId="75" fillId="0" fontId="2" numFmtId="2" xfId="0" applyAlignment="1" applyBorder="1" applyFont="1" applyNumberFormat="1">
      <alignment readingOrder="0"/>
    </xf>
    <xf borderId="0" fillId="0" fontId="2" numFmtId="169" xfId="0" applyFont="1" applyNumberFormat="1"/>
    <xf borderId="30" fillId="0" fontId="0" numFmtId="2" xfId="0" applyBorder="1" applyFont="1" applyNumberFormat="1"/>
    <xf borderId="0" fillId="0" fontId="11" numFmtId="2" xfId="0" applyAlignment="1" applyFont="1" applyNumberFormat="1">
      <alignment vertical="bottom"/>
    </xf>
    <xf borderId="0" fillId="0" fontId="2" numFmtId="10" xfId="0" applyFont="1" applyNumberFormat="1"/>
    <xf borderId="24" fillId="4" fontId="33" numFmtId="2" xfId="0" applyAlignment="1" applyBorder="1" applyFill="1" applyFont="1" applyNumberFormat="1">
      <alignment horizontal="center" readingOrder="0"/>
    </xf>
    <xf borderId="10" fillId="4" fontId="34" numFmtId="2" xfId="0" applyAlignment="1" applyBorder="1" applyFill="1" applyFont="1" applyNumberFormat="1">
      <alignment horizontal="right" readingOrder="0"/>
    </xf>
    <xf borderId="64" fillId="4" fontId="0" numFmtId="0" xfId="0" applyAlignment="1" applyBorder="1" applyFill="1" applyFont="1">
      <alignment readingOrder="0" shrinkToFit="0" vertical="bottom" wrapText="0"/>
    </xf>
    <xf borderId="20" fillId="4" fontId="34" numFmtId="2" xfId="0" applyAlignment="1" applyBorder="1" applyFill="1" applyFont="1" applyNumberFormat="1">
      <alignment horizontal="right" readingOrder="0"/>
    </xf>
    <xf borderId="0" fillId="0" fontId="74" numFmtId="2" xfId="0" applyAlignment="1" applyFont="1" applyNumberFormat="1">
      <alignment horizontal="center" readingOrder="0" vertical="bottom"/>
    </xf>
    <xf borderId="0" fillId="0" fontId="11" numFmtId="2" xfId="0" applyAlignment="1" applyFont="1" applyNumberFormat="1">
      <alignment horizontal="center" readingOrder="0" vertical="bottom"/>
    </xf>
    <xf borderId="55" fillId="2" fontId="73" numFmtId="2" xfId="0" applyAlignment="1" applyBorder="1" applyFill="1" applyFont="1" applyNumberFormat="1">
      <alignment vertical="bottom"/>
    </xf>
    <xf borderId="56" fillId="2" fontId="73" numFmtId="2" xfId="0" applyAlignment="1" applyBorder="1" applyFill="1" applyFont="1" applyNumberFormat="1">
      <alignment vertical="bottom"/>
    </xf>
    <xf borderId="56" fillId="2" fontId="53" numFmtId="2" xfId="0" applyBorder="1" applyFill="1" applyFont="1" applyNumberFormat="1"/>
    <xf borderId="12" fillId="0" fontId="11" numFmtId="2" xfId="0" applyAlignment="1" applyBorder="1" applyFont="1" applyNumberFormat="1">
      <alignment vertical="bottom"/>
    </xf>
    <xf borderId="17" fillId="0" fontId="11" numFmtId="2" xfId="0" applyAlignment="1" applyBorder="1" applyFont="1" applyNumberFormat="1">
      <alignment vertical="bottom"/>
    </xf>
    <xf borderId="19" fillId="0" fontId="11" numFmtId="2" xfId="0" applyAlignment="1" applyBorder="1" applyFont="1" applyNumberFormat="1">
      <alignment vertical="bottom"/>
    </xf>
    <xf borderId="19" fillId="0" fontId="2" numFmtId="2" xfId="0" applyBorder="1" applyFont="1" applyNumberFormat="1"/>
    <xf borderId="0" fillId="2" fontId="3" numFmtId="168" xfId="0" applyAlignment="1" applyFill="1" applyFont="1" applyNumberFormat="1">
      <alignment readingOrder="0" shrinkToFit="0" vertical="bottom" wrapText="0"/>
    </xf>
    <xf borderId="0" fillId="2" fontId="56" numFmtId="168" xfId="0" applyAlignment="1" applyFill="1" applyFont="1" applyNumberFormat="1">
      <alignment readingOrder="0" shrinkToFit="0" vertical="bottom" wrapText="0"/>
    </xf>
    <xf borderId="0" fillId="2" fontId="3" numFmtId="168" xfId="0" applyAlignment="1" applyFill="1" applyFont="1" applyNumberFormat="1">
      <alignment readingOrder="0"/>
    </xf>
    <xf borderId="0" fillId="2" fontId="3" numFmtId="10" xfId="0" applyAlignment="1" applyFill="1" applyFont="1" applyNumberFormat="1">
      <alignment readingOrder="0"/>
    </xf>
    <xf borderId="0" fillId="0" fontId="7" numFmtId="0" xfId="0" applyAlignment="1" applyFont="1">
      <alignment readingOrder="0"/>
    </xf>
    <xf borderId="0" fillId="0" fontId="52" numFmtId="0" xfId="0" applyAlignment="1" applyFont="1">
      <alignment readingOrder="0"/>
    </xf>
    <xf borderId="28" fillId="0" fontId="34" numFmtId="2" xfId="0" applyBorder="1" applyFont="1" applyNumberFormat="1"/>
    <xf borderId="28" fillId="0" fontId="2" numFmtId="0" xfId="0" applyAlignment="1" applyBorder="1" applyFont="1">
      <alignment readingOrder="0"/>
    </xf>
    <xf borderId="0" fillId="0" fontId="0" numFmtId="168" xfId="0" applyAlignment="1" applyFont="1" applyNumberFormat="1">
      <alignment horizontal="right" readingOrder="0" shrinkToFit="0" vertical="bottom" wrapText="0"/>
    </xf>
    <xf borderId="24" fillId="4" fontId="33" numFmtId="168" xfId="0" applyAlignment="1" applyBorder="1" applyFill="1" applyFont="1" applyNumberFormat="1">
      <alignment horizontal="center" readingOrder="0"/>
    </xf>
    <xf borderId="63" fillId="4" fontId="33" numFmtId="168" xfId="0" applyAlignment="1" applyBorder="1" applyFill="1" applyFont="1" applyNumberFormat="1">
      <alignment readingOrder="0"/>
    </xf>
    <xf borderId="10" fillId="4" fontId="34" numFmtId="168" xfId="0" applyAlignment="1" applyBorder="1" applyFill="1" applyFont="1" applyNumberFormat="1">
      <alignment horizontal="right" readingOrder="0"/>
    </xf>
    <xf borderId="10" fillId="4" fontId="34" numFmtId="169" xfId="0" applyAlignment="1" applyBorder="1" applyFill="1" applyFont="1" applyNumberFormat="1">
      <alignment horizontal="left"/>
    </xf>
    <xf borderId="64" fillId="4" fontId="0" numFmtId="168" xfId="0" applyAlignment="1" applyBorder="1" applyFill="1" applyFont="1" applyNumberFormat="1">
      <alignment horizontal="left" readingOrder="0" shrinkToFit="0" vertical="bottom" wrapText="0"/>
    </xf>
    <xf borderId="65" fillId="4" fontId="0" numFmtId="168" xfId="0" applyAlignment="1" applyBorder="1" applyFill="1" applyFont="1" applyNumberFormat="1">
      <alignment horizontal="left" readingOrder="0" shrinkToFit="0" vertical="bottom" wrapText="0"/>
    </xf>
    <xf borderId="20" fillId="4" fontId="34" numFmtId="168" xfId="0" applyAlignment="1" applyBorder="1" applyFill="1" applyFont="1" applyNumberFormat="1">
      <alignment horizontal="right" readingOrder="0"/>
    </xf>
    <xf borderId="0" fillId="0" fontId="75" numFmtId="168" xfId="0" applyAlignment="1" applyFont="1" applyNumberFormat="1">
      <alignment horizontal="center" readingOrder="0" shrinkToFit="0" vertical="bottom" wrapText="0"/>
    </xf>
    <xf borderId="0" fillId="0" fontId="0" numFmtId="168" xfId="0" applyAlignment="1" applyFont="1" applyNumberFormat="1">
      <alignment horizontal="left" readingOrder="0" shrinkToFit="0" vertical="bottom" wrapText="0"/>
    </xf>
    <xf borderId="55" fillId="2" fontId="62" numFmtId="168" xfId="0" applyAlignment="1" applyBorder="1" applyFill="1" applyFont="1" applyNumberFormat="1">
      <alignment horizontal="left" readingOrder="0" shrinkToFit="0" vertical="bottom" wrapText="0"/>
    </xf>
    <xf borderId="56" fillId="2" fontId="62" numFmtId="168" xfId="0" applyAlignment="1" applyBorder="1" applyFill="1" applyFont="1" applyNumberFormat="1">
      <alignment horizontal="right" readingOrder="0" shrinkToFit="0" vertical="bottom" wrapText="0"/>
    </xf>
    <xf borderId="56" fillId="2" fontId="62" numFmtId="10" xfId="0" applyBorder="1" applyFill="1" applyFont="1" applyNumberFormat="1"/>
    <xf borderId="56" fillId="2" fontId="53" numFmtId="0" xfId="0" applyAlignment="1" applyBorder="1" applyFill="1" applyFont="1">
      <alignment readingOrder="0"/>
    </xf>
    <xf borderId="12" fillId="0" fontId="0" numFmtId="168" xfId="0" applyAlignment="1" applyBorder="1" applyFont="1" applyNumberFormat="1">
      <alignment horizontal="left" readingOrder="0" shrinkToFit="0" vertical="bottom" wrapText="0"/>
    </xf>
    <xf borderId="17" fillId="0" fontId="0" numFmtId="168" xfId="0" applyAlignment="1" applyBorder="1" applyFont="1" applyNumberFormat="1">
      <alignment horizontal="left" readingOrder="0" shrinkToFit="0" vertical="bottom" wrapText="0"/>
    </xf>
    <xf borderId="19" fillId="0" fontId="0" numFmtId="168" xfId="0" applyAlignment="1" applyBorder="1" applyFont="1" applyNumberFormat="1">
      <alignment horizontal="right" readingOrder="0" shrinkToFit="0" vertical="bottom" wrapText="0"/>
    </xf>
    <xf borderId="19" fillId="0" fontId="34" numFmtId="10" xfId="0" applyBorder="1" applyFont="1" applyNumberFormat="1"/>
    <xf borderId="19" fillId="0" fontId="2" numFmtId="0" xfId="0" applyAlignment="1" applyBorder="1" applyFont="1">
      <alignment readingOrder="0"/>
    </xf>
    <xf borderId="0" fillId="3" fontId="67" numFmtId="0" xfId="0" applyAlignment="1" applyFill="1" applyFont="1">
      <alignment readingOrder="0" vertical="bottom"/>
    </xf>
    <xf borderId="0" fillId="3" fontId="67" numFmtId="2" xfId="0" applyAlignment="1" applyFill="1" applyFont="1" applyNumberFormat="1">
      <alignment vertical="bottom"/>
    </xf>
    <xf borderId="11" fillId="2" fontId="3" numFmtId="0" xfId="0" applyAlignment="1" applyBorder="1" applyFill="1" applyFont="1">
      <alignment readingOrder="0" shrinkToFit="0" vertical="bottom" wrapText="0"/>
    </xf>
    <xf borderId="11" fillId="3" fontId="67" numFmtId="0" xfId="0" applyAlignment="1" applyBorder="1" applyFill="1" applyFont="1">
      <alignment readingOrder="0" vertical="bottom"/>
    </xf>
    <xf borderId="0" fillId="3" fontId="3" numFmtId="0" xfId="0" applyAlignment="1" applyFill="1" applyFont="1">
      <alignment readingOrder="0" shrinkToFit="0" vertical="bottom" wrapText="0"/>
    </xf>
    <xf borderId="0" fillId="0" fontId="12" numFmtId="0" xfId="0" applyAlignment="1" applyFont="1">
      <alignment vertical="bottom"/>
    </xf>
    <xf borderId="0" fillId="0" fontId="76" numFmtId="0" xfId="0" applyAlignment="1" applyFont="1">
      <alignment readingOrder="0" shrinkToFit="0" vertical="bottom" wrapText="0"/>
    </xf>
    <xf borderId="0" fillId="0" fontId="77"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10" xfId="0" applyAlignment="1" applyFont="1" applyNumberFormat="1">
      <alignment horizontal="right" readingOrder="0" shrinkToFit="0" vertical="bottom" wrapText="0"/>
    </xf>
    <xf borderId="0" fillId="0" fontId="0" numFmtId="0" xfId="0" applyAlignment="1" applyFont="1">
      <alignment horizontal="right"/>
    </xf>
    <xf borderId="11" fillId="0" fontId="11" numFmtId="2" xfId="0" applyAlignment="1" applyBorder="1" applyFont="1" applyNumberFormat="1">
      <alignment vertical="bottom"/>
    </xf>
    <xf borderId="11" fillId="0" fontId="0" numFmtId="2" xfId="0" applyAlignment="1" applyBorder="1" applyFont="1" applyNumberFormat="1">
      <alignment readingOrder="0" shrinkToFit="0" vertical="bottom" wrapText="0"/>
    </xf>
    <xf borderId="0" fillId="0" fontId="78" numFmtId="0" xfId="0" applyAlignment="1" applyFont="1">
      <alignment readingOrder="0"/>
    </xf>
    <xf borderId="0" fillId="0" fontId="76" numFmtId="0" xfId="0" applyAlignment="1" applyFont="1">
      <alignment horizontal="right" readingOrder="0" shrinkToFit="0" vertical="bottom" wrapText="0"/>
    </xf>
    <xf borderId="28" fillId="3" fontId="67" numFmtId="0" xfId="0" applyAlignment="1" applyBorder="1" applyFill="1" applyFont="1">
      <alignment readingOrder="0" vertical="bottom"/>
    </xf>
    <xf borderId="28" fillId="3" fontId="67" numFmtId="0" xfId="0" applyAlignment="1" applyBorder="1" applyFill="1" applyFont="1">
      <alignment vertical="bottom"/>
    </xf>
    <xf borderId="28" fillId="3" fontId="67" numFmtId="2" xfId="0" applyAlignment="1" applyBorder="1" applyFill="1" applyFont="1" applyNumberFormat="1">
      <alignment shrinkToFit="0" vertical="bottom" wrapText="0"/>
    </xf>
    <xf borderId="28" fillId="3" fontId="56" numFmtId="0" xfId="0" applyAlignment="1" applyBorder="1" applyFill="1" applyFont="1">
      <alignment readingOrder="0" shrinkToFit="0" wrapText="1"/>
    </xf>
    <xf borderId="28" fillId="3" fontId="79" numFmtId="0" xfId="0" applyAlignment="1" applyBorder="1" applyFill="1" applyFont="1">
      <alignment readingOrder="0"/>
    </xf>
    <xf borderId="30" fillId="3" fontId="3" numFmtId="0" xfId="0" applyAlignment="1" applyBorder="1" applyFill="1" applyFont="1">
      <alignment readingOrder="0"/>
    </xf>
    <xf borderId="0" fillId="0" fontId="78" numFmtId="0" xfId="0" applyAlignment="1" applyFont="1">
      <alignment horizontal="left" readingOrder="0" shrinkToFit="0" vertical="bottom" wrapText="0"/>
    </xf>
    <xf borderId="0" fillId="0" fontId="11" numFmtId="3" xfId="0" applyAlignment="1" applyFont="1" applyNumberFormat="1">
      <alignment horizontal="right" vertical="bottom"/>
    </xf>
    <xf borderId="0" fillId="0" fontId="34" numFmtId="2" xfId="0" applyAlignment="1" applyFont="1" applyNumberFormat="1">
      <alignment horizontal="right" vertical="bottom"/>
    </xf>
    <xf borderId="0" fillId="0" fontId="34" numFmtId="10" xfId="0" applyAlignment="1" applyFont="1" applyNumberFormat="1">
      <alignment horizontal="right" vertical="bottom"/>
    </xf>
    <xf borderId="0" fillId="0" fontId="0" numFmtId="0" xfId="0" applyAlignment="1" applyFont="1">
      <alignment shrinkToFit="0" vertical="bottom" wrapText="0"/>
    </xf>
    <xf borderId="0" fillId="0" fontId="76" numFmtId="0" xfId="0" applyAlignment="1" applyFont="1">
      <alignment shrinkToFit="0" vertical="bottom" wrapText="0"/>
    </xf>
    <xf borderId="28" fillId="0" fontId="11" numFmtId="3" xfId="0" applyAlignment="1" applyBorder="1" applyFont="1" applyNumberFormat="1">
      <alignment horizontal="right" vertical="bottom"/>
    </xf>
    <xf borderId="28" fillId="0" fontId="2" numFmtId="10" xfId="0" applyBorder="1" applyFont="1" applyNumberFormat="1"/>
    <xf borderId="28" fillId="0" fontId="2" numFmtId="2" xfId="0" applyBorder="1" applyFont="1" applyNumberFormat="1"/>
    <xf borderId="64" fillId="4" fontId="34" numFmtId="2" xfId="0" applyBorder="1" applyFill="1" applyFont="1" applyNumberFormat="1"/>
    <xf borderId="76" fillId="4" fontId="2" numFmtId="0" xfId="0" applyAlignment="1" applyBorder="1" applyFill="1" applyFont="1">
      <alignment readingOrder="0"/>
    </xf>
    <xf borderId="30" fillId="0" fontId="11" numFmtId="2" xfId="0" applyAlignment="1" applyBorder="1" applyFont="1" applyNumberFormat="1">
      <alignment vertical="bottom"/>
    </xf>
    <xf borderId="65" fillId="4" fontId="34" numFmtId="2" xfId="0" applyBorder="1" applyFill="1" applyFont="1" applyNumberFormat="1"/>
    <xf borderId="0" fillId="3" fontId="3" numFmtId="170" xfId="0" applyAlignment="1" applyFill="1" applyFont="1" applyNumberFormat="1">
      <alignment readingOrder="0"/>
    </xf>
    <xf borderId="0" fillId="3" fontId="3" numFmtId="170" xfId="0" applyAlignment="1" applyFill="1" applyFont="1" applyNumberFormat="1">
      <alignment horizontal="left" readingOrder="0"/>
    </xf>
    <xf borderId="64" fillId="4" fontId="34" numFmtId="2" xfId="0" applyAlignment="1" applyBorder="1" applyFill="1" applyFont="1" applyNumberFormat="1">
      <alignment horizontal="right" readingOrder="0"/>
    </xf>
    <xf borderId="76" fillId="4" fontId="11" numFmtId="2" xfId="0" applyAlignment="1" applyBorder="1" applyFill="1" applyFont="1" applyNumberFormat="1">
      <alignment readingOrder="0" vertical="bottom"/>
    </xf>
    <xf borderId="0" fillId="0" fontId="11" numFmtId="170" xfId="0" applyAlignment="1" applyFont="1" applyNumberFormat="1">
      <alignment horizontal="right" vertical="bottom"/>
    </xf>
    <xf borderId="65" fillId="4" fontId="11" numFmtId="2" xfId="0" applyAlignment="1" applyBorder="1" applyFill="1" applyFont="1" applyNumberFormat="1">
      <alignment readingOrder="0" vertical="bottom"/>
    </xf>
    <xf borderId="0" fillId="0" fontId="0" numFmtId="170" xfId="0" applyAlignment="1" applyFont="1" applyNumberFormat="1">
      <alignment horizontal="right" readingOrder="0"/>
    </xf>
    <xf borderId="0" fillId="0" fontId="2" numFmtId="10" xfId="0" applyAlignment="1" applyFont="1" applyNumberFormat="1">
      <alignment horizontal="right"/>
    </xf>
    <xf borderId="0" fillId="0" fontId="2" numFmtId="170" xfId="0" applyAlignment="1" applyFont="1" applyNumberFormat="1">
      <alignment horizontal="right"/>
    </xf>
    <xf borderId="65" fillId="4" fontId="34" numFmtId="2" xfId="0" applyAlignment="1" applyBorder="1" applyFill="1" applyFont="1" applyNumberFormat="1">
      <alignment horizontal="right" readingOrder="0"/>
    </xf>
    <xf borderId="11" fillId="0" fontId="2" numFmtId="2" xfId="0" applyAlignment="1" applyBorder="1" applyFont="1" applyNumberFormat="1">
      <alignment horizontal="right" readingOrder="0"/>
    </xf>
    <xf borderId="56" fillId="3" fontId="53" numFmtId="0" xfId="0" applyBorder="1" applyFill="1" applyFont="1"/>
    <xf borderId="56" fillId="3" fontId="53" numFmtId="2" xfId="0" applyBorder="1" applyFill="1" applyFont="1" applyNumberFormat="1"/>
    <xf borderId="0" fillId="0" fontId="2" numFmtId="171" xfId="0" applyAlignment="1" applyFont="1" applyNumberFormat="1">
      <alignment readingOrder="0"/>
    </xf>
    <xf borderId="55" fillId="3" fontId="73" numFmtId="2" xfId="0" applyAlignment="1" applyBorder="1" applyFill="1" applyFont="1" applyNumberFormat="1">
      <alignment vertical="bottom"/>
    </xf>
    <xf borderId="56" fillId="3" fontId="73" numFmtId="2" xfId="0" applyAlignment="1" applyBorder="1" applyFill="1" applyFont="1" applyNumberFormat="1">
      <alignment vertical="bottom"/>
    </xf>
    <xf borderId="66" fillId="3" fontId="73" numFmtId="0" xfId="0" applyAlignment="1" applyBorder="1" applyFill="1" applyFont="1">
      <alignment vertical="bottom"/>
    </xf>
    <xf borderId="0" fillId="0" fontId="73" numFmtId="0" xfId="0" applyAlignment="1" applyFont="1">
      <alignment vertical="bottom"/>
    </xf>
    <xf borderId="67" fillId="0" fontId="11" numFmtId="0" xfId="0" applyAlignment="1" applyBorder="1" applyFont="1">
      <alignment vertical="bottom"/>
    </xf>
    <xf borderId="0" fillId="0" fontId="34" numFmtId="170" xfId="0" applyAlignment="1" applyFont="1" applyNumberFormat="1">
      <alignment horizontal="right" readingOrder="0"/>
    </xf>
    <xf borderId="28" fillId="0" fontId="0" numFmtId="0" xfId="0" applyAlignment="1" applyBorder="1" applyFont="1">
      <alignment horizontal="right" readingOrder="0" shrinkToFit="0" vertical="bottom" wrapText="0"/>
    </xf>
    <xf borderId="28" fillId="0" fontId="0" numFmtId="10" xfId="0" applyAlignment="1" applyBorder="1" applyFont="1" applyNumberFormat="1">
      <alignment horizontal="right" readingOrder="0" shrinkToFit="0" vertical="bottom" wrapText="0"/>
    </xf>
    <xf borderId="28" fillId="0" fontId="0" numFmtId="0" xfId="0" applyAlignment="1" applyBorder="1" applyFont="1">
      <alignment horizontal="right"/>
    </xf>
    <xf borderId="0" fillId="8" fontId="24" numFmtId="170" xfId="0" applyAlignment="1" applyFill="1" applyFont="1" applyNumberFormat="1">
      <alignment horizontal="right" readingOrder="0"/>
    </xf>
    <xf borderId="0" fillId="0" fontId="2" numFmtId="4" xfId="0" applyFont="1" applyNumberFormat="1"/>
    <xf borderId="0" fillId="18" fontId="61" numFmtId="170" xfId="0" applyAlignment="1" applyFill="1" applyFont="1" applyNumberFormat="1">
      <alignment horizontal="right"/>
    </xf>
    <xf borderId="0" fillId="18" fontId="61" numFmtId="9" xfId="0" applyAlignment="1" applyFill="1" applyFont="1" applyNumberFormat="1">
      <alignment horizontal="right"/>
    </xf>
    <xf borderId="11" fillId="18" fontId="61" numFmtId="2" xfId="0" applyAlignment="1" applyBorder="1" applyFill="1" applyFont="1" applyNumberFormat="1">
      <alignment horizontal="right"/>
    </xf>
    <xf borderId="76" fillId="4" fontId="0" numFmtId="0" xfId="0" applyAlignment="1" applyBorder="1" applyFill="1" applyFont="1">
      <alignment readingOrder="0" shrinkToFit="0" vertical="bottom" wrapText="0"/>
    </xf>
    <xf borderId="68" fillId="0" fontId="11" numFmtId="0" xfId="0" applyAlignment="1" applyBorder="1" applyFont="1">
      <alignment vertical="bottom"/>
    </xf>
    <xf borderId="56" fillId="2" fontId="53" numFmtId="10" xfId="0" applyBorder="1" applyFill="1" applyFont="1" applyNumberFormat="1"/>
    <xf borderId="19" fillId="0" fontId="2" numFmtId="10" xfId="0" applyBorder="1" applyFont="1" applyNumberFormat="1"/>
    <xf borderId="28" fillId="0" fontId="11" numFmtId="170" xfId="0" applyAlignment="1" applyBorder="1" applyFont="1" applyNumberFormat="1">
      <alignment horizontal="right" vertical="bottom"/>
    </xf>
    <xf borderId="28" fillId="0" fontId="34" numFmtId="170" xfId="0" applyAlignment="1" applyBorder="1" applyFont="1" applyNumberFormat="1">
      <alignment horizontal="right" readingOrder="0"/>
    </xf>
    <xf borderId="28" fillId="0" fontId="2" numFmtId="10" xfId="0" applyAlignment="1" applyBorder="1" applyFont="1" applyNumberFormat="1">
      <alignment horizontal="right"/>
    </xf>
    <xf borderId="28" fillId="0" fontId="2" numFmtId="170" xfId="0" applyAlignment="1" applyBorder="1" applyFont="1" applyNumberFormat="1">
      <alignment horizontal="right"/>
    </xf>
    <xf borderId="30" fillId="0" fontId="2" numFmtId="2" xfId="0" applyAlignment="1" applyBorder="1" applyFont="1" applyNumberFormat="1">
      <alignment horizontal="right" readingOrder="0"/>
    </xf>
    <xf borderId="0" fillId="0" fontId="2" numFmtId="170" xfId="0" applyFont="1" applyNumberFormat="1"/>
    <xf borderId="24" fillId="4" fontId="33" numFmtId="170" xfId="0" applyAlignment="1" applyBorder="1" applyFill="1" applyFont="1" applyNumberFormat="1">
      <alignment horizontal="center" readingOrder="0"/>
    </xf>
    <xf borderId="10" fillId="4" fontId="34" numFmtId="170" xfId="0" applyAlignment="1" applyBorder="1" applyFill="1" applyFont="1" applyNumberFormat="1">
      <alignment horizontal="right" readingOrder="0"/>
    </xf>
    <xf borderId="64" fillId="4" fontId="34" numFmtId="170" xfId="0" applyBorder="1" applyFill="1" applyFont="1" applyNumberFormat="1"/>
    <xf borderId="64" fillId="4" fontId="2" numFmtId="170" xfId="0" applyAlignment="1" applyBorder="1" applyFill="1" applyFont="1" applyNumberFormat="1">
      <alignment readingOrder="0"/>
    </xf>
    <xf borderId="65" fillId="4" fontId="2" numFmtId="170" xfId="0" applyAlignment="1" applyBorder="1" applyFill="1" applyFont="1" applyNumberFormat="1">
      <alignment readingOrder="0"/>
    </xf>
    <xf borderId="20" fillId="4" fontId="34" numFmtId="170" xfId="0" applyAlignment="1" applyBorder="1" applyFill="1" applyFont="1" applyNumberFormat="1">
      <alignment horizontal="right" readingOrder="0"/>
    </xf>
    <xf borderId="65" fillId="4" fontId="34" numFmtId="170" xfId="0" applyBorder="1" applyFill="1" applyFont="1" applyNumberFormat="1"/>
    <xf borderId="64" fillId="4" fontId="34" numFmtId="10" xfId="0" applyBorder="1" applyFill="1" applyFont="1" applyNumberFormat="1"/>
    <xf borderId="76" fillId="4" fontId="2" numFmtId="170" xfId="0" applyAlignment="1" applyBorder="1" applyFill="1" applyFont="1" applyNumberFormat="1">
      <alignment readingOrder="0"/>
    </xf>
    <xf borderId="65" fillId="4" fontId="34" numFmtId="10" xfId="0" applyBorder="1" applyFill="1" applyFont="1" applyNumberFormat="1"/>
    <xf borderId="0" fillId="0" fontId="80" numFmtId="170" xfId="0" applyAlignment="1" applyFont="1" applyNumberFormat="1">
      <alignment horizontal="center" readingOrder="0"/>
    </xf>
    <xf borderId="0" fillId="3" fontId="81" numFmtId="0" xfId="0" applyAlignment="1" applyFill="1" applyFont="1">
      <alignment readingOrder="0"/>
    </xf>
    <xf borderId="0" fillId="3" fontId="82" numFmtId="0" xfId="0" applyAlignment="1" applyFill="1" applyFont="1">
      <alignment readingOrder="0" vertical="bottom"/>
    </xf>
    <xf borderId="0" fillId="3" fontId="67" numFmtId="2" xfId="0" applyAlignment="1" applyFill="1" applyFont="1" applyNumberFormat="1">
      <alignment readingOrder="0" vertical="bottom"/>
    </xf>
    <xf borderId="0" fillId="3" fontId="82" numFmtId="2" xfId="0" applyAlignment="1" applyFill="1" applyFont="1" applyNumberFormat="1">
      <alignment readingOrder="0" vertical="bottom"/>
    </xf>
    <xf borderId="0" fillId="3" fontId="82" numFmtId="4" xfId="0" applyAlignment="1" applyFill="1" applyFont="1" applyNumberFormat="1">
      <alignment readingOrder="0" vertical="bottom"/>
    </xf>
    <xf borderId="0" fillId="3" fontId="82" numFmtId="10" xfId="0" applyAlignment="1" applyFill="1" applyFont="1" applyNumberFormat="1">
      <alignment readingOrder="0" vertical="bottom"/>
    </xf>
    <xf borderId="0" fillId="3" fontId="82" numFmtId="167" xfId="0" applyAlignment="1" applyFill="1" applyFont="1" applyNumberFormat="1">
      <alignment readingOrder="0" vertical="bottom"/>
    </xf>
    <xf borderId="11" fillId="3" fontId="81" numFmtId="165" xfId="0" applyAlignment="1" applyBorder="1" applyFill="1" applyFont="1" applyNumberFormat="1">
      <alignment readingOrder="0"/>
    </xf>
    <xf borderId="0" fillId="0" fontId="83" numFmtId="165" xfId="0" applyAlignment="1" applyFont="1" applyNumberFormat="1">
      <alignment readingOrder="0"/>
    </xf>
    <xf borderId="55" fillId="3" fontId="53" numFmtId="170" xfId="0" applyBorder="1" applyFill="1" applyFont="1" applyNumberFormat="1"/>
    <xf borderId="0" fillId="0" fontId="11" numFmtId="4" xfId="0" applyAlignment="1" applyFont="1" applyNumberFormat="1">
      <alignment horizontal="right" vertical="bottom"/>
    </xf>
    <xf borderId="56" fillId="3" fontId="53" numFmtId="170" xfId="0" applyBorder="1" applyFill="1" applyFont="1" applyNumberFormat="1"/>
    <xf borderId="0" fillId="0" fontId="11" numFmtId="167" xfId="0" applyAlignment="1" applyFont="1" applyNumberFormat="1">
      <alignment horizontal="right" vertical="bottom"/>
    </xf>
    <xf borderId="12" fillId="0" fontId="53" numFmtId="170" xfId="0" applyBorder="1" applyFont="1" applyNumberFormat="1"/>
    <xf borderId="12" fillId="0" fontId="2" numFmtId="170" xfId="0" applyBorder="1" applyFont="1" applyNumberFormat="1"/>
    <xf borderId="0" fillId="0" fontId="2" numFmtId="165" xfId="0" applyAlignment="1" applyFont="1" applyNumberFormat="1">
      <alignment readingOrder="0"/>
    </xf>
    <xf borderId="0" fillId="0" fontId="2" numFmtId="165" xfId="0" applyFont="1" applyNumberFormat="1"/>
    <xf borderId="17" fillId="0" fontId="2" numFmtId="170" xfId="0" applyBorder="1" applyFont="1" applyNumberFormat="1"/>
    <xf borderId="19" fillId="0" fontId="2" numFmtId="170" xfId="0" applyBorder="1" applyFont="1" applyNumberFormat="1"/>
    <xf borderId="28" fillId="0" fontId="11" numFmtId="4" xfId="0" applyAlignment="1" applyBorder="1" applyFont="1" applyNumberFormat="1">
      <alignment horizontal="right" vertical="bottom"/>
    </xf>
    <xf borderId="28" fillId="0" fontId="11" numFmtId="167" xfId="0" applyAlignment="1" applyBorder="1" applyFont="1" applyNumberFormat="1">
      <alignment horizontal="right" vertical="bottom"/>
    </xf>
    <xf borderId="0" fillId="0" fontId="2" numFmtId="167" xfId="0" applyFont="1" applyNumberFormat="1"/>
    <xf borderId="76" fillId="4" fontId="34" numFmtId="2" xfId="0" applyAlignment="1" applyBorder="1" applyFill="1" applyFont="1" applyNumberFormat="1">
      <alignment readingOrder="0"/>
    </xf>
    <xf borderId="65" fillId="4" fontId="34" numFmtId="2" xfId="0" applyAlignment="1" applyBorder="1" applyFill="1" applyFont="1" applyNumberFormat="1">
      <alignment readingOrder="0"/>
    </xf>
    <xf borderId="55" fillId="3" fontId="53" numFmtId="2" xfId="0" applyBorder="1" applyFill="1" applyFont="1" applyNumberFormat="1"/>
    <xf borderId="56" fillId="3" fontId="62" numFmtId="2" xfId="0" applyBorder="1" applyFill="1" applyFont="1" applyNumberFormat="1"/>
    <xf borderId="56" fillId="3" fontId="53" numFmtId="4" xfId="0" applyBorder="1" applyFill="1" applyFont="1" applyNumberFormat="1"/>
    <xf borderId="56" fillId="3" fontId="62" numFmtId="0" xfId="0" applyBorder="1" applyFill="1" applyFont="1"/>
    <xf borderId="12" fillId="0" fontId="62" numFmtId="10" xfId="0" applyBorder="1" applyFont="1" applyNumberFormat="1"/>
    <xf borderId="19" fillId="0" fontId="34" numFmtId="2" xfId="0" applyBorder="1" applyFont="1" applyNumberFormat="1"/>
    <xf borderId="19" fillId="0" fontId="2" numFmtId="4" xfId="0" applyBorder="1" applyFont="1" applyNumberFormat="1"/>
    <xf borderId="19" fillId="0" fontId="34" numFmtId="0" xfId="0" applyBorder="1" applyFont="1"/>
    <xf borderId="0" fillId="3" fontId="3" numFmtId="0" xfId="0" applyAlignment="1" applyFill="1" applyFont="1">
      <alignment readingOrder="0" shrinkToFit="0" vertical="bottom" wrapText="0"/>
    </xf>
    <xf borderId="0" fillId="3" fontId="3" numFmtId="0" xfId="0" applyAlignment="1" applyFill="1" applyFont="1">
      <alignment readingOrder="0" shrinkToFit="0" wrapText="1"/>
    </xf>
    <xf borderId="0" fillId="3" fontId="3" numFmtId="2" xfId="0" applyAlignment="1" applyFill="1" applyFont="1" applyNumberFormat="1">
      <alignment readingOrder="0" shrinkToFit="0" wrapText="1"/>
    </xf>
    <xf borderId="0" fillId="3" fontId="67" numFmtId="0" xfId="0" applyAlignment="1" applyFill="1" applyFont="1">
      <alignment horizontal="left" readingOrder="0"/>
    </xf>
    <xf borderId="11" fillId="3" fontId="3" numFmtId="0" xfId="0" applyAlignment="1" applyBorder="1" applyFill="1" applyFont="1">
      <alignment readingOrder="0"/>
    </xf>
    <xf borderId="0" fillId="0" fontId="2" numFmtId="172" xfId="0" applyAlignment="1" applyFont="1" applyNumberFormat="1">
      <alignment readingOrder="0"/>
    </xf>
    <xf borderId="11" fillId="0" fontId="34" numFmtId="2" xfId="0" applyBorder="1" applyFont="1" applyNumberFormat="1"/>
    <xf borderId="28" fillId="0" fontId="2" numFmtId="172" xfId="0" applyAlignment="1" applyBorder="1" applyFont="1" applyNumberFormat="1">
      <alignment readingOrder="0"/>
    </xf>
    <xf borderId="30" fillId="0" fontId="34" numFmtId="2" xfId="0" applyBorder="1" applyFont="1" applyNumberFormat="1"/>
    <xf borderId="0" fillId="3" fontId="84" numFmtId="0" xfId="0" applyAlignment="1" applyFill="1" applyFont="1">
      <alignment horizontal="center" readingOrder="0" shrinkToFit="0" wrapText="1"/>
    </xf>
    <xf borderId="0" fillId="3" fontId="3" numFmtId="0" xfId="0" applyAlignment="1" applyFill="1" applyFont="1">
      <alignment horizontal="center" readingOrder="0" shrinkToFit="0" vertical="center" wrapText="1"/>
    </xf>
    <xf borderId="0" fillId="3" fontId="3" numFmtId="173" xfId="0" applyAlignment="1" applyFill="1" applyFont="1" applyNumberFormat="1">
      <alignment readingOrder="0"/>
    </xf>
    <xf borderId="0" fillId="3" fontId="56" numFmtId="0" xfId="0" applyFill="1" applyFont="1"/>
    <xf borderId="0" fillId="7" fontId="12" numFmtId="0" xfId="0" applyAlignment="1" applyFill="1" applyFont="1">
      <alignment horizontal="center" shrinkToFit="0" vertical="bottom" wrapText="1"/>
    </xf>
    <xf borderId="0" fillId="9" fontId="33" numFmtId="0" xfId="0" applyAlignment="1" applyFill="1" applyFont="1">
      <alignment horizontal="center" readingOrder="0" shrinkToFit="0" wrapText="1"/>
    </xf>
    <xf borderId="0" fillId="12" fontId="33" numFmtId="0" xfId="0" applyAlignment="1" applyFill="1" applyFont="1">
      <alignment horizontal="center" readingOrder="0" shrinkToFit="0" wrapText="1"/>
    </xf>
    <xf borderId="0" fillId="13" fontId="33" numFmtId="0" xfId="0" applyAlignment="1" applyFill="1" applyFont="1">
      <alignment horizontal="center" readingOrder="0" shrinkToFit="0" wrapText="1"/>
    </xf>
    <xf borderId="0" fillId="14" fontId="33" numFmtId="0" xfId="0" applyAlignment="1" applyFill="1" applyFont="1">
      <alignment horizontal="center" readingOrder="0" shrinkToFit="0" wrapText="1"/>
    </xf>
    <xf borderId="0" fillId="7" fontId="85" numFmtId="0" xfId="0" applyAlignment="1" applyFill="1" applyFont="1">
      <alignment readingOrder="0" shrinkToFit="0" vertical="bottom" wrapText="1"/>
    </xf>
    <xf borderId="0" fillId="9" fontId="86" numFmtId="0" xfId="0" applyAlignment="1" applyFill="1" applyFont="1">
      <alignment readingOrder="0" shrinkToFit="0" wrapText="1"/>
    </xf>
    <xf borderId="0" fillId="9" fontId="87" numFmtId="0" xfId="0" applyAlignment="1" applyFill="1" applyFont="1">
      <alignment readingOrder="0" shrinkToFit="0" wrapText="1"/>
    </xf>
    <xf borderId="0" fillId="12" fontId="87" numFmtId="0" xfId="0" applyAlignment="1" applyFill="1" applyFont="1">
      <alignment readingOrder="0" shrinkToFit="0" wrapText="1"/>
    </xf>
    <xf borderId="0" fillId="12" fontId="88" numFmtId="0" xfId="0" applyAlignment="1" applyFill="1" applyFont="1">
      <alignment readingOrder="0" shrinkToFit="0" wrapText="1"/>
    </xf>
    <xf borderId="0" fillId="13" fontId="89" numFmtId="0" xfId="0" applyAlignment="1" applyFill="1" applyFont="1">
      <alignment readingOrder="0" shrinkToFit="0" wrapText="1"/>
    </xf>
    <xf borderId="0" fillId="13" fontId="87" numFmtId="0" xfId="0" applyAlignment="1" applyFill="1" applyFont="1">
      <alignment readingOrder="0" shrinkToFit="0" wrapText="1"/>
    </xf>
    <xf borderId="0" fillId="14" fontId="90" numFmtId="0" xfId="0" applyAlignment="1" applyFill="1" applyFont="1">
      <alignment readingOrder="0" shrinkToFit="0" wrapText="1"/>
    </xf>
    <xf borderId="0" fillId="14" fontId="91" numFmtId="0" xfId="0" applyAlignment="1" applyFill="1" applyFont="1">
      <alignment readingOrder="0" shrinkToFit="0" wrapText="1"/>
    </xf>
    <xf borderId="11" fillId="3" fontId="3" numFmtId="0" xfId="0" applyAlignment="1" applyBorder="1" applyFill="1" applyFont="1">
      <alignment readingOrder="0"/>
    </xf>
    <xf borderId="0" fillId="17" fontId="45" numFmtId="4" xfId="0" applyFill="1" applyFont="1" applyNumberFormat="1"/>
    <xf borderId="0" fillId="18" fontId="48" numFmtId="2" xfId="0" applyFill="1" applyFont="1" applyNumberFormat="1"/>
    <xf borderId="0" fillId="21" fontId="2" numFmtId="173" xfId="0" applyFill="1" applyFont="1" applyNumberFormat="1"/>
    <xf borderId="0" fillId="0" fontId="45" numFmtId="2" xfId="0" applyFont="1" applyNumberFormat="1"/>
    <xf borderId="0" fillId="18" fontId="48" numFmtId="0" xfId="0" applyFill="1" applyFont="1"/>
    <xf borderId="0" fillId="21" fontId="2" numFmtId="0" xfId="0" applyFill="1" applyFont="1"/>
    <xf borderId="0" fillId="0" fontId="45" numFmtId="4" xfId="0" applyFont="1" applyNumberFormat="1"/>
    <xf borderId="0" fillId="22" fontId="2" numFmtId="173" xfId="0" applyFill="1" applyFont="1" applyNumberFormat="1"/>
    <xf borderId="0" fillId="23" fontId="2" numFmtId="173" xfId="0" applyFill="1" applyFont="1" applyNumberFormat="1"/>
    <xf borderId="0" fillId="22" fontId="2" numFmtId="0" xfId="0" applyFill="1" applyFont="1"/>
    <xf borderId="0" fillId="18" fontId="48" numFmtId="4" xfId="0" applyFill="1" applyFont="1" applyNumberFormat="1"/>
    <xf borderId="10" fillId="3" fontId="3" numFmtId="0" xfId="0" applyAlignment="1" applyBorder="1" applyFill="1" applyFont="1">
      <alignment horizontal="center" readingOrder="0" shrinkToFit="0" vertical="center" wrapText="1"/>
    </xf>
    <xf borderId="0" fillId="3" fontId="48" numFmtId="0" xfId="0" applyFill="1" applyFont="1"/>
    <xf borderId="11" fillId="3" fontId="48" numFmtId="0" xfId="0" applyBorder="1" applyFill="1" applyFont="1"/>
    <xf borderId="10" fillId="6" fontId="33" numFmtId="0" xfId="0" applyAlignment="1" applyBorder="1" applyFill="1" applyFont="1">
      <alignment horizontal="center" readingOrder="0" shrinkToFit="0" wrapText="1"/>
    </xf>
    <xf borderId="0" fillId="10" fontId="33" numFmtId="0" xfId="0" applyAlignment="1" applyFill="1" applyFont="1">
      <alignment horizontal="center" readingOrder="0" shrinkToFit="0" wrapText="1"/>
    </xf>
    <xf borderId="0" fillId="11" fontId="33" numFmtId="0" xfId="0" applyAlignment="1" applyFill="1" applyFont="1">
      <alignment horizontal="center" readingOrder="0" shrinkToFit="0" wrapText="1"/>
    </xf>
    <xf borderId="11" fillId="21" fontId="2" numFmtId="173" xfId="0" applyBorder="1" applyFill="1" applyFont="1" applyNumberFormat="1"/>
    <xf borderId="10" fillId="6" fontId="92" numFmtId="0" xfId="0" applyAlignment="1" applyBorder="1" applyFill="1" applyFont="1">
      <alignment readingOrder="0" shrinkToFit="0" wrapText="1"/>
    </xf>
    <xf borderId="0" fillId="6" fontId="93" numFmtId="0" xfId="0" applyAlignment="1" applyFill="1" applyFont="1">
      <alignment readingOrder="0" shrinkToFit="0" wrapText="1"/>
    </xf>
    <xf borderId="0" fillId="10" fontId="94" numFmtId="0" xfId="0" applyAlignment="1" applyFill="1" applyFont="1">
      <alignment readingOrder="0" shrinkToFit="0" wrapText="1"/>
    </xf>
    <xf borderId="0" fillId="11" fontId="87" numFmtId="0" xfId="0" applyAlignment="1" applyFill="1" applyFont="1">
      <alignment readingOrder="0" shrinkToFit="0" wrapText="1"/>
    </xf>
    <xf borderId="0" fillId="11" fontId="95" numFmtId="165" xfId="0" applyAlignment="1" applyFill="1" applyFont="1" applyNumberFormat="1">
      <alignment readingOrder="0" shrinkToFit="0" wrapText="1"/>
    </xf>
    <xf borderId="0" fillId="0" fontId="7" numFmtId="0" xfId="0" applyAlignment="1" applyFont="1">
      <alignment horizontal="center" readingOrder="0"/>
    </xf>
    <xf borderId="10" fillId="0" fontId="2" numFmtId="2" xfId="0" applyBorder="1" applyFont="1" applyNumberFormat="1"/>
    <xf borderId="11" fillId="22" fontId="2" numFmtId="0" xfId="0" applyBorder="1" applyFill="1" applyFont="1"/>
    <xf borderId="0" fillId="8" fontId="0" numFmtId="2" xfId="0" applyFill="1" applyFont="1" applyNumberFormat="1"/>
    <xf borderId="11" fillId="21" fontId="2" numFmtId="0" xfId="0" applyBorder="1" applyFill="1" applyFont="1"/>
    <xf borderId="11" fillId="23" fontId="2" numFmtId="0" xfId="0" applyBorder="1" applyFill="1" applyFont="1"/>
    <xf borderId="1" fillId="3" fontId="3" numFmtId="0" xfId="0" applyAlignment="1" applyBorder="1" applyFill="1" applyFont="1">
      <alignment readingOrder="0"/>
    </xf>
    <xf borderId="2" fillId="3" fontId="3" numFmtId="4" xfId="0" applyAlignment="1" applyBorder="1" applyFill="1" applyFont="1" applyNumberFormat="1">
      <alignment readingOrder="0"/>
    </xf>
    <xf borderId="3" fillId="3" fontId="3" numFmtId="0" xfId="0" applyBorder="1" applyFill="1" applyFont="1"/>
    <xf borderId="0" fillId="23" fontId="2" numFmtId="0" xfId="0" applyFill="1" applyFont="1"/>
    <xf borderId="0" fillId="18" fontId="2" numFmtId="173" xfId="0" applyFill="1" applyFont="1" applyNumberFormat="1"/>
    <xf borderId="0" fillId="24" fontId="2" numFmtId="4" xfId="0" applyFill="1" applyFont="1" applyNumberFormat="1"/>
    <xf borderId="20" fillId="0" fontId="2" numFmtId="0" xfId="0" applyBorder="1" applyFont="1"/>
    <xf borderId="28" fillId="24" fontId="2" numFmtId="4" xfId="0" applyBorder="1" applyFill="1" applyFont="1" applyNumberFormat="1"/>
    <xf borderId="30" fillId="0" fontId="2" numFmtId="0" xfId="0" applyAlignment="1" applyBorder="1" applyFont="1">
      <alignment readingOrder="0"/>
    </xf>
    <xf borderId="10" fillId="0" fontId="2" numFmtId="0" xfId="0" applyBorder="1" applyFont="1"/>
    <xf borderId="0" fillId="18" fontId="48" numFmtId="2" xfId="0" applyAlignment="1" applyFill="1" applyFont="1" applyNumberFormat="1">
      <alignment readingOrder="0"/>
    </xf>
    <xf borderId="1" fillId="2" fontId="67" numFmtId="0" xfId="0" applyAlignment="1" applyBorder="1" applyFill="1" applyFont="1">
      <alignment shrinkToFit="0" vertical="bottom" wrapText="1"/>
    </xf>
    <xf borderId="0" fillId="0" fontId="3" numFmtId="0" xfId="0" applyFont="1"/>
    <xf borderId="10" fillId="0" fontId="11" numFmtId="0" xfId="0" applyAlignment="1" applyBorder="1" applyFont="1">
      <alignment vertical="bottom"/>
    </xf>
    <xf borderId="0" fillId="3" fontId="82" numFmtId="0" xfId="0" applyAlignment="1" applyFill="1" applyFont="1">
      <alignment shrinkToFit="0" vertical="bottom" wrapText="1"/>
    </xf>
    <xf borderId="0" fillId="3" fontId="82" numFmtId="0" xfId="0" applyAlignment="1" applyFill="1" applyFont="1">
      <alignment vertical="bottom"/>
    </xf>
    <xf borderId="0" fillId="0" fontId="48" numFmtId="0" xfId="0" applyFont="1"/>
    <xf borderId="0" fillId="0" fontId="67" numFmtId="0" xfId="0" applyAlignment="1" applyFont="1">
      <alignment readingOrder="0" vertical="bottom"/>
    </xf>
    <xf borderId="11" fillId="0" fontId="11" numFmtId="0" xfId="0" applyAlignment="1" applyBorder="1" applyFont="1">
      <alignment horizontal="right" readingOrder="0" vertical="bottom"/>
    </xf>
    <xf borderId="0" fillId="0" fontId="11" numFmtId="0" xfId="0" applyAlignment="1" applyFont="1">
      <alignment horizontal="right" readingOrder="0" vertical="bottom"/>
    </xf>
    <xf borderId="20" fillId="0" fontId="11" numFmtId="0" xfId="0" applyAlignment="1" applyBorder="1" applyFont="1">
      <alignment vertical="bottom"/>
    </xf>
    <xf borderId="20" fillId="0" fontId="2" numFmtId="2" xfId="0" applyBorder="1" applyFont="1" applyNumberFormat="1"/>
    <xf borderId="28" fillId="8" fontId="0" numFmtId="2" xfId="0" applyBorder="1" applyFill="1" applyFont="1" applyNumberFormat="1"/>
    <xf borderId="30" fillId="21" fontId="2" numFmtId="0" xfId="0" applyBorder="1" applyFill="1" applyFont="1"/>
    <xf borderId="0" fillId="0" fontId="12" numFmtId="10" xfId="0" applyAlignment="1" applyFont="1" applyNumberFormat="1">
      <alignment vertical="bottom"/>
    </xf>
    <xf borderId="0" fillId="0" fontId="12" numFmtId="2" xfId="0" applyAlignment="1" applyFont="1" applyNumberFormat="1">
      <alignment vertical="bottom"/>
    </xf>
    <xf borderId="0" fillId="0" fontId="2" numFmtId="10" xfId="0" applyAlignment="1" applyFont="1" applyNumberFormat="1">
      <alignment readingOrder="0"/>
    </xf>
    <xf borderId="0" fillId="0" fontId="11" numFmtId="4" xfId="0" applyAlignment="1" applyFont="1" applyNumberFormat="1">
      <alignment readingOrder="0" vertical="bottom"/>
    </xf>
    <xf borderId="0" fillId="0" fontId="11" numFmtId="2" xfId="0" applyAlignment="1" applyFont="1" applyNumberFormat="1">
      <alignment horizontal="right" readingOrder="0" vertical="bottom"/>
    </xf>
    <xf borderId="30" fillId="0" fontId="11" numFmtId="0" xfId="0" applyAlignment="1" applyBorder="1" applyFont="1">
      <alignment horizontal="right" readingOrder="0" vertical="bottom"/>
    </xf>
    <xf borderId="0" fillId="8" fontId="0" numFmtId="4" xfId="0" applyFill="1" applyFont="1" applyNumberFormat="1"/>
    <xf borderId="28" fillId="0" fontId="2" numFmtId="4" xfId="0" applyBorder="1" applyFont="1" applyNumberFormat="1"/>
    <xf borderId="28" fillId="0" fontId="45" numFmtId="4" xfId="0" applyBorder="1" applyFont="1" applyNumberFormat="1"/>
    <xf borderId="28" fillId="0" fontId="2" numFmtId="0" xfId="0" applyBorder="1" applyFont="1"/>
    <xf borderId="28" fillId="0" fontId="45" numFmtId="2" xfId="0" applyBorder="1" applyFont="1" applyNumberFormat="1"/>
    <xf borderId="28" fillId="21" fontId="2" numFmtId="0" xfId="0" applyBorder="1" applyFill="1" applyFont="1"/>
    <xf borderId="0" fillId="8" fontId="2" numFmtId="4" xfId="0" applyFill="1" applyFont="1" applyNumberFormat="1"/>
    <xf borderId="0" fillId="0" fontId="2" numFmtId="173" xfId="0" applyFont="1" applyNumberFormat="1"/>
    <xf borderId="0" fillId="8" fontId="2" numFmtId="0" xfId="0" applyAlignment="1" applyFill="1" applyFont="1">
      <alignment horizontal="right"/>
    </xf>
    <xf borderId="0" fillId="8" fontId="2" numFmtId="2" xfId="0" applyAlignment="1" applyFill="1" applyFont="1" applyNumberFormat="1">
      <alignment readingOrder="0"/>
    </xf>
    <xf borderId="0" fillId="8" fontId="34" numFmtId="9" xfId="0" applyFill="1" applyFont="1" applyNumberFormat="1"/>
    <xf borderId="0" fillId="0" fontId="34" numFmtId="9" xfId="0" applyFont="1" applyNumberFormat="1"/>
    <xf borderId="0" fillId="0" fontId="7" numFmtId="2" xfId="0" applyAlignment="1" applyFont="1" applyNumberFormat="1">
      <alignment readingOrder="0"/>
    </xf>
    <xf borderId="0" fillId="0" fontId="2" numFmtId="4" xfId="0" applyAlignment="1" applyFont="1" applyNumberFormat="1">
      <alignment readingOrder="0"/>
    </xf>
  </cellXfs>
  <cellStyles count="1">
    <cellStyle xfId="0" name="Normal" builtinId="0"/>
  </cellStyles>
  <dxfs count="15">
    <dxf>
      <font/>
      <fill>
        <patternFill patternType="solid">
          <fgColor rgb="FFB7E1CD"/>
          <bgColor rgb="FFB7E1CD"/>
        </patternFill>
      </fill>
      <border/>
    </dxf>
    <dxf>
      <font/>
      <fill>
        <patternFill patternType="solid">
          <fgColor rgb="FFA4C2F4"/>
          <bgColor rgb="FFA4C2F4"/>
        </patternFill>
      </fill>
      <border/>
    </dxf>
    <dxf>
      <font/>
      <fill>
        <patternFill patternType="solid">
          <fgColor rgb="FFFFE599"/>
          <bgColor rgb="FFFFE599"/>
        </patternFill>
      </fill>
      <border/>
    </dxf>
    <dxf>
      <font/>
      <fill>
        <patternFill patternType="solid">
          <fgColor rgb="FFB6D7A8"/>
          <bgColor rgb="FFB6D7A8"/>
        </patternFill>
      </fill>
      <border/>
    </dxf>
    <dxf>
      <font>
        <color rgb="FFFFFFFF"/>
      </font>
      <fill>
        <patternFill patternType="solid">
          <fgColor rgb="FF000000"/>
          <bgColor rgb="FF000000"/>
        </patternFill>
      </fill>
      <border/>
    </dxf>
    <dxf>
      <font>
        <color rgb="FF000000"/>
      </font>
      <fill>
        <patternFill patternType="solid">
          <fgColor rgb="FFEA9999"/>
          <bgColor rgb="FFEA9999"/>
        </patternFill>
      </fill>
      <border/>
    </dxf>
    <dxf>
      <font/>
      <fill>
        <patternFill patternType="none"/>
      </fill>
      <border/>
    </dxf>
    <dxf>
      <font/>
      <fill>
        <patternFill patternType="solid">
          <fgColor rgb="FFF9CB9C"/>
          <bgColor rgb="FFF9CB9C"/>
        </patternFill>
      </fill>
      <border/>
    </dxf>
    <dxf>
      <font/>
      <fill>
        <patternFill patternType="solid">
          <fgColor rgb="FFEA9999"/>
          <bgColor rgb="FFEA9999"/>
        </patternFill>
      </fill>
      <border/>
    </dxf>
    <dxf>
      <font/>
      <fill>
        <patternFill patternType="solid">
          <fgColor rgb="FF75AE6D"/>
          <bgColor rgb="FF75AE6D"/>
        </patternFill>
      </fill>
      <border/>
    </dxf>
    <dxf>
      <font/>
      <fill>
        <patternFill patternType="solid">
          <fgColor rgb="FFECCF67"/>
          <bgColor rgb="FFECCF67"/>
        </patternFill>
      </fill>
      <border/>
    </dxf>
    <dxf>
      <font/>
      <fill>
        <patternFill patternType="solid">
          <fgColor rgb="FFE27375"/>
          <bgColor rgb="FFE27375"/>
        </patternFill>
      </fill>
      <border/>
    </dxf>
    <dxf>
      <font>
        <color rgb="FF000000"/>
      </font>
      <fill>
        <patternFill patternType="solid">
          <fgColor rgb="FFECCF67"/>
          <bgColor rgb="FFECCF67"/>
        </patternFill>
      </fill>
      <border/>
    </dxf>
    <dxf>
      <font>
        <color rgb="FF000000"/>
      </font>
      <fill>
        <patternFill patternType="solid">
          <fgColor rgb="FF75AE6D"/>
          <bgColor rgb="FF75AE6D"/>
        </patternFill>
      </fill>
      <border/>
    </dxf>
    <dxf>
      <font>
        <color rgb="FF000000"/>
      </font>
      <fill>
        <patternFill patternType="solid">
          <fgColor rgb="FFE27375"/>
          <bgColor rgb="FFE2737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38100</xdr:rowOff>
    </xdr:from>
    <xdr:ext cx="18859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9525</xdr:rowOff>
    </xdr:from>
    <xdr:ext cx="18859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18859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18859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66675</xdr:rowOff>
    </xdr:from>
    <xdr:ext cx="1885950" cy="63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0" TargetMode="External"/><Relationship Id="rId2" Type="http://schemas.openxmlformats.org/officeDocument/2006/relationships/hyperlink" Target="https://www.iea.org/reports/electricity-2024/executive-summar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transport.gov.sc/news-centre/the-seychelles-electric-mobility-project-promises-electric-buses-in-public-transport" TargetMode="External"/><Relationship Id="rId42" Type="http://schemas.openxmlformats.org/officeDocument/2006/relationships/hyperlink" Target="https://transport.gov.sc/news-centre/the-seychelles-electric-mobility-project-promises-electric-buses-in-public-transport" TargetMode="External"/><Relationship Id="rId41" Type="http://schemas.openxmlformats.org/officeDocument/2006/relationships/hyperlink" Target="https://www.iea.org/data-and-statistics/data-tools/global-ev-policy-explorer" TargetMode="External"/><Relationship Id="rId44" Type="http://schemas.openxmlformats.org/officeDocument/2006/relationships/hyperlink" Target="https://www.transport.gov.za/documents/11623/89294/Green_Transport_Strategy_2018_2050_onlineversion.pdf/71e19f1d-259e-4c55-9b27-30db418f105a" TargetMode="External"/><Relationship Id="rId43" Type="http://schemas.openxmlformats.org/officeDocument/2006/relationships/hyperlink" Target="https://www.iea.org/data-and-statistics/data-tools/global-ev-policy-explorer" TargetMode="External"/><Relationship Id="rId46" Type="http://schemas.openxmlformats.org/officeDocument/2006/relationships/hyperlink" Target="https://www.transport.gov.za/documents/11623/89294/Green_Transport_Strategy_2018_2050_onlineversion.pdf/71e19f1d-259e-4c55-9b27-30db418f105a" TargetMode="External"/><Relationship Id="rId45" Type="http://schemas.openxmlformats.org/officeDocument/2006/relationships/hyperlink" Target="https://www.iea.org/data-and-statistics/data-tools/global-ev-policy-explorer" TargetMode="External"/><Relationship Id="rId1" Type="http://schemas.openxmlformats.org/officeDocument/2006/relationships/hyperlink" Target="https://www.dzair-tube.dz/en/the-electric-vehicle-in-motion-algeria-inaugurates-first-charging-stations-aims-for-a-greener-future/" TargetMode="External"/><Relationship Id="rId2" Type="http://schemas.openxmlformats.org/officeDocument/2006/relationships/hyperlink" Target="https://www.global-climatescope.org/markets/dz/" TargetMode="External"/><Relationship Id="rId3" Type="http://schemas.openxmlformats.org/officeDocument/2006/relationships/hyperlink" Target="https://acceleratingtozero.org/" TargetMode="External"/><Relationship Id="rId4" Type="http://schemas.openxmlformats.org/officeDocument/2006/relationships/hyperlink" Target="https://www.iea.org/data-and-statistics/data-tools/global-ev-policy-explorer" TargetMode="External"/><Relationship Id="rId9" Type="http://schemas.openxmlformats.org/officeDocument/2006/relationships/hyperlink" Target="http://tda-mobility.org/wp-content/uploads/2019/04/Cabo-Verde-Electric-Mobility-Policy-Chapter.pdf" TargetMode="External"/><Relationship Id="rId48" Type="http://schemas.openxmlformats.org/officeDocument/2006/relationships/hyperlink" Target="https://www.herald.co.zw/zims-draft-electric-vehicles-policy-ready/" TargetMode="External"/><Relationship Id="rId47" Type="http://schemas.openxmlformats.org/officeDocument/2006/relationships/hyperlink" Target="https://www.agbi.com/transport/2023/06/tunisia-offers-evs-bonus/" TargetMode="External"/><Relationship Id="rId49" Type="http://schemas.openxmlformats.org/officeDocument/2006/relationships/hyperlink" Target="https://docs.google.com/presentation/d/1eI7wMXBWikW3QmA2O5FvQq9D50s8OW058ViDJr6qYvc/edit?slide=id.g2edd551b383_0_682" TargetMode="External"/><Relationship Id="rId5" Type="http://schemas.openxmlformats.org/officeDocument/2006/relationships/hyperlink" Target="http://tda-mobility.org/wp-content/uploads/2019/04/Cabo-Verde-Electric-Mobility-Policy-Chapter.pdf" TargetMode="External"/><Relationship Id="rId6" Type="http://schemas.openxmlformats.org/officeDocument/2006/relationships/hyperlink" Target="https://www.iea.org/data-and-statistics/data-tools/global-ev-policy-explorer" TargetMode="External"/><Relationship Id="rId7" Type="http://schemas.openxmlformats.org/officeDocument/2006/relationships/hyperlink" Target="http://tda-mobility.org/wp-content/uploads/2019/04/Cabo-Verde-Electric-Mobility-Policy-Chapter.pdf" TargetMode="External"/><Relationship Id="rId8" Type="http://schemas.openxmlformats.org/officeDocument/2006/relationships/hyperlink" Target="https://www.iea.org/data-and-statistics/data-tools/global-ev-policy-explorer" TargetMode="External"/><Relationship Id="rId31" Type="http://schemas.openxmlformats.org/officeDocument/2006/relationships/hyperlink" Target="https://acceleratingtozero.org/" TargetMode="External"/><Relationship Id="rId30" Type="http://schemas.openxmlformats.org/officeDocument/2006/relationships/hyperlink" Target="https://www.iea.org/data-and-statistics/data-tools/global-ev-policy-explorer" TargetMode="External"/><Relationship Id="rId33" Type="http://schemas.openxmlformats.org/officeDocument/2006/relationships/hyperlink" Target="https://clubofmozambique.com/news/mozambique-will-invest-in-electric-bus-assembly-line-233178/" TargetMode="External"/><Relationship Id="rId32" Type="http://schemas.openxmlformats.org/officeDocument/2006/relationships/hyperlink" Target="https://www.iea.org/data-and-statistics/data-tools/global-ev-policy-explorer" TargetMode="External"/><Relationship Id="rId35" Type="http://schemas.openxmlformats.org/officeDocument/2006/relationships/hyperlink" Target="https://archive.thebrief.com.na/index.php/companies/item/3288-namibia-targets-96-500-electric-vehicles-by-2025" TargetMode="External"/><Relationship Id="rId34" Type="http://schemas.openxmlformats.org/officeDocument/2006/relationships/hyperlink" Target="https://www.global-climatescope.org/markets/mz/" TargetMode="External"/><Relationship Id="rId37" Type="http://schemas.openxmlformats.org/officeDocument/2006/relationships/hyperlink" Target="https://www.iea.org/data-and-statistics/data-tools/global-ev-policy-explorer" TargetMode="External"/><Relationship Id="rId36" Type="http://schemas.openxmlformats.org/officeDocument/2006/relationships/hyperlink" Target="https://www.energytransition.gov.ng/transport-2-2/" TargetMode="External"/><Relationship Id="rId39" Type="http://schemas.openxmlformats.org/officeDocument/2006/relationships/hyperlink" Target="https://www.iea.org/data-and-statistics/data-tools/global-ev-policy-explorer" TargetMode="External"/><Relationship Id="rId38" Type="http://schemas.openxmlformats.org/officeDocument/2006/relationships/hyperlink" Target="https://acceleratingtozero.org/" TargetMode="External"/><Relationship Id="rId20" Type="http://schemas.openxmlformats.org/officeDocument/2006/relationships/hyperlink" Target="https://unepccc.org/wp-content/uploads/2022/08/national-electric-mobility-roadmap-upload-25072022.pdf?_gl=1*1yyh495*_up*MQ..*_ga*MTM3Mzk3MDA0Mi4xNjc1MTg1MjQ2*_ga_42V2ZK8NT0*MTY3NTE4NTI0NS4xLjAuMTY3NTE4NTI0NS4wLjAuMA.." TargetMode="External"/><Relationship Id="rId22" Type="http://schemas.openxmlformats.org/officeDocument/2006/relationships/hyperlink" Target="https://unepccc.org/wp-content/uploads/2022/08/national-electric-mobility-roadmap-upload-25072022.pdf?_gl=1*1yyh495*_up*MQ..*_ga*MTM3Mzk3MDA0Mi4xNjc1MTg1MjQ2*_ga_42V2ZK8NT0*MTY3NTE4NTI0NS4xLjAuMTY3NTE4NTI0NS4wLjAuMA.." TargetMode="External"/><Relationship Id="rId21" Type="http://schemas.openxmlformats.org/officeDocument/2006/relationships/hyperlink" Target="https://www.iea.org/data-and-statistics/data-tools/global-ev-policy-explorer" TargetMode="External"/><Relationship Id="rId24" Type="http://schemas.openxmlformats.org/officeDocument/2006/relationships/hyperlink" Target="https://acceleratingtozero.org/" TargetMode="External"/><Relationship Id="rId23" Type="http://schemas.openxmlformats.org/officeDocument/2006/relationships/hyperlink" Target="https://www.iea.org/data-and-statistics/data-tools/global-ev-policy-explorer" TargetMode="External"/><Relationship Id="rId26" Type="http://schemas.openxmlformats.org/officeDocument/2006/relationships/hyperlink" Target="https://acceleratingtozero.org/" TargetMode="External"/><Relationship Id="rId25" Type="http://schemas.openxmlformats.org/officeDocument/2006/relationships/hyperlink" Target="https://www.iea.org/data-and-statistics/data-tools/global-ev-policy-explorer" TargetMode="External"/><Relationship Id="rId28" Type="http://schemas.openxmlformats.org/officeDocument/2006/relationships/hyperlink" Target="https://www.the-star.co.ke/news/2023-07-25-ruto-well-boost-electric-bikes-numbers-to-200000-by-2024/" TargetMode="External"/><Relationship Id="rId27" Type="http://schemas.openxmlformats.org/officeDocument/2006/relationships/hyperlink" Target="https://www.iea.org/data-and-statistics/data-tools/global-ev-policy-explorer" TargetMode="External"/><Relationship Id="rId29" Type="http://schemas.openxmlformats.org/officeDocument/2006/relationships/hyperlink" Target="https://unepdtu.org/wp-content/uploads/2020/09/kenya-national-energy-efficiency-and-conservation-strategy-2020-1.pdf" TargetMode="External"/><Relationship Id="rId50" Type="http://schemas.openxmlformats.org/officeDocument/2006/relationships/drawing" Target="../drawings/drawing6.xml"/><Relationship Id="rId11" Type="http://schemas.openxmlformats.org/officeDocument/2006/relationships/hyperlink" Target="http://tda-mobility.org/wp-content/uploads/2019/04/Cabo-Verde-Electric-Mobility-Policy-Chapter.pdf" TargetMode="External"/><Relationship Id="rId10" Type="http://schemas.openxmlformats.org/officeDocument/2006/relationships/hyperlink" Target="https://www.iea.org/data-and-statistics/data-tools/global-ev-policy-explorer" TargetMode="External"/><Relationship Id="rId13" Type="http://schemas.openxmlformats.org/officeDocument/2006/relationships/hyperlink" Target="http://tda-mobility.org/wp-content/uploads/2019/04/Cabo-Verde-Electric-Mobility-Policy-Chapter.pdf" TargetMode="External"/><Relationship Id="rId12" Type="http://schemas.openxmlformats.org/officeDocument/2006/relationships/hyperlink" Target="https://www.iea.org/data-and-statistics/data-tools/global-ev-policy-explorer" TargetMode="External"/><Relationship Id="rId15" Type="http://schemas.openxmlformats.org/officeDocument/2006/relationships/hyperlink" Target="https://cleantechnica.com/2024/05/13/ethiopia-shows-us-just-how-fast-the-transition-to-electric-mobility-can-happen-in-africa/" TargetMode="External"/><Relationship Id="rId14" Type="http://schemas.openxmlformats.org/officeDocument/2006/relationships/hyperlink" Target="https://www.iea.org/data-and-statistics/data-tools/global-ev-policy-explorer" TargetMode="External"/><Relationship Id="rId17" Type="http://schemas.openxmlformats.org/officeDocument/2006/relationships/hyperlink" Target="https://www.iea.org/data-and-statistics/data-tools/global-ev-policy-explorer" TargetMode="External"/><Relationship Id="rId16" Type="http://schemas.openxmlformats.org/officeDocument/2006/relationships/hyperlink" Target="https://unfccc.int/sites/default/files/resource/Long_Term_Climate_Change_Strategy_of_The_Gambia_Final.pdf" TargetMode="External"/><Relationship Id="rId19" Type="http://schemas.openxmlformats.org/officeDocument/2006/relationships/hyperlink" Target="https://www.global-climatescope.org/markets/gh/" TargetMode="External"/><Relationship Id="rId18" Type="http://schemas.openxmlformats.org/officeDocument/2006/relationships/hyperlink" Target="https://allafrica.com/stories/202307060483.html"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www.iort.gov.tn/WD120AWP/WD120Awp.exe/CTX_9588-50-qYHynfvent/AfficheJORT/SYNC_2128496503" TargetMode="External"/><Relationship Id="rId42" Type="http://schemas.openxmlformats.org/officeDocument/2006/relationships/hyperlink" Target="https://www.agbi.com/transport/2023/06/tunisia-offers-evs-bonus/" TargetMode="External"/><Relationship Id="rId41" Type="http://schemas.openxmlformats.org/officeDocument/2006/relationships/hyperlink" Target="https://www.iea.org/data-and-statistics/data-tools/global-ev-policy-explorer" TargetMode="External"/><Relationship Id="rId44" Type="http://schemas.openxmlformats.org/officeDocument/2006/relationships/hyperlink" Target="https://orbitax.com/news/archive.php/Zambia-Implements-2023-Budget--52031" TargetMode="External"/><Relationship Id="rId43" Type="http://schemas.openxmlformats.org/officeDocument/2006/relationships/hyperlink" Target="https://ugandanconventionuk.org/embracing-green-mobility-insights-on-ugandas-tax-concessions-for-electric-and-hybrid-vehicles/" TargetMode="External"/><Relationship Id="rId46" Type="http://schemas.openxmlformats.org/officeDocument/2006/relationships/hyperlink" Target="https://www.esi-africa.com/news/electric-mobility-policy-on-the-cards-for-lithium-rich-zimbabwe/" TargetMode="External"/><Relationship Id="rId45" Type="http://schemas.openxmlformats.org/officeDocument/2006/relationships/hyperlink" Target="https://www.global-climatescope.org/markets/zm/" TargetMode="External"/><Relationship Id="rId1" Type="http://schemas.openxmlformats.org/officeDocument/2006/relationships/hyperlink" Target="https://www.lexlink.eu/FileGet.aspx?FileId=3031492" TargetMode="External"/><Relationship Id="rId2" Type="http://schemas.openxmlformats.org/officeDocument/2006/relationships/hyperlink" Target="https://www.orbitax.com/news/archive.php/Angolas-New-Consolidated-Tax--49830" TargetMode="External"/><Relationship Id="rId3" Type="http://schemas.openxmlformats.org/officeDocument/2006/relationships/hyperlink" Target="https://www.global-climatescope.org/markets/ao/" TargetMode="External"/><Relationship Id="rId4" Type="http://schemas.openxmlformats.org/officeDocument/2006/relationships/hyperlink" Target="https://www.lemonde.fr/en/international/article/2023/01/28/in-benin-electric-motorcycles-are-gaining-popularity_6013435_4.html" TargetMode="External"/><Relationship Id="rId9" Type="http://schemas.openxmlformats.org/officeDocument/2006/relationships/hyperlink" Target="https://www.reuters.com/markets/deals/egypts-mansour-general-motors-draw-up-plan-make-electric-cars-2021-12-01/" TargetMode="External"/><Relationship Id="rId48" Type="http://schemas.openxmlformats.org/officeDocument/2006/relationships/drawing" Target="../drawings/drawing7.xml"/><Relationship Id="rId47" Type="http://schemas.openxmlformats.org/officeDocument/2006/relationships/hyperlink" Target="https://docs.google.com/presentation/d/1eI7wMXBWikW3QmA2O5FvQq9D50s8OW058ViDJr6qYvc/edit?slide=id.g2edd551b383_0_690" TargetMode="External"/><Relationship Id="rId5" Type="http://schemas.openxmlformats.org/officeDocument/2006/relationships/hyperlink" Target="https://theicct.org/wp-content/uploads/2022/04/africa-hvs-zev-deploy-africa-apr22.pdf" TargetMode="External"/><Relationship Id="rId6" Type="http://schemas.openxmlformats.org/officeDocument/2006/relationships/hyperlink" Target="https://www.afreximbank.com/afreximbank-and-eca-sign-framework-agreement-towards-establishing-special-economic-zones-for-the-production-of-battery-electric-vehicles-in-drc-and-zambia%EF%BF%BC/" TargetMode="External"/><Relationship Id="rId7" Type="http://schemas.openxmlformats.org/officeDocument/2006/relationships/hyperlink" Target="https://aps.aucegypt.edu/en/articles/1013/electric-vehicle-adoption-in-egypt-a-long-way-to-go" TargetMode="External"/><Relationship Id="rId8" Type="http://schemas.openxmlformats.org/officeDocument/2006/relationships/hyperlink" Target="https://www.global-climatescope.org/markets/eg/" TargetMode="External"/><Relationship Id="rId31" Type="http://schemas.openxmlformats.org/officeDocument/2006/relationships/hyperlink" Target="https://www.iea.org/data-and-statistics/data-tools/global-ev-policy-explorer" TargetMode="External"/><Relationship Id="rId30" Type="http://schemas.openxmlformats.org/officeDocument/2006/relationships/hyperlink" Target="https://www.mininfra.gov.rw/fileadmin/user_upload/Mininfra/Publications/Laws_Orders_and_Instructions/Transport/16062021_Strategic_Paper_for_e-mobility_adaptation_in_Rwanda-Final.pdf" TargetMode="External"/><Relationship Id="rId33" Type="http://schemas.openxmlformats.org/officeDocument/2006/relationships/hyperlink" Target="https://www.iea.org/data-and-statistics/data-tools/global-ev-policy-explorer" TargetMode="External"/><Relationship Id="rId32" Type="http://schemas.openxmlformats.org/officeDocument/2006/relationships/hyperlink" Target="https://www.mininfra.gov.rw/fileadmin/user_upload/Mininfra/Publications/Laws_Orders_and_Instructions/Transport/16062021_Strategic_Paper_for_e-mobility_adaptation_in_Rwanda-Final.pdf" TargetMode="External"/><Relationship Id="rId35" Type="http://schemas.openxmlformats.org/officeDocument/2006/relationships/hyperlink" Target="https://www.global-climatescope.org/markets/rw/" TargetMode="External"/><Relationship Id="rId34" Type="http://schemas.openxmlformats.org/officeDocument/2006/relationships/hyperlink" Target="https://africa-energy-portal.org/news/rwanda-kigali-exempts-electric-vehicles-import-duties" TargetMode="External"/><Relationship Id="rId37" Type="http://schemas.openxmlformats.org/officeDocument/2006/relationships/hyperlink" Target="https://www.bloomberg.com/news/articles/2024-02-21/south-africa-budget-tax-breaks-to-kick-start-ev-industry-announced?embedded-checkout=true" TargetMode="External"/><Relationship Id="rId36" Type="http://schemas.openxmlformats.org/officeDocument/2006/relationships/hyperlink" Target="https://www.thegef.org/sites/default/files/documents/10274_Portal_Entry_CEO_Endorsement_Request.pdf" TargetMode="External"/><Relationship Id="rId39" Type="http://schemas.openxmlformats.org/officeDocument/2006/relationships/hyperlink" Target="https://www.global-climatescope.org/markets/tg/" TargetMode="External"/><Relationship Id="rId38" Type="http://schemas.openxmlformats.org/officeDocument/2006/relationships/hyperlink" Target="https://theelectricityhub.com/togo-exempts-evs-from-import-taxes/" TargetMode="External"/><Relationship Id="rId20" Type="http://schemas.openxmlformats.org/officeDocument/2006/relationships/hyperlink" Target="https://transport.go.ke/sites/default/files/Draft%20National%20e-Mobility%20Policy_For%20Circulation%2027.03.2024.pdf" TargetMode="External"/><Relationship Id="rId22" Type="http://schemas.openxmlformats.org/officeDocument/2006/relationships/hyperlink" Target="https://www.mra.mw/press-releases/new-tax-measures-for-customs-excise" TargetMode="External"/><Relationship Id="rId21" Type="http://schemas.openxmlformats.org/officeDocument/2006/relationships/hyperlink" Target="https://www.capmad.com/news/transport-logistics-en/madagascars-energy-transition-pioneering-electric-mobility/" TargetMode="External"/><Relationship Id="rId24" Type="http://schemas.openxmlformats.org/officeDocument/2006/relationships/hyperlink" Target="https://mhhinternational.com/blog/mauritius-duty-free-car-imports-electric-vehicles/" TargetMode="External"/><Relationship Id="rId23" Type="http://schemas.openxmlformats.org/officeDocument/2006/relationships/hyperlink" Target="https://cleantechnica.com/2022/11/14/electric-vehicles-are-duty-free-in-mauritius/" TargetMode="External"/><Relationship Id="rId26" Type="http://schemas.openxmlformats.org/officeDocument/2006/relationships/hyperlink" Target="https://www.iea.org/policies/6993-circulation-tax-exemption-morocco" TargetMode="External"/><Relationship Id="rId25" Type="http://schemas.openxmlformats.org/officeDocument/2006/relationships/hyperlink" Target="https://www.mdpi.com/2032-6653/15/1/6" TargetMode="External"/><Relationship Id="rId28" Type="http://schemas.openxmlformats.org/officeDocument/2006/relationships/hyperlink" Target="https://www.mininfra.gov.rw/fileadmin/user_upload/Mininfra/Publications/Laws_Orders_and_Instructions/Transport/16062021_Strategic_Paper_for_e-mobility_adaptation_in_Rwanda-Final.pdf" TargetMode="External"/><Relationship Id="rId27" Type="http://schemas.openxmlformats.org/officeDocument/2006/relationships/hyperlink" Target="https://nairametrics.com/2023/05/27/fg-enables-10-year-tax-relief-for-electric-vehicle-manufacturers-in-nigeria-dg-naddc/" TargetMode="External"/><Relationship Id="rId29" Type="http://schemas.openxmlformats.org/officeDocument/2006/relationships/hyperlink" Target="https://www.iea.org/data-and-statistics/data-tools/global-ev-policy-explorer" TargetMode="External"/><Relationship Id="rId11" Type="http://schemas.openxmlformats.org/officeDocument/2006/relationships/hyperlink" Target="https://www.mofed.gov.et/blog/%E1%8B%A8%E1%8A%A4%E1%88%8C%E1%8A%AD%E1%89%B5%E1%88%AA%E1%8A%AD-%E1%89%B0%E1%88%BD%E1%8A%A8%E1%88%AD%E1%8A%AB%E1%88%AA-%E1%8A%A2%E1%8A%95%E1%89%A8%E1%88%B5%E1%89%B5%E1%88%98%E1%8A%95%E1%89%B5%E1%8A%95%E1%8A%93-%E1%8A%A0%E1%88%B5%E1%88%98%E1%8C%AA%E1%8B%8E%E1%89%BD%E1%8A%95-%E1%8B%A8%E1%88%9A%E1%8B%AB%E1%89%A0%E1%88%A8%E1%89%B3%E1%89%B3-%E1%8A%A5%E1%8A%95%E1%8B%B2%E1%88%81%E1%88%9D-%E1%88%85%E1%89%A5%E1%88%A8%E1%89%B0%E1%88%B0%E1%89%A1%E1%8A%95-%E1%89%B0%E1%8C%A0%E1%89%83%E1%88%9A-%E1%8B%A8%E1%88%9A%E1%8B%AB%E1%8B%B0%E1%88%AD%E1%8C%8D-%E1%8B%A8%E1%89%B3%E1%8A%AD%E1%88%B5-%E1%88%9B%E1%88%BB%E1%88%BB%E1%8B%AB-%E1%89%B0%E1%8C%8D%E1%89%A3%E1%88%AB%E1%8B%8A-%E1%89%B0%E1%8B%B0%E1%88%A8%E1%8C%88/?edit" TargetMode="External"/><Relationship Id="rId10" Type="http://schemas.openxmlformats.org/officeDocument/2006/relationships/hyperlink" Target="https://www.global-climatescope.org/markets/eg/" TargetMode="External"/><Relationship Id="rId13" Type="http://schemas.openxmlformats.org/officeDocument/2006/relationships/hyperlink" Target="https://www.efdinitiative.org/news/e-vehicles-exempted-tax-ethiopia-ige-fellow-wrote-proposal" TargetMode="External"/><Relationship Id="rId12" Type="http://schemas.openxmlformats.org/officeDocument/2006/relationships/hyperlink" Target="https://www.iea.org/data-and-statistics/data-tools/global-ev-policy-explorer" TargetMode="External"/><Relationship Id="rId15" Type="http://schemas.openxmlformats.org/officeDocument/2006/relationships/hyperlink" Target="https://www.esi-africa.com/news/ethiopia-electric-buses-rolled-out-as-country-look-to-up-imports/" TargetMode="External"/><Relationship Id="rId14" Type="http://schemas.openxmlformats.org/officeDocument/2006/relationships/hyperlink" Target="https://newmobility.news/2024/02/05/ethiopia-first-country-in-the-world-to-ban-ice-cars/" TargetMode="External"/><Relationship Id="rId17" Type="http://schemas.openxmlformats.org/officeDocument/2006/relationships/hyperlink" Target="https://www.trade.gov/market-intelligence/ghana-electrical-vehicle-tariffs" TargetMode="External"/><Relationship Id="rId16" Type="http://schemas.openxmlformats.org/officeDocument/2006/relationships/hyperlink" Target="https://cleantechnica.com/2023/11/16/ghana-waives-import-duties-on-electric-vehicles-for-8-years-starting-2024/" TargetMode="External"/><Relationship Id="rId19" Type="http://schemas.openxmlformats.org/officeDocument/2006/relationships/hyperlink" Target="https://techpoint.africa/2024/04/05/kenya-set-approve-first-green-mobility/" TargetMode="External"/><Relationship Id="rId18" Type="http://schemas.openxmlformats.org/officeDocument/2006/relationships/hyperlink" Target="https://africa-energy-portal.org/sites/default/files/2022-09/new-31st-update-august-correction-ELECTRIC-VEHICLES-1.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u-afrec.org/index.php/data-statistics-energy-browser-0" TargetMode="External"/><Relationship Id="rId2" Type="http://schemas.openxmlformats.org/officeDocument/2006/relationships/hyperlink" Target="https://docs.google.com/presentation/d/1eI7wMXBWikW3QmA2O5FvQq9D50s8OW058ViDJr6qYvc/edit?slide=id.g2edd551b383_0_791"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nterprisesurveys.org/en/data/exploretopics/infrastructure" TargetMode="External"/><Relationship Id="rId2" Type="http://schemas.openxmlformats.org/officeDocument/2006/relationships/hyperlink" Target="https://databank.worldbank.org/SAIDI-Index-WB/id/dd1d6036" TargetMode="External"/><Relationship Id="rId3" Type="http://schemas.openxmlformats.org/officeDocument/2006/relationships/hyperlink" Target="https://docs.google.com/presentation/d/1eI7wMXBWikW3QmA2O5FvQq9D50s8OW058ViDJr6qYvc/edit?slide=id.g2edd551b383_0_809" TargetMode="External"/><Relationship Id="rId4" Type="http://schemas.openxmlformats.org/officeDocument/2006/relationships/hyperlink" Target="https://www.enterprisesurveys.org/en/data/exploretopics/infrastructure"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743"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lectromaps.com/en/charging-stations" TargetMode="External"/><Relationship Id="rId2" Type="http://schemas.openxmlformats.org/officeDocument/2006/relationships/hyperlink" Target="https://chargemap.com/map" TargetMode="External"/><Relationship Id="rId3" Type="http://schemas.openxmlformats.org/officeDocument/2006/relationships/hyperlink" Target="https://docs.google.com/presentation/d/1eI7wMXBWikW3QmA2O5FvQq9D50s8OW058ViDJr6qYvc/edit?slide=id.g2edd551b383_0_75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frica-energy-portal.org/eri/overview" TargetMode="External"/><Relationship Id="rId2" Type="http://schemas.openxmlformats.org/officeDocument/2006/relationships/hyperlink" Target="https://docs.google.com/presentation/d/1eI7wMXBWikW3QmA2O5FvQq9D50s8OW058ViDJr6qYvc/edit?slide=id.g2edd551b383_0_817"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utilityperformance.energydata.info/utilities/CEET" TargetMode="External"/><Relationship Id="rId42" Type="http://schemas.openxmlformats.org/officeDocument/2006/relationships/hyperlink" Target="https://utilityperformance.energydata.info/utilities/UMEME" TargetMode="External"/><Relationship Id="rId41" Type="http://schemas.openxmlformats.org/officeDocument/2006/relationships/hyperlink" Target="https://utilityperformance.energydata.info/utilities/STEG" TargetMode="External"/><Relationship Id="rId44" Type="http://schemas.openxmlformats.org/officeDocument/2006/relationships/hyperlink" Target="https://utilityperformance.energydata.info/utilities/ZETDC" TargetMode="External"/><Relationship Id="rId43" Type="http://schemas.openxmlformats.org/officeDocument/2006/relationships/hyperlink" Target="https://utilityperformance.energydata.info/utilities/ZESCO" TargetMode="External"/><Relationship Id="rId46" Type="http://schemas.openxmlformats.org/officeDocument/2006/relationships/drawing" Target="../drawings/drawing13.xml"/><Relationship Id="rId45" Type="http://schemas.openxmlformats.org/officeDocument/2006/relationships/hyperlink" Target="https://docs.google.com/presentation/d/1eI7wMXBWikW3QmA2O5FvQq9D50s8OW058ViDJr6qYvc/edit?slide=id.g2edd551b383_0_825" TargetMode="External"/><Relationship Id="rId1" Type="http://schemas.openxmlformats.org/officeDocument/2006/relationships/hyperlink" Target="https://utilityperformance.energydata.info/utilities/ENDE" TargetMode="External"/><Relationship Id="rId2" Type="http://schemas.openxmlformats.org/officeDocument/2006/relationships/hyperlink" Target="https://utilityperformance.energydata.info/utilities/SBEE" TargetMode="External"/><Relationship Id="rId3" Type="http://schemas.openxmlformats.org/officeDocument/2006/relationships/hyperlink" Target="https://utilityperformance.energydata.info/utilities/BPC" TargetMode="External"/><Relationship Id="rId4" Type="http://schemas.openxmlformats.org/officeDocument/2006/relationships/hyperlink" Target="https://utilityperformance.energydata.info/utilities/SONABEL" TargetMode="External"/><Relationship Id="rId9" Type="http://schemas.openxmlformats.org/officeDocument/2006/relationships/hyperlink" Target="https://utilityperformance.energydata.info/utilities/SNE" TargetMode="External"/><Relationship Id="rId5" Type="http://schemas.openxmlformats.org/officeDocument/2006/relationships/hyperlink" Target="https://utilityperformance.energydata.info/utilities/REGIDESO" TargetMode="External"/><Relationship Id="rId6" Type="http://schemas.openxmlformats.org/officeDocument/2006/relationships/hyperlink" Target="https://utilityperformance.energydata.info/utilities/ELECTRA" TargetMode="External"/><Relationship Id="rId7" Type="http://schemas.openxmlformats.org/officeDocument/2006/relationships/hyperlink" Target="https://utilityperformance.energydata.info/utilities/Eneo" TargetMode="External"/><Relationship Id="rId8" Type="http://schemas.openxmlformats.org/officeDocument/2006/relationships/hyperlink" Target="https://utilityperformance.energydata.info/utilities/ENERCA" TargetMode="External"/><Relationship Id="rId31" Type="http://schemas.openxmlformats.org/officeDocument/2006/relationships/hyperlink" Target="https://utilityperformance.energydata.info/utilities/NIGELEC" TargetMode="External"/><Relationship Id="rId30" Type="http://schemas.openxmlformats.org/officeDocument/2006/relationships/hyperlink" Target="https://utilityperformance.energydata.info/utilities/NamPower" TargetMode="External"/><Relationship Id="rId33" Type="http://schemas.openxmlformats.org/officeDocument/2006/relationships/hyperlink" Target="https://utilityperformance.energydata.info/utilities/EMAE" TargetMode="External"/><Relationship Id="rId32" Type="http://schemas.openxmlformats.org/officeDocument/2006/relationships/hyperlink" Target="https://utilityperformance.energydata.info/utilities/EUCL" TargetMode="External"/><Relationship Id="rId35" Type="http://schemas.openxmlformats.org/officeDocument/2006/relationships/hyperlink" Target="https://utilityperformance.energydata.info/utilities/PUC_S" TargetMode="External"/><Relationship Id="rId34" Type="http://schemas.openxmlformats.org/officeDocument/2006/relationships/hyperlink" Target="https://utilityperformance.energydata.info/utilities/Senelec" TargetMode="External"/><Relationship Id="rId37" Type="http://schemas.openxmlformats.org/officeDocument/2006/relationships/hyperlink" Target="https://utilityperformance.energydata.info/utilities/ESKOM" TargetMode="External"/><Relationship Id="rId36" Type="http://schemas.openxmlformats.org/officeDocument/2006/relationships/hyperlink" Target="https://utilityperformance.energydata.info/utilities/EDSA" TargetMode="External"/><Relationship Id="rId39" Type="http://schemas.openxmlformats.org/officeDocument/2006/relationships/hyperlink" Target="https://utilityperformance.energydata.info/utilities/TANESCO" TargetMode="External"/><Relationship Id="rId38" Type="http://schemas.openxmlformats.org/officeDocument/2006/relationships/hyperlink" Target="https://utilityperformance.energydata.info/utilities/SEDC" TargetMode="External"/><Relationship Id="rId20" Type="http://schemas.openxmlformats.org/officeDocument/2006/relationships/hyperlink" Target="https://utilityperformance.energydata.info/utilities/KPLC" TargetMode="External"/><Relationship Id="rId22" Type="http://schemas.openxmlformats.org/officeDocument/2006/relationships/hyperlink" Target="https://utilityperformance.energydata.info/utilities/LEC_Lib" TargetMode="External"/><Relationship Id="rId21" Type="http://schemas.openxmlformats.org/officeDocument/2006/relationships/hyperlink" Target="https://utilityperformance.energydata.info/utilities/LEC_Les" TargetMode="External"/><Relationship Id="rId24" Type="http://schemas.openxmlformats.org/officeDocument/2006/relationships/hyperlink" Target="https://utilityperformance.energydata.info/utilities/ESCOM" TargetMode="External"/><Relationship Id="rId23" Type="http://schemas.openxmlformats.org/officeDocument/2006/relationships/hyperlink" Target="https://utilityperformance.energydata.info/utilities/JIRAMA" TargetMode="External"/><Relationship Id="rId26" Type="http://schemas.openxmlformats.org/officeDocument/2006/relationships/hyperlink" Target="https://utilityperformance.energydata.info/utilities/SOMELEC" TargetMode="External"/><Relationship Id="rId25" Type="http://schemas.openxmlformats.org/officeDocument/2006/relationships/hyperlink" Target="https://utilityperformance.energydata.info/utilities/EDM_Mal" TargetMode="External"/><Relationship Id="rId28" Type="http://schemas.openxmlformats.org/officeDocument/2006/relationships/hyperlink" Target="https://utilityperformance.energydata.info/utilities/LYDEC" TargetMode="External"/><Relationship Id="rId27" Type="http://schemas.openxmlformats.org/officeDocument/2006/relationships/hyperlink" Target="https://utilityperformance.energydata.info/utilities/CEB" TargetMode="External"/><Relationship Id="rId29" Type="http://schemas.openxmlformats.org/officeDocument/2006/relationships/hyperlink" Target="https://utilityperformance.energydata.info/utilities/EDM_Moz" TargetMode="External"/><Relationship Id="rId11" Type="http://schemas.openxmlformats.org/officeDocument/2006/relationships/hyperlink" Target="https://utilityperformance.energydata.info/utilities/CIE" TargetMode="External"/><Relationship Id="rId10" Type="http://schemas.openxmlformats.org/officeDocument/2006/relationships/hyperlink" Target="https://utilityperformance.energydata.info/utilities/SONELEC" TargetMode="External"/><Relationship Id="rId13" Type="http://schemas.openxmlformats.org/officeDocument/2006/relationships/hyperlink" Target="https://utilityperformance.energydata.info/utilities/EEC" TargetMode="External"/><Relationship Id="rId12" Type="http://schemas.openxmlformats.org/officeDocument/2006/relationships/hyperlink" Target="https://utilityperformance.energydata.info/utilities/SNEL" TargetMode="External"/><Relationship Id="rId15" Type="http://schemas.openxmlformats.org/officeDocument/2006/relationships/hyperlink" Target="https://utilityperformance.energydata.info/utilities/SEEG" TargetMode="External"/><Relationship Id="rId14" Type="http://schemas.openxmlformats.org/officeDocument/2006/relationships/hyperlink" Target="https://utilityperformance.energydata.info/utilities/EEU" TargetMode="External"/><Relationship Id="rId17" Type="http://schemas.openxmlformats.org/officeDocument/2006/relationships/hyperlink" Target="https://utilityperformance.energydata.info/utilities/ECG" TargetMode="External"/><Relationship Id="rId16" Type="http://schemas.openxmlformats.org/officeDocument/2006/relationships/hyperlink" Target="https://utilityperformance.energydata.info/utilities/NAWEC" TargetMode="External"/><Relationship Id="rId19" Type="http://schemas.openxmlformats.org/officeDocument/2006/relationships/hyperlink" Target="https://utilityperformance.energydata.info/utilities/EAGB" TargetMode="External"/><Relationship Id="rId18" Type="http://schemas.openxmlformats.org/officeDocument/2006/relationships/hyperlink" Target="https://utilityperformance.energydata.info/utilities/ED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767"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783"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eia.gov/international/data/world/electricity/electricity-consumption?pd=2&amp;p=0000002&amp;u=0&amp;f=A&amp;v=mapbubble&amp;a=-&amp;i=none&amp;vo=value&amp;t=C&amp;g=00000000000000000000000000000000000000000000000001&amp;l=249-ruvvvvvfvtvnvv1vrvvvvfvvvvvvfvvvou20evvvvvvvvvvnvvvs0008&amp;s=315532800000&amp;e=1609459200000" TargetMode="External"/><Relationship Id="rId2" Type="http://schemas.openxmlformats.org/officeDocument/2006/relationships/hyperlink" Target="https://docs.google.com/presentation/d/1eI7wMXBWikW3QmA2O5FvQq9D50s8OW058ViDJr6qYvc/edit?slide=id.g2edd551b383_0_878"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ea.org/data-and-statistics/data-product/greenhouse-gas-emissions-from-energy" TargetMode="External"/><Relationship Id="rId2" Type="http://schemas.openxmlformats.org/officeDocument/2006/relationships/hyperlink" Target="https://www.iea.org/data-and-statistics/data-product/world-energy-balances" TargetMode="External"/><Relationship Id="rId3" Type="http://schemas.openxmlformats.org/officeDocument/2006/relationships/hyperlink" Target="https://docs.google.com/presentation/d/1eI7wMXBWikW3QmA2O5FvQq9D50s8OW058ViDJr6qYvc/edit?slide=id.g2edd551b383_0_886"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894"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u-afrec.org/data-statistics-energy-browser-0" TargetMode="External"/><Relationship Id="rId2" Type="http://schemas.openxmlformats.org/officeDocument/2006/relationships/hyperlink" Target="https://docs.google.com/presentation/d/1eI7wMXBWikW3QmA2O5FvQq9D50s8OW058ViDJr6qYvc/edit?slide=id.g2edd551b383_0_910"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mf.org/en/Publications/WP/Issues/2023/08/22/IMF-Fossil-Fuel-Subsidies-Data-2023-Update-537281" TargetMode="External"/><Relationship Id="rId2" Type="http://schemas.openxmlformats.org/officeDocument/2006/relationships/hyperlink" Target="https://www.imf.org/-/media/Files/Topics/energy-subsidies/EXTERNALfuelsubsidiestemplate2023new.ashx" TargetMode="External"/><Relationship Id="rId3" Type="http://schemas.openxmlformats.org/officeDocument/2006/relationships/hyperlink" Target="https://docs.google.com/presentation/d/1eI7wMXBWikW3QmA2O5FvQq9D50s8OW058ViDJr6qYvc/edit?slide=id.g2edd551b383_0_918"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presentation/d/1eI7wMXBWikW3QmA2O5FvQq9D50s8OW058ViDJr6qYvc/edit?slide=id.g2edd551b383_0_926"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ata.worldbank.org/indicator/NY.GNP.ATLS.CD" TargetMode="External"/><Relationship Id="rId2" Type="http://schemas.openxmlformats.org/officeDocument/2006/relationships/hyperlink" Target="https://docs.google.com/presentation/d/1eI7wMXBWikW3QmA2O5FvQq9D50s8OW058ViDJr6qYvc/edit?slide=id.g2edd551b383_0_934"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75.38"/>
  </cols>
  <sheetData>
    <row r="1">
      <c r="A1" s="2"/>
      <c r="B1" s="4" t="s">
        <v>1</v>
      </c>
      <c r="C1" s="2"/>
    </row>
    <row r="2">
      <c r="A2" s="2"/>
      <c r="C2" s="2"/>
    </row>
    <row r="3">
      <c r="A3" s="2"/>
      <c r="C3" s="2"/>
    </row>
    <row r="4">
      <c r="A4" s="2"/>
      <c r="C4" s="2"/>
    </row>
    <row r="5">
      <c r="A5" s="2"/>
      <c r="C5" s="2"/>
    </row>
    <row r="6">
      <c r="A6" s="2"/>
      <c r="C6" s="2"/>
    </row>
    <row r="7">
      <c r="A7" s="2"/>
      <c r="B7" s="9"/>
      <c r="C7" s="2"/>
    </row>
    <row r="8">
      <c r="A8" s="2"/>
      <c r="B8" s="9" t="str">
        <f t="array" ref="B8:B73">{"HOW TO READ THIS SPREADSHEET";
  "";
  "OVERVIEW";
  "This spreadsheet contains the underlying data for the Africa EV Readiness and Impact Indices, comprehensive frameworks for assessing African countries' preparedness for electric vehicle adoption and potential benefits.
Here's how to navigate the informa"&amp;"tion:";
  "";
  "1. MAIN SHEET";
  "• Contains raw data for all indicators across both indices";
  "• Organized by major categories (Enabling Policies, Grid Infrastructure, etc.)";
  "• Includes links to source data and methodology notes";
  "• Shows latest available data for each indicator";
  "";
  "2. SCORING TABS";
  "";
  "Readiness Total Scores Tab:";
  "• Shows normalized scores (1/3, 2/3, 3/3) for readiness indicators";
  "• Calculates averages with and without enabling policies";
  "• Provides category-level scores";
  "";
  "Impact Total Scores Tab:";
  "• Shows normalized scores (1/3, 2/3, 3/3) for impact indicators";
  "• Calculates overall impact averages";
  "";
  "3. INDICATOR-SPECIFIC TABS";
  "• Each indicator has its own detailed tab";
  "• Contains raw data, calculations, and methodological notes";
  "• Features an information box (approx. cell C65) with:";
  "  - Index category and sub-category";
  "  - Detailed description";
  "  - Scoring methodology";
  "  - Data sources";
  "  - Key statistics";
  "";
  "4. INDACTOR SCORING METHODOLOGY";
  "Full methodologies can be found in methodology note [link at the bottom of page]";
  "";
  "Readiness Indicators:";
  "• Low Readiness: 1/3 (0.33)";
  "• Medium Readiness: 2/3 (0.67)";
  "• High Readiness: 3/3 (1.00)";
  "• Some indicators use binary scoring (1/3 or 3/3 only)";
  "• A country's aggregate readiness score is calculated by averaging indicator scores (equal weigthing)";
  "";
  "Impact Indicators:";
  "• Low Impact: 1/3 (0.33)";
  "• Medium Impact: 2/3 (0.67)";
  "• High Impact: 3/3 (1.00)";
  "• A country's aggregate readiness score is calculated by averaging indicator scores (equal weigthing)";
  "";
  "5. CATEGORY BREAKDOWN";
  "";
  "Readiness Categories:";
  "• Enabling Policies: National targets and incentives";
  "• Grid Infrastructure: Generation capacity and reliability";
  "• Market: Current motorization and charging infrastructure";
  "• Power Sector Maturity: Regulatory environment and financial health";
  "• EV Affordability: Relative costs and financial access";
  "";
  "Impact Categories:";
  "• Climate: Clean energy share and transport emissions";
  "• Public Health: Urban air quality";
  "• Financial: Import dependence and revenue potential";
  "• Market Potential: Projected motorization rates";
  "";
  "6. DATA UPDATES";
  "• Latest comprehensive update: 2024";
  "• Individual indicator dates vary (see main tab)"}</f>
        <v>HOW TO READ THIS SPREADSHEET</v>
      </c>
      <c r="C8" s="2"/>
    </row>
    <row r="9">
      <c r="A9" s="2"/>
      <c r="B9" s="124" t="s">
        <v>126</v>
      </c>
      <c r="C9" s="2"/>
    </row>
    <row r="10">
      <c r="A10" s="2"/>
      <c r="B10" s="126" t="s">
        <v>128</v>
      </c>
      <c r="C10" s="2"/>
    </row>
    <row r="11">
      <c r="A11" s="2"/>
      <c r="B11" s="120" t="s">
        <v>130</v>
      </c>
      <c r="C11" s="2"/>
    </row>
    <row r="12">
      <c r="A12" s="2"/>
      <c r="B12" s="128" t="s">
        <v>126</v>
      </c>
      <c r="C12" s="2"/>
    </row>
    <row r="13">
      <c r="A13" s="2"/>
      <c r="B13" s="126" t="s">
        <v>132</v>
      </c>
      <c r="C13" s="2"/>
    </row>
    <row r="14">
      <c r="A14" s="2"/>
      <c r="B14" s="124" t="s">
        <v>133</v>
      </c>
      <c r="C14" s="2"/>
    </row>
    <row r="15">
      <c r="A15" s="2"/>
      <c r="B15" s="124" t="s">
        <v>136</v>
      </c>
      <c r="C15" s="2"/>
    </row>
    <row r="16">
      <c r="A16" s="2"/>
      <c r="B16" s="124" t="s">
        <v>137</v>
      </c>
      <c r="C16" s="2"/>
    </row>
    <row r="17">
      <c r="A17" s="2"/>
      <c r="B17" s="124" t="s">
        <v>139</v>
      </c>
      <c r="C17" s="2"/>
    </row>
    <row r="18">
      <c r="A18" s="2"/>
      <c r="B18" s="128" t="s">
        <v>126</v>
      </c>
      <c r="C18" s="2"/>
    </row>
    <row r="19">
      <c r="A19" s="2"/>
      <c r="B19" s="126" t="s">
        <v>142</v>
      </c>
      <c r="C19" s="2"/>
    </row>
    <row r="20">
      <c r="A20" s="2"/>
      <c r="B20" s="124" t="s">
        <v>126</v>
      </c>
      <c r="C20" s="2"/>
    </row>
    <row r="21">
      <c r="A21" s="2"/>
      <c r="B21" s="133" t="s">
        <v>143</v>
      </c>
      <c r="C21" s="2"/>
    </row>
    <row r="22">
      <c r="A22" s="2"/>
      <c r="B22" s="124" t="s">
        <v>146</v>
      </c>
      <c r="C22" s="2"/>
    </row>
    <row r="23">
      <c r="A23" s="2"/>
      <c r="B23" s="124" t="s">
        <v>147</v>
      </c>
      <c r="C23" s="2"/>
    </row>
    <row r="24">
      <c r="A24" s="2"/>
      <c r="B24" s="124" t="s">
        <v>148</v>
      </c>
      <c r="C24" s="2"/>
    </row>
    <row r="25">
      <c r="A25" s="2"/>
      <c r="B25" s="124" t="s">
        <v>126</v>
      </c>
      <c r="C25" s="2"/>
    </row>
    <row r="26">
      <c r="A26" s="2"/>
      <c r="B26" s="133" t="s">
        <v>151</v>
      </c>
      <c r="C26" s="2"/>
    </row>
    <row r="27">
      <c r="A27" s="2"/>
      <c r="B27" s="124" t="s">
        <v>154</v>
      </c>
      <c r="C27" s="2"/>
    </row>
    <row r="28">
      <c r="A28" s="2"/>
      <c r="B28" s="124" t="s">
        <v>157</v>
      </c>
      <c r="C28" s="2"/>
    </row>
    <row r="29">
      <c r="A29" s="2"/>
      <c r="B29" s="128" t="s">
        <v>126</v>
      </c>
      <c r="C29" s="2"/>
    </row>
    <row r="30">
      <c r="A30" s="2"/>
      <c r="B30" s="126" t="s">
        <v>160</v>
      </c>
      <c r="C30" s="2"/>
    </row>
    <row r="31">
      <c r="A31" s="2"/>
      <c r="B31" s="124" t="s">
        <v>162</v>
      </c>
      <c r="C31" s="2"/>
    </row>
    <row r="32">
      <c r="A32" s="2"/>
      <c r="B32" s="124" t="s">
        <v>163</v>
      </c>
      <c r="C32" s="2"/>
    </row>
    <row r="33">
      <c r="A33" s="2"/>
      <c r="B33" s="124" t="s">
        <v>165</v>
      </c>
      <c r="C33" s="2"/>
    </row>
    <row r="34">
      <c r="A34" s="2"/>
      <c r="B34" s="124" t="s">
        <v>167</v>
      </c>
      <c r="C34" s="2"/>
    </row>
    <row r="35">
      <c r="A35" s="2"/>
      <c r="B35" s="124" t="s">
        <v>168</v>
      </c>
      <c r="C35" s="2"/>
    </row>
    <row r="36">
      <c r="A36" s="2"/>
      <c r="B36" s="124" t="s">
        <v>169</v>
      </c>
      <c r="C36" s="2"/>
    </row>
    <row r="37">
      <c r="A37" s="2"/>
      <c r="B37" s="124" t="s">
        <v>171</v>
      </c>
      <c r="C37" s="2"/>
    </row>
    <row r="38">
      <c r="A38" s="2"/>
      <c r="B38" s="124" t="s">
        <v>172</v>
      </c>
      <c r="C38" s="2"/>
    </row>
    <row r="39">
      <c r="A39" s="2"/>
      <c r="B39" s="128" t="s">
        <v>126</v>
      </c>
      <c r="C39" s="2"/>
    </row>
    <row r="40">
      <c r="A40" s="2"/>
      <c r="B40" s="126" t="s">
        <v>176</v>
      </c>
      <c r="C40" s="2"/>
    </row>
    <row r="41">
      <c r="A41" s="2"/>
      <c r="B41" s="145" t="s">
        <v>177</v>
      </c>
      <c r="C41" s="2"/>
    </row>
    <row r="42">
      <c r="A42" s="2"/>
      <c r="B42" s="133" t="s">
        <v>126</v>
      </c>
      <c r="C42" s="2"/>
    </row>
    <row r="43">
      <c r="A43" s="2"/>
      <c r="B43" s="133" t="s">
        <v>179</v>
      </c>
      <c r="C43" s="2"/>
    </row>
    <row r="44">
      <c r="A44" s="2"/>
      <c r="B44" s="124" t="s">
        <v>180</v>
      </c>
      <c r="C44" s="2"/>
    </row>
    <row r="45">
      <c r="A45" s="2"/>
      <c r="B45" s="124" t="s">
        <v>181</v>
      </c>
      <c r="C45" s="2"/>
    </row>
    <row r="46">
      <c r="A46" s="2"/>
      <c r="B46" s="124" t="s">
        <v>182</v>
      </c>
      <c r="C46" s="2"/>
    </row>
    <row r="47">
      <c r="A47" s="2"/>
      <c r="B47" s="124" t="s">
        <v>185</v>
      </c>
      <c r="C47" s="2"/>
    </row>
    <row r="48">
      <c r="A48" s="2"/>
      <c r="B48" s="124" t="s">
        <v>187</v>
      </c>
      <c r="C48" s="2"/>
    </row>
    <row r="49">
      <c r="A49" s="2"/>
      <c r="B49" s="124" t="s">
        <v>126</v>
      </c>
      <c r="C49" s="2"/>
    </row>
    <row r="50">
      <c r="A50" s="2"/>
      <c r="B50" s="133" t="s">
        <v>189</v>
      </c>
      <c r="C50" s="2"/>
    </row>
    <row r="51">
      <c r="A51" s="2"/>
      <c r="B51" s="124" t="s">
        <v>190</v>
      </c>
      <c r="C51" s="2"/>
    </row>
    <row r="52">
      <c r="A52" s="2"/>
      <c r="B52" s="124" t="s">
        <v>191</v>
      </c>
      <c r="C52" s="2"/>
    </row>
    <row r="53">
      <c r="A53" s="2"/>
      <c r="B53" s="124" t="s">
        <v>192</v>
      </c>
      <c r="C53" s="2"/>
    </row>
    <row r="54">
      <c r="A54" s="2"/>
      <c r="B54" s="124" t="s">
        <v>187</v>
      </c>
      <c r="C54" s="2"/>
    </row>
    <row r="55">
      <c r="A55" s="2"/>
      <c r="B55" s="128" t="s">
        <v>126</v>
      </c>
      <c r="C55" s="2"/>
    </row>
    <row r="56">
      <c r="A56" s="2"/>
      <c r="B56" s="126" t="s">
        <v>193</v>
      </c>
      <c r="C56" s="2"/>
    </row>
    <row r="57">
      <c r="A57" s="2"/>
      <c r="B57" s="124" t="s">
        <v>126</v>
      </c>
      <c r="C57" s="2"/>
    </row>
    <row r="58">
      <c r="A58" s="2"/>
      <c r="B58" s="133" t="s">
        <v>194</v>
      </c>
      <c r="C58" s="2"/>
    </row>
    <row r="59">
      <c r="A59" s="2"/>
      <c r="B59" s="124" t="s">
        <v>196</v>
      </c>
      <c r="C59" s="2"/>
    </row>
    <row r="60">
      <c r="A60" s="2"/>
      <c r="B60" s="124" t="s">
        <v>198</v>
      </c>
      <c r="C60" s="2"/>
    </row>
    <row r="61">
      <c r="A61" s="2"/>
      <c r="B61" s="124" t="s">
        <v>202</v>
      </c>
      <c r="C61" s="2"/>
    </row>
    <row r="62">
      <c r="A62" s="2"/>
      <c r="B62" s="124" t="s">
        <v>204</v>
      </c>
      <c r="C62" s="2"/>
    </row>
    <row r="63">
      <c r="A63" s="2"/>
      <c r="B63" s="124" t="s">
        <v>206</v>
      </c>
      <c r="C63" s="2"/>
    </row>
    <row r="64">
      <c r="A64" s="2"/>
      <c r="B64" s="124" t="s">
        <v>126</v>
      </c>
      <c r="C64" s="2"/>
    </row>
    <row r="65">
      <c r="A65" s="2"/>
      <c r="B65" s="133" t="s">
        <v>209</v>
      </c>
      <c r="C65" s="2"/>
    </row>
    <row r="66">
      <c r="A66" s="2"/>
      <c r="B66" s="124" t="s">
        <v>211</v>
      </c>
      <c r="C66" s="2"/>
    </row>
    <row r="67">
      <c r="A67" s="2"/>
      <c r="B67" s="124" t="s">
        <v>213</v>
      </c>
      <c r="C67" s="2"/>
    </row>
    <row r="68">
      <c r="A68" s="2"/>
      <c r="B68" s="124" t="s">
        <v>214</v>
      </c>
      <c r="C68" s="2"/>
    </row>
    <row r="69">
      <c r="A69" s="2"/>
      <c r="B69" s="124" t="s">
        <v>215</v>
      </c>
      <c r="C69" s="2"/>
    </row>
    <row r="70">
      <c r="A70" s="2"/>
      <c r="B70" s="128" t="s">
        <v>126</v>
      </c>
      <c r="C70" s="2"/>
    </row>
    <row r="71">
      <c r="A71" s="2"/>
      <c r="B71" s="126" t="s">
        <v>216</v>
      </c>
      <c r="C71" s="2"/>
    </row>
    <row r="72">
      <c r="A72" s="2"/>
      <c r="B72" s="124" t="s">
        <v>217</v>
      </c>
      <c r="C72" s="2"/>
    </row>
    <row r="73">
      <c r="A73" s="2"/>
      <c r="B73" s="124" t="s">
        <v>218</v>
      </c>
      <c r="C73" s="2"/>
    </row>
    <row r="74">
      <c r="A74" s="2"/>
      <c r="B74" s="171"/>
      <c r="C74" s="2"/>
    </row>
    <row r="75">
      <c r="A75" s="2"/>
      <c r="B75" s="181" t="s">
        <v>220</v>
      </c>
      <c r="C75" s="2"/>
    </row>
    <row r="76">
      <c r="A76" s="2"/>
      <c r="B76" s="2"/>
      <c r="C76" s="2"/>
    </row>
    <row r="77">
      <c r="A77" s="2"/>
      <c r="B77" s="2"/>
      <c r="C77" s="2"/>
    </row>
    <row r="78">
      <c r="A78" s="2"/>
      <c r="B78" s="2"/>
      <c r="C78" s="2"/>
    </row>
    <row r="79">
      <c r="A79" s="2"/>
      <c r="B79" s="2"/>
      <c r="C79" s="2"/>
    </row>
  </sheetData>
  <mergeCells count="1">
    <mergeCell ref="B1:B6"/>
  </mergeCells>
  <hyperlinks>
    <hyperlink r:id="rId1" location="slide=id.g2edd551b383_0_0" ref="B75"/>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0"/>
    <col customWidth="1" min="2" max="2" width="23.38"/>
    <col customWidth="1" min="3" max="3" width="31.13"/>
    <col customWidth="1" min="4" max="4" width="43.88"/>
  </cols>
  <sheetData>
    <row r="1">
      <c r="A1" s="1"/>
      <c r="B1" s="8" t="s">
        <v>2</v>
      </c>
      <c r="C1" s="10"/>
      <c r="D1" s="11"/>
    </row>
    <row r="2">
      <c r="A2" s="12"/>
      <c r="B2" s="13" t="s">
        <v>5</v>
      </c>
      <c r="C2" s="14" t="s">
        <v>6</v>
      </c>
      <c r="D2" s="15" t="s">
        <v>8</v>
      </c>
    </row>
    <row r="3">
      <c r="A3" s="16"/>
      <c r="B3" s="23" t="s">
        <v>9</v>
      </c>
      <c r="C3" s="25" t="s">
        <v>13</v>
      </c>
      <c r="D3" s="27" t="s">
        <v>16</v>
      </c>
    </row>
    <row r="5">
      <c r="A5" s="1"/>
      <c r="B5" s="8" t="s">
        <v>20</v>
      </c>
      <c r="C5" s="10"/>
      <c r="D5" s="11"/>
    </row>
    <row r="6">
      <c r="A6" s="12"/>
      <c r="B6" s="13" t="s">
        <v>5</v>
      </c>
      <c r="C6" s="14" t="s">
        <v>6</v>
      </c>
      <c r="D6" s="15" t="s">
        <v>8</v>
      </c>
    </row>
    <row r="7">
      <c r="A7" s="16"/>
      <c r="B7" s="34" t="s">
        <v>22</v>
      </c>
      <c r="C7" s="36" t="s">
        <v>23</v>
      </c>
      <c r="D7" s="38" t="s">
        <v>24</v>
      </c>
    </row>
    <row r="8">
      <c r="A8" s="16"/>
      <c r="B8" s="23" t="s">
        <v>26</v>
      </c>
      <c r="C8" s="41" t="s">
        <v>29</v>
      </c>
      <c r="D8" s="27" t="s">
        <v>31</v>
      </c>
    </row>
    <row r="10">
      <c r="B10" s="57" t="s">
        <v>32</v>
      </c>
      <c r="C10" s="60"/>
      <c r="D10" s="62"/>
    </row>
    <row r="12">
      <c r="A12" s="1"/>
      <c r="B12" s="8" t="s">
        <v>45</v>
      </c>
      <c r="C12" s="10"/>
      <c r="D12" s="11"/>
    </row>
    <row r="13">
      <c r="A13" s="12"/>
      <c r="B13" s="71" t="s">
        <v>10</v>
      </c>
      <c r="C13" s="74" t="s">
        <v>5</v>
      </c>
      <c r="D13" s="74" t="s">
        <v>6</v>
      </c>
      <c r="E13" s="22"/>
    </row>
    <row r="14">
      <c r="A14" s="12"/>
      <c r="B14" s="80" t="s">
        <v>28</v>
      </c>
      <c r="C14" s="85" t="s">
        <v>30</v>
      </c>
      <c r="D14" s="87" t="s">
        <v>60</v>
      </c>
    </row>
    <row r="15">
      <c r="A15" s="12"/>
      <c r="B15" s="90"/>
      <c r="C15" s="93" t="s">
        <v>42</v>
      </c>
      <c r="D15" s="95" t="s">
        <v>70</v>
      </c>
    </row>
    <row r="16">
      <c r="A16" s="12"/>
      <c r="B16" s="97" t="s">
        <v>72</v>
      </c>
      <c r="C16" s="101" t="s">
        <v>74</v>
      </c>
      <c r="D16" s="103" t="s">
        <v>79</v>
      </c>
    </row>
    <row r="17">
      <c r="A17" s="12"/>
      <c r="B17" s="90"/>
      <c r="C17" s="93" t="s">
        <v>81</v>
      </c>
      <c r="D17" s="41" t="s">
        <v>84</v>
      </c>
    </row>
    <row r="18">
      <c r="A18" s="12"/>
      <c r="B18" s="109" t="s">
        <v>85</v>
      </c>
      <c r="C18" s="101" t="s">
        <v>90</v>
      </c>
      <c r="D18" s="87" t="s">
        <v>93</v>
      </c>
    </row>
    <row r="19">
      <c r="A19" s="12"/>
      <c r="B19" s="90"/>
      <c r="C19" s="93" t="s">
        <v>97</v>
      </c>
      <c r="D19" s="41" t="s">
        <v>99</v>
      </c>
    </row>
    <row r="20">
      <c r="A20" s="12"/>
      <c r="B20" s="114" t="s">
        <v>104</v>
      </c>
      <c r="C20" s="101" t="s">
        <v>107</v>
      </c>
      <c r="D20" s="87" t="s">
        <v>113</v>
      </c>
    </row>
    <row r="21">
      <c r="A21" s="12"/>
      <c r="B21" s="90"/>
      <c r="C21" s="93" t="s">
        <v>117</v>
      </c>
      <c r="D21" s="41" t="s">
        <v>119</v>
      </c>
    </row>
    <row r="22">
      <c r="A22" s="12"/>
      <c r="B22" s="121" t="s">
        <v>121</v>
      </c>
      <c r="C22" s="123" t="s">
        <v>125</v>
      </c>
      <c r="D22" s="127" t="s">
        <v>127</v>
      </c>
    </row>
    <row r="23">
      <c r="A23" s="12"/>
      <c r="B23" s="90"/>
      <c r="C23" s="129" t="s">
        <v>131</v>
      </c>
      <c r="D23" s="41" t="s">
        <v>135</v>
      </c>
    </row>
    <row r="25">
      <c r="A25" s="1"/>
      <c r="B25" s="8" t="s">
        <v>138</v>
      </c>
      <c r="C25" s="10"/>
      <c r="D25" s="11"/>
    </row>
    <row r="26">
      <c r="A26" s="12"/>
      <c r="B26" s="71" t="s">
        <v>10</v>
      </c>
      <c r="C26" s="74" t="s">
        <v>5</v>
      </c>
      <c r="D26" s="74" t="s">
        <v>6</v>
      </c>
    </row>
    <row r="27">
      <c r="A27" s="12"/>
      <c r="B27" s="134" t="s">
        <v>25</v>
      </c>
      <c r="C27" s="101" t="s">
        <v>145</v>
      </c>
      <c r="D27" s="136" t="s">
        <v>150</v>
      </c>
    </row>
    <row r="28">
      <c r="A28" s="12"/>
      <c r="B28" s="90"/>
      <c r="C28" s="129" t="s">
        <v>41</v>
      </c>
      <c r="D28" s="41" t="s">
        <v>158</v>
      </c>
    </row>
    <row r="29">
      <c r="A29" s="12"/>
      <c r="B29" s="137" t="s">
        <v>49</v>
      </c>
      <c r="C29" s="138" t="s">
        <v>159</v>
      </c>
      <c r="D29" s="140" t="s">
        <v>164</v>
      </c>
    </row>
    <row r="30">
      <c r="A30" s="12"/>
      <c r="B30" s="142" t="s">
        <v>61</v>
      </c>
      <c r="C30" s="85" t="s">
        <v>170</v>
      </c>
      <c r="D30" s="103" t="s">
        <v>173</v>
      </c>
    </row>
    <row r="31">
      <c r="A31" s="12"/>
      <c r="B31" s="143"/>
      <c r="C31" s="146" t="s">
        <v>175</v>
      </c>
      <c r="D31" s="148" t="s">
        <v>178</v>
      </c>
    </row>
    <row r="32">
      <c r="A32" s="12"/>
      <c r="B32" s="90"/>
      <c r="C32" s="93" t="s">
        <v>88</v>
      </c>
      <c r="D32" s="25" t="s">
        <v>183</v>
      </c>
    </row>
    <row r="33">
      <c r="A33" s="12"/>
      <c r="B33" s="111" t="s">
        <v>184</v>
      </c>
      <c r="C33" s="138" t="s">
        <v>186</v>
      </c>
      <c r="D33" s="152" t="s">
        <v>188</v>
      </c>
    </row>
    <row r="34">
      <c r="A34" s="153"/>
      <c r="B34" s="153"/>
      <c r="C34" s="22"/>
    </row>
  </sheetData>
  <mergeCells count="12">
    <mergeCell ref="B20:B21"/>
    <mergeCell ref="B22:B23"/>
    <mergeCell ref="B25:D25"/>
    <mergeCell ref="B27:B28"/>
    <mergeCell ref="B30:B32"/>
    <mergeCell ref="B1:D1"/>
    <mergeCell ref="B5:D5"/>
    <mergeCell ref="B10:D10"/>
    <mergeCell ref="B12:D12"/>
    <mergeCell ref="B14:B15"/>
    <mergeCell ref="B16:B17"/>
    <mergeCell ref="B18:B19"/>
  </mergeCells>
  <conditionalFormatting sqref="A27:B32">
    <cfRule type="containsText" dxfId="0" priority="1" operator="containsText" text="Climate">
      <formula>NOT(ISERROR(SEARCH(("Climate"),(A27))))</formula>
    </cfRule>
  </conditionalFormatting>
  <conditionalFormatting sqref="A27:B32">
    <cfRule type="containsText" dxfId="1" priority="2" operator="containsText" text="Health">
      <formula>NOT(ISERROR(SEARCH(("Health"),(A27))))</formula>
    </cfRule>
  </conditionalFormatting>
  <conditionalFormatting sqref="A27:B32">
    <cfRule type="containsText" dxfId="2" priority="3" operator="containsText" text="Market">
      <formula>NOT(ISERROR(SEARCH(("Market"),(A27))))</formula>
    </cfRule>
  </conditionalFormatting>
  <hyperlinks>
    <hyperlink display="Main Sheet" location="'Main Sheet'!A1" ref="B3"/>
    <hyperlink display="Readiness" location="'Scoring - Readiness'!A1" ref="B7"/>
    <hyperlink display="Impact" location="'Scoring - Impact'!A1" ref="B8"/>
    <hyperlink r:id="rId1" location="slide=id.g2edd551b383_0_0" ref="B10"/>
    <hyperlink display="EV National Targets" location="'EV National Targets'!A1" ref="C14"/>
    <hyperlink display="EV Incentives" location="'EV Incentives'!A1" ref="C15"/>
    <hyperlink display="Additional Capacity for 30% EVs" location="'Additional Generation For 30% E'!A1" ref="C16"/>
    <hyperlink display="Reliability" location="'Grid Reliability'!A1" ref="C17"/>
    <hyperlink display="Current rate of motorization " location="'Current Rate of Motorization'!A1" ref="C18"/>
    <hyperlink display="EV Charging infrastructure" location="'EV Charging Infrastructure'!A1" ref="C19"/>
    <hyperlink display="Electricity Regulatory Index" location="'Electricity Regulatory Index'!A1" ref="C20"/>
    <hyperlink display="Utility Financial Solvency" location="' Utility Cost Recovery'!A1" ref="C21"/>
    <hyperlink display="Relative Affordability of Electric Charging" location="'Relative Affordability'!A1" ref="C22"/>
    <hyperlink display="Access to Finance Indicator" location="'Access to Finance'!A1" ref="C23"/>
    <hyperlink display="% Electricity Generated from Clean Energy / Share of Clean Electricity Generation" location="'Electricity Generated from Clea'!A1" ref="C27"/>
    <hyperlink display="% CO2 from Transportation" location="'CO2 from Transportation'!A1" ref="C28"/>
    <hyperlink display="Urban Air Quality" location="'Urban Air Quality'!A1" ref="C29"/>
    <hyperlink display="Fossil Fuel Import Dependence" location="'Fossil Fuel Import Dependence'!A1" ref="C30"/>
    <hyperlink display="Fossil Fuel Subsidy Burden" location="'Fossil Fuel Subsidy Burden'!A1" ref="C31"/>
    <hyperlink display="Utility Revenue Potential" location="'Utility Revenue Potential'!A1" ref="C32"/>
    <hyperlink display="Projected rate of motorization&#10;2050" location="'Projected Rate of Motorization '!A1" ref="C33"/>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6.13"/>
    <col customWidth="1" min="2" max="2" width="19.38"/>
    <col customWidth="1" min="3" max="3" width="21.5"/>
    <col customWidth="1" min="4" max="4" width="14.63"/>
    <col customWidth="1" min="9" max="9" width="68.75"/>
  </cols>
  <sheetData>
    <row r="1">
      <c r="A1" s="1"/>
      <c r="B1" s="3" t="s">
        <v>0</v>
      </c>
      <c r="C1" s="5"/>
      <c r="D1" s="5"/>
      <c r="E1" s="5"/>
      <c r="F1" s="5"/>
      <c r="G1" s="5"/>
      <c r="H1" s="5"/>
      <c r="I1" s="7"/>
    </row>
    <row r="2">
      <c r="A2" s="1"/>
      <c r="B2" s="17" t="s">
        <v>3</v>
      </c>
      <c r="I2" s="18"/>
    </row>
    <row r="3">
      <c r="A3" s="12"/>
      <c r="B3" s="19" t="s">
        <v>10</v>
      </c>
      <c r="C3" s="20" t="s">
        <v>11</v>
      </c>
      <c r="D3" s="21" t="s">
        <v>12</v>
      </c>
      <c r="E3" s="26" t="s">
        <v>15</v>
      </c>
      <c r="F3" s="28" t="s">
        <v>18</v>
      </c>
      <c r="G3" s="29" t="s">
        <v>21</v>
      </c>
      <c r="I3" s="18"/>
    </row>
    <row r="4">
      <c r="A4" s="12"/>
      <c r="B4" s="30"/>
      <c r="C4" s="31"/>
      <c r="D4" s="32">
        <v>45294.0</v>
      </c>
      <c r="E4" s="33">
        <v>45325.0</v>
      </c>
      <c r="F4" s="35">
        <v>1.0</v>
      </c>
      <c r="G4" s="31"/>
      <c r="I4" s="18"/>
    </row>
    <row r="5">
      <c r="A5" s="12"/>
      <c r="B5" s="40" t="s">
        <v>28</v>
      </c>
      <c r="C5" s="43" t="s">
        <v>30</v>
      </c>
      <c r="D5" s="45" t="s">
        <v>34</v>
      </c>
      <c r="E5" s="47" t="s">
        <v>36</v>
      </c>
      <c r="F5" s="49" t="s">
        <v>38</v>
      </c>
      <c r="G5" s="51" t="s">
        <v>40</v>
      </c>
      <c r="H5" s="52"/>
      <c r="I5" s="54"/>
    </row>
    <row r="6">
      <c r="A6" s="12"/>
      <c r="B6" s="53"/>
      <c r="C6" s="56" t="s">
        <v>42</v>
      </c>
      <c r="D6" s="58" t="s">
        <v>34</v>
      </c>
      <c r="E6" s="61" t="s">
        <v>36</v>
      </c>
      <c r="F6" s="64" t="s">
        <v>38</v>
      </c>
      <c r="G6" s="66" t="s">
        <v>40</v>
      </c>
      <c r="H6" s="67"/>
      <c r="I6" s="68"/>
    </row>
    <row r="7">
      <c r="A7" s="12"/>
      <c r="B7" s="73" t="s">
        <v>48</v>
      </c>
      <c r="C7" s="76" t="s">
        <v>50</v>
      </c>
      <c r="D7" s="77" t="s">
        <v>52</v>
      </c>
      <c r="E7" s="79" t="s">
        <v>53</v>
      </c>
      <c r="F7" s="82" t="s">
        <v>55</v>
      </c>
      <c r="G7" s="89" t="s">
        <v>57</v>
      </c>
      <c r="H7" s="52"/>
      <c r="I7" s="54"/>
    </row>
    <row r="8">
      <c r="A8" s="12"/>
      <c r="B8" s="53"/>
      <c r="C8" s="56" t="s">
        <v>63</v>
      </c>
      <c r="D8" s="91" t="s">
        <v>64</v>
      </c>
      <c r="E8" s="94" t="s">
        <v>65</v>
      </c>
      <c r="F8" s="98" t="s">
        <v>71</v>
      </c>
      <c r="G8" s="86" t="s">
        <v>75</v>
      </c>
      <c r="H8" s="67"/>
      <c r="I8" s="68"/>
    </row>
    <row r="9">
      <c r="A9" s="12"/>
      <c r="B9" s="104" t="s">
        <v>78</v>
      </c>
      <c r="C9" s="76" t="s">
        <v>82</v>
      </c>
      <c r="D9" s="77" t="s">
        <v>86</v>
      </c>
      <c r="E9" s="79" t="s">
        <v>87</v>
      </c>
      <c r="F9" s="82" t="s">
        <v>89</v>
      </c>
      <c r="G9" s="110" t="s">
        <v>91</v>
      </c>
      <c r="H9" s="52"/>
      <c r="I9" s="54"/>
    </row>
    <row r="10">
      <c r="A10" s="12"/>
      <c r="B10" s="53"/>
      <c r="C10" s="56" t="s">
        <v>98</v>
      </c>
      <c r="D10" s="91" t="s">
        <v>100</v>
      </c>
      <c r="E10" s="94" t="s">
        <v>101</v>
      </c>
      <c r="F10" s="98" t="s">
        <v>103</v>
      </c>
      <c r="G10" s="112" t="s">
        <v>105</v>
      </c>
      <c r="H10" s="67"/>
      <c r="I10" s="68"/>
    </row>
    <row r="11" ht="28.5" customHeight="1">
      <c r="A11" s="12"/>
      <c r="B11" s="115" t="s">
        <v>104</v>
      </c>
      <c r="C11" s="76" t="s">
        <v>108</v>
      </c>
      <c r="D11" s="77" t="s">
        <v>110</v>
      </c>
      <c r="E11" s="79" t="s">
        <v>112</v>
      </c>
      <c r="F11" s="82" t="s">
        <v>114</v>
      </c>
      <c r="G11" s="110" t="s">
        <v>115</v>
      </c>
      <c r="H11" s="52"/>
      <c r="I11" s="54"/>
    </row>
    <row r="12">
      <c r="A12" s="12"/>
      <c r="B12" s="53"/>
      <c r="C12" s="56" t="s">
        <v>118</v>
      </c>
      <c r="D12" s="91" t="s">
        <v>120</v>
      </c>
      <c r="E12" s="94" t="s">
        <v>122</v>
      </c>
      <c r="F12" s="98" t="s">
        <v>123</v>
      </c>
      <c r="G12" s="122" t="s">
        <v>124</v>
      </c>
      <c r="H12" s="67"/>
      <c r="I12" s="68"/>
    </row>
    <row r="13">
      <c r="A13" s="12"/>
      <c r="B13" s="125" t="s">
        <v>121</v>
      </c>
      <c r="C13" s="43" t="s">
        <v>129</v>
      </c>
      <c r="D13" s="130" t="s">
        <v>134</v>
      </c>
      <c r="E13" s="131" t="s">
        <v>140</v>
      </c>
      <c r="F13" s="132" t="s">
        <v>141</v>
      </c>
      <c r="G13" s="135" t="s">
        <v>144</v>
      </c>
      <c r="H13" s="52"/>
      <c r="I13" s="54"/>
    </row>
    <row r="14" ht="78.75" customHeight="1">
      <c r="A14" s="12"/>
      <c r="B14" s="53"/>
      <c r="C14" s="78" t="s">
        <v>149</v>
      </c>
      <c r="D14" s="91" t="s">
        <v>152</v>
      </c>
      <c r="E14" s="94" t="s">
        <v>153</v>
      </c>
      <c r="F14" s="98" t="s">
        <v>155</v>
      </c>
      <c r="G14" s="86" t="s">
        <v>156</v>
      </c>
      <c r="H14" s="67"/>
      <c r="I14" s="68"/>
    </row>
  </sheetData>
  <mergeCells count="20">
    <mergeCell ref="B5:B6"/>
    <mergeCell ref="B7:B8"/>
    <mergeCell ref="B9:B10"/>
    <mergeCell ref="B11:B12"/>
    <mergeCell ref="B13:B14"/>
    <mergeCell ref="G7:I7"/>
    <mergeCell ref="G8:I8"/>
    <mergeCell ref="G9:I9"/>
    <mergeCell ref="G10:I10"/>
    <mergeCell ref="G11:I11"/>
    <mergeCell ref="G12:I12"/>
    <mergeCell ref="G13:I13"/>
    <mergeCell ref="G14:I14"/>
    <mergeCell ref="B1:I1"/>
    <mergeCell ref="B2:I2"/>
    <mergeCell ref="B3:B4"/>
    <mergeCell ref="C3:C4"/>
    <mergeCell ref="G3:I4"/>
    <mergeCell ref="G5:I5"/>
    <mergeCell ref="G6:I6"/>
  </mergeCells>
  <hyperlinks>
    <hyperlink r:id="rId1" location="slide=id.g2edd551b383_0_0" ref="B2"/>
    <hyperlink display="EV National Targets" location="'EV National Targets'!A1" ref="C5"/>
    <hyperlink display="EV Incentives" location="'EV Incentives'!A1" ref="C6"/>
    <hyperlink display="Additional Generation for 30% EVs" location="'Additional Generation For 30% E'!A1" ref="C7"/>
    <hyperlink r:id="rId2" ref="G7"/>
    <hyperlink display="Grid Reliability" location="'Grid Reliability'!A1" ref="C8"/>
    <hyperlink display="Current Rate of Motorization " location="'Current Rate of Motorization'!A1" ref="C9"/>
    <hyperlink display="EV Charging Infrastructure" location="'EV Charging Infrastructure'!A1" ref="C10"/>
    <hyperlink display="Electricity Regulatory Index (as proxy for utility quality)" location="'Electricity Regulatory Index'!A1" ref="C11"/>
    <hyperlink display="Utility Cost Recovery" location="' Utility Cost Recovery'!A1" ref="C12"/>
    <hyperlink display="Relative Affordability" location="'Relative Affordability'!A1" ref="C13"/>
    <hyperlink display="Access to Finance Indicator - Borrowed any money &#10;from a formal financial institution &#10;or using a mobile money account (% age 15+)&#10;" location="'Access to Finance'!A1" ref="C1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6.63"/>
    <col customWidth="1" min="2" max="2" width="15.0"/>
    <col customWidth="1" min="3" max="3" width="22.38"/>
    <col customWidth="1" min="9" max="9" width="68.75"/>
  </cols>
  <sheetData>
    <row r="1">
      <c r="A1" s="6"/>
      <c r="B1" s="3" t="s">
        <v>4</v>
      </c>
      <c r="C1" s="5"/>
      <c r="D1" s="5"/>
      <c r="E1" s="5"/>
      <c r="F1" s="5"/>
      <c r="G1" s="5"/>
      <c r="H1" s="5"/>
      <c r="I1" s="7"/>
    </row>
    <row r="2">
      <c r="A2" s="6"/>
      <c r="B2" s="17" t="s">
        <v>7</v>
      </c>
    </row>
    <row r="3">
      <c r="A3" s="22"/>
      <c r="B3" s="19" t="s">
        <v>10</v>
      </c>
      <c r="C3" s="24" t="s">
        <v>11</v>
      </c>
      <c r="D3" s="21" t="s">
        <v>14</v>
      </c>
      <c r="E3" s="26" t="s">
        <v>17</v>
      </c>
      <c r="F3" s="28" t="s">
        <v>19</v>
      </c>
      <c r="G3" s="29" t="s">
        <v>21</v>
      </c>
      <c r="I3" s="18"/>
    </row>
    <row r="4">
      <c r="A4" s="22"/>
      <c r="B4" s="30"/>
      <c r="C4" s="31"/>
      <c r="D4" s="32">
        <v>45294.0</v>
      </c>
      <c r="E4" s="33">
        <v>45325.0</v>
      </c>
      <c r="F4" s="35">
        <v>1.0</v>
      </c>
      <c r="G4" s="31"/>
      <c r="I4" s="18"/>
    </row>
    <row r="5">
      <c r="A5" s="37"/>
      <c r="B5" s="39" t="s">
        <v>25</v>
      </c>
      <c r="C5" s="42" t="s">
        <v>27</v>
      </c>
      <c r="D5" s="44" t="s">
        <v>33</v>
      </c>
      <c r="E5" s="46" t="s">
        <v>35</v>
      </c>
      <c r="F5" s="48" t="s">
        <v>37</v>
      </c>
      <c r="G5" s="50" t="s">
        <v>39</v>
      </c>
      <c r="I5" s="18"/>
    </row>
    <row r="6">
      <c r="A6" s="37"/>
      <c r="B6" s="53"/>
      <c r="C6" s="55" t="s">
        <v>41</v>
      </c>
      <c r="D6" s="59" t="s">
        <v>43</v>
      </c>
      <c r="E6" s="63" t="s">
        <v>44</v>
      </c>
      <c r="F6" s="65" t="s">
        <v>46</v>
      </c>
      <c r="G6" s="69" t="s">
        <v>47</v>
      </c>
      <c r="H6" s="70"/>
      <c r="I6" s="72"/>
    </row>
    <row r="7">
      <c r="A7" s="22"/>
      <c r="B7" s="75" t="s">
        <v>49</v>
      </c>
      <c r="C7" s="78" t="s">
        <v>51</v>
      </c>
      <c r="D7" s="81" t="s">
        <v>54</v>
      </c>
      <c r="E7" s="83" t="s">
        <v>56</v>
      </c>
      <c r="F7" s="84" t="s">
        <v>58</v>
      </c>
      <c r="G7" s="86" t="s">
        <v>59</v>
      </c>
      <c r="H7" s="67"/>
      <c r="I7" s="68"/>
    </row>
    <row r="8">
      <c r="A8" s="22"/>
      <c r="B8" s="88" t="s">
        <v>61</v>
      </c>
      <c r="C8" s="92" t="s">
        <v>62</v>
      </c>
      <c r="D8" s="44" t="s">
        <v>66</v>
      </c>
      <c r="E8" s="46" t="s">
        <v>67</v>
      </c>
      <c r="F8" s="48" t="s">
        <v>68</v>
      </c>
      <c r="G8" s="96" t="s">
        <v>69</v>
      </c>
      <c r="I8" s="18"/>
    </row>
    <row r="9">
      <c r="A9" s="22"/>
      <c r="B9" s="30"/>
      <c r="C9" s="99" t="s">
        <v>73</v>
      </c>
      <c r="D9" s="100" t="s">
        <v>76</v>
      </c>
      <c r="E9" s="102" t="s">
        <v>77</v>
      </c>
      <c r="F9" s="105" t="s">
        <v>80</v>
      </c>
      <c r="G9" s="106" t="s">
        <v>83</v>
      </c>
      <c r="H9" s="107"/>
      <c r="I9" s="108"/>
    </row>
    <row r="10">
      <c r="A10" s="22"/>
      <c r="B10" s="53"/>
      <c r="C10" s="42" t="s">
        <v>88</v>
      </c>
      <c r="D10" s="44" t="s">
        <v>92</v>
      </c>
      <c r="E10" s="46" t="s">
        <v>94</v>
      </c>
      <c r="F10" s="48" t="s">
        <v>95</v>
      </c>
      <c r="G10" s="96" t="s">
        <v>96</v>
      </c>
      <c r="I10" s="18"/>
    </row>
    <row r="11">
      <c r="A11" s="22"/>
      <c r="B11" s="111" t="s">
        <v>85</v>
      </c>
      <c r="C11" s="113" t="s">
        <v>102</v>
      </c>
      <c r="D11" s="116" t="s">
        <v>106</v>
      </c>
      <c r="E11" s="117" t="s">
        <v>109</v>
      </c>
      <c r="F11" s="118" t="s">
        <v>111</v>
      </c>
      <c r="G11" s="119" t="s">
        <v>116</v>
      </c>
      <c r="H11" s="60"/>
      <c r="I11" s="62"/>
    </row>
    <row r="12">
      <c r="C12" s="120"/>
      <c r="G12" s="120"/>
    </row>
    <row r="13">
      <c r="C13" s="120"/>
      <c r="G13" s="120"/>
    </row>
    <row r="14">
      <c r="C14" s="120"/>
      <c r="G14" s="120"/>
    </row>
  </sheetData>
  <mergeCells count="14">
    <mergeCell ref="G6:I6"/>
    <mergeCell ref="G7:I7"/>
    <mergeCell ref="G5:I5"/>
    <mergeCell ref="G8:I8"/>
    <mergeCell ref="G9:I9"/>
    <mergeCell ref="G10:I10"/>
    <mergeCell ref="G11:I11"/>
    <mergeCell ref="B1:I1"/>
    <mergeCell ref="B2:I2"/>
    <mergeCell ref="B3:B4"/>
    <mergeCell ref="C3:C4"/>
    <mergeCell ref="G3:I4"/>
    <mergeCell ref="B5:B6"/>
    <mergeCell ref="B8:B10"/>
  </mergeCells>
  <hyperlinks>
    <hyperlink r:id="rId1" location="slide=id.g2edd551b383_0_0" ref="B2"/>
    <hyperlink display="% Electricity Generated from Clean Energy" location="'Electricity Generated from Clea'!A1" ref="C5"/>
    <hyperlink display="% CO2 from Transportation" location="'CO2 from Transportation'!A1" ref="C6"/>
    <hyperlink display="Urban Air Quality (AQI)" location="'Urban Air Quality'!A1" ref="C7"/>
    <hyperlink display="Fossil Fuel Import &#10;Dependence" location="'Fossil Fuel Import Dependence'!A1" ref="C8"/>
    <hyperlink display="Subsidy Burden" location="null!A1" ref="C9"/>
    <hyperlink display="Utility Revenue Potential" location="'Utility Revenue Potential'!A1" ref="C10"/>
    <hyperlink display="Projected Rate of Motorization &#10;(2050)" location="'Projected Rate of Motorization '!A1" ref="C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7.25"/>
    <col customWidth="1" min="2" max="4" width="18.88"/>
    <col customWidth="1" min="5" max="5" width="18.0"/>
    <col customWidth="1" min="6" max="6" width="18.88"/>
    <col customWidth="1" min="7" max="7" width="15.13"/>
    <col customWidth="1" min="8" max="8" width="18.88"/>
    <col customWidth="1" min="9" max="9" width="18.63"/>
    <col customWidth="1" min="10" max="14" width="18.88"/>
    <col customWidth="1" min="15" max="30" width="18.75"/>
  </cols>
  <sheetData>
    <row r="1" ht="18.0" customHeight="1">
      <c r="A1" s="139" t="s">
        <v>161</v>
      </c>
      <c r="B1" s="141" t="s">
        <v>166</v>
      </c>
      <c r="L1" s="144" t="s">
        <v>174</v>
      </c>
      <c r="R1" s="18"/>
      <c r="S1" s="147"/>
      <c r="T1" s="147"/>
      <c r="U1" s="147"/>
      <c r="V1" s="147"/>
      <c r="W1" s="147"/>
      <c r="X1" s="147"/>
      <c r="Y1" s="147"/>
      <c r="Z1" s="147"/>
      <c r="AA1" s="147"/>
      <c r="AB1" s="147"/>
      <c r="AC1" s="147"/>
      <c r="AD1" s="147"/>
    </row>
    <row r="2">
      <c r="B2" s="149" t="s">
        <v>28</v>
      </c>
      <c r="C2" s="150"/>
      <c r="D2" s="151" t="s">
        <v>48</v>
      </c>
      <c r="E2" s="150"/>
      <c r="F2" s="154" t="s">
        <v>78</v>
      </c>
      <c r="G2" s="150"/>
      <c r="H2" s="155" t="s">
        <v>104</v>
      </c>
      <c r="I2" s="150"/>
      <c r="J2" s="157" t="s">
        <v>121</v>
      </c>
      <c r="K2" s="150"/>
      <c r="L2" s="159" t="s">
        <v>25</v>
      </c>
      <c r="M2" s="160"/>
      <c r="N2" s="164" t="s">
        <v>49</v>
      </c>
      <c r="O2" s="166" t="s">
        <v>61</v>
      </c>
      <c r="P2" s="150"/>
      <c r="Q2" s="160"/>
      <c r="R2" s="169" t="s">
        <v>85</v>
      </c>
      <c r="S2" s="170"/>
      <c r="T2" s="170"/>
      <c r="U2" s="170"/>
      <c r="V2" s="170"/>
      <c r="W2" s="170"/>
      <c r="X2" s="170"/>
      <c r="Y2" s="170"/>
      <c r="Z2" s="170"/>
      <c r="AA2" s="170"/>
      <c r="AB2" s="170"/>
      <c r="AC2" s="170"/>
      <c r="AD2" s="170"/>
    </row>
    <row r="3">
      <c r="B3" s="172" t="s">
        <v>219</v>
      </c>
      <c r="C3" s="174" t="s">
        <v>221</v>
      </c>
      <c r="D3" s="175" t="s">
        <v>223</v>
      </c>
      <c r="E3" s="175" t="s">
        <v>224</v>
      </c>
      <c r="F3" s="180" t="s">
        <v>227</v>
      </c>
      <c r="G3" s="180" t="s">
        <v>232</v>
      </c>
      <c r="H3" s="183" t="s">
        <v>233</v>
      </c>
      <c r="I3" s="183" t="s">
        <v>235</v>
      </c>
      <c r="J3" s="187" t="s">
        <v>236</v>
      </c>
      <c r="K3" s="190" t="s">
        <v>241</v>
      </c>
      <c r="L3" s="191" t="s">
        <v>246</v>
      </c>
      <c r="M3" s="192" t="s">
        <v>251</v>
      </c>
      <c r="N3" s="196" t="s">
        <v>254</v>
      </c>
      <c r="O3" s="199" t="s">
        <v>258</v>
      </c>
      <c r="P3" s="200" t="s">
        <v>260</v>
      </c>
      <c r="Q3" s="201" t="s">
        <v>261</v>
      </c>
      <c r="R3" s="202" t="s">
        <v>262</v>
      </c>
      <c r="S3" s="204"/>
      <c r="T3" s="204"/>
      <c r="U3" s="204"/>
      <c r="V3" s="204"/>
      <c r="W3" s="204"/>
      <c r="X3" s="204"/>
      <c r="Y3" s="204"/>
      <c r="Z3" s="204"/>
      <c r="AA3" s="204"/>
      <c r="AB3" s="204"/>
      <c r="AC3" s="204"/>
      <c r="AD3" s="204"/>
    </row>
    <row r="4">
      <c r="A4" s="22" t="s">
        <v>207</v>
      </c>
      <c r="B4" s="206" t="str">
        <f>IF(countif('EV National Targets'!A:A,A4)&gt;0, "1", "0")</f>
        <v>1</v>
      </c>
      <c r="C4" s="208" t="str">
        <f>IF(countif('EV Incentives'!A:A,A4)&gt;0, "1", "0")</f>
        <v>0</v>
      </c>
      <c r="D4" s="209">
        <f t="array" ref="D4">'Additional Generation For 30% E'!C2+1</f>
        <v>1.166440822</v>
      </c>
      <c r="E4" s="210">
        <f t="array" ref="E4">'Grid Reliability'!K2</f>
        <v>4.2</v>
      </c>
      <c r="F4" s="213">
        <f t="array" ref="F4">'Current Rate of Motorization'!B3</f>
        <v>30.18376493</v>
      </c>
      <c r="G4" s="215">
        <f t="array" ref="G4">'EV Charging Infrastructure'!B2</f>
        <v>6</v>
      </c>
      <c r="H4" s="217">
        <f t="array" ref="H4">'Electricity Regulatory Index'!C2</f>
        <v>0.644</v>
      </c>
      <c r="I4" s="218" t="str">
        <f t="array" ref="I4">' Utility Cost Recovery'!B2</f>
        <v>Not Found</v>
      </c>
      <c r="J4" s="213">
        <f t="array" ref="J4">'Relative Affordability'!F2</f>
        <v>0.2610021507</v>
      </c>
      <c r="K4" s="224">
        <f t="array" ref="K4">'Access to Finance'!C2</f>
        <v>0.04</v>
      </c>
      <c r="L4" s="232">
        <f t="array" ref="L4">'Electricity Generated from Clea'!F2</f>
        <v>0.01169678181</v>
      </c>
      <c r="M4" s="234">
        <f t="array" ref="M4">'CO2 from Transportation'!E2</f>
        <v>0.3008279368</v>
      </c>
      <c r="N4" s="237">
        <f t="array" ref="N4">'Urban Air Quality'!I2</f>
        <v>193.2309227</v>
      </c>
      <c r="O4" s="234">
        <f t="array" ref="O4">'Fossil Fuel Import Dependence'!G2</f>
        <v>-323.2222222</v>
      </c>
      <c r="P4" s="234">
        <f t="array" ref="P4">'Fossil Fuel Subsidy Burden'!E2</f>
        <v>0.07435956551</v>
      </c>
      <c r="Q4" s="250">
        <f t="array" ref="Q4">'Utility Revenue Potential'!J2</f>
        <v>438745467.3</v>
      </c>
      <c r="R4" s="267">
        <f t="array" ref="R4">'Projected Rate of Motorization '!C2</f>
        <v>167.4023275</v>
      </c>
      <c r="S4" s="268"/>
      <c r="T4" s="268"/>
      <c r="U4" s="268"/>
      <c r="V4" s="268"/>
      <c r="W4" s="268"/>
      <c r="X4" s="268"/>
      <c r="Y4" s="268"/>
      <c r="Z4" s="268"/>
      <c r="AA4" s="268"/>
      <c r="AB4" s="268"/>
      <c r="AC4" s="268"/>
      <c r="AD4" s="268"/>
    </row>
    <row r="5">
      <c r="A5" s="22" t="s">
        <v>240</v>
      </c>
      <c r="B5" s="206" t="str">
        <f>IF(countif('EV National Targets'!A:A,A5)&gt;0, "1", "0")</f>
        <v>0</v>
      </c>
      <c r="C5" s="208" t="str">
        <f>IF(countif('EV Incentives'!A:A,A5)&gt;0, "1", "0")</f>
        <v>1</v>
      </c>
      <c r="D5" s="209">
        <f t="array" ref="D5">'Additional Generation For 30% E'!C3+1</f>
        <v>1.101579137</v>
      </c>
      <c r="E5" s="270">
        <f t="array" ref="E5">'Grid Reliability'!K3</f>
        <v>12.8</v>
      </c>
      <c r="F5" s="213">
        <f t="array" ref="F5">'Current Rate of Motorization'!B3</f>
        <v>30.18376493</v>
      </c>
      <c r="G5" s="215">
        <f t="array" ref="G5">'EV Charging Infrastructure'!B3</f>
        <v>2</v>
      </c>
      <c r="H5" s="217">
        <f t="array" ref="H5">'Electricity Regulatory Index'!C3</f>
        <v>0.608</v>
      </c>
      <c r="I5" s="281">
        <f t="array" ref="I5">' Utility Cost Recovery'!B3</f>
        <v>0.731342249</v>
      </c>
      <c r="J5" s="213">
        <f t="array" ref="J5">'Relative Affordability'!F3</f>
        <v>0.08503237488</v>
      </c>
      <c r="K5" s="284" t="str">
        <f t="array" ref="K5">'Access to Finance'!C3</f>
        <v>Not Found</v>
      </c>
      <c r="L5" s="232">
        <f t="array" ref="L5">'Electricity Generated from Clea'!F3</f>
        <v>0.7132339407</v>
      </c>
      <c r="M5" s="234">
        <f t="array" ref="M5">'CO2 from Transportation'!E3</f>
        <v>0.3719620119</v>
      </c>
      <c r="N5" s="237">
        <f t="array" ref="N5">'Urban Air Quality'!I3</f>
        <v>320.4013377</v>
      </c>
      <c r="O5" s="234">
        <f t="array" ref="O5">'Fossil Fuel Import Dependence'!G3</f>
        <v>0.5176093917</v>
      </c>
      <c r="P5" s="234">
        <f t="array" ref="P5">'Fossil Fuel Subsidy Burden'!E3</f>
        <v>0.03652274589</v>
      </c>
      <c r="Q5" s="250">
        <f t="array" ref="Q5">'Utility Revenue Potential'!J3</f>
        <v>20026599.14</v>
      </c>
      <c r="R5" s="267">
        <f t="array" ref="R5">'Projected Rate of Motorization '!C3</f>
        <v>83.11822243</v>
      </c>
      <c r="S5" s="268"/>
      <c r="T5" s="268"/>
      <c r="U5" s="268"/>
      <c r="V5" s="268"/>
      <c r="W5" s="268"/>
      <c r="X5" s="268"/>
      <c r="Y5" s="268"/>
      <c r="Z5" s="268"/>
      <c r="AA5" s="268"/>
      <c r="AB5" s="268"/>
      <c r="AC5" s="268"/>
      <c r="AD5" s="268"/>
    </row>
    <row r="6">
      <c r="A6" s="22" t="s">
        <v>268</v>
      </c>
      <c r="B6" s="206" t="str">
        <f>IF(countif('EV National Targets'!A:A,A6)&gt;0, "1", "0")</f>
        <v>0</v>
      </c>
      <c r="C6" s="208" t="str">
        <f>IF(countif('EV Incentives'!A:A,A6)&gt;0, "1", "0")</f>
        <v>1</v>
      </c>
      <c r="D6" s="209">
        <f t="array" ref="D6">'Additional Generation For 30% E'!C4+1</f>
        <v>9.997283246</v>
      </c>
      <c r="E6" s="302">
        <f t="array" ref="E6">'Grid Reliability'!F4</f>
        <v>1243.2</v>
      </c>
      <c r="F6" s="213">
        <f t="array" ref="F6">'Current Rate of Motorization'!B4</f>
        <v>20.10730825</v>
      </c>
      <c r="G6" s="303" t="str">
        <f t="array" ref="G6">'EV Charging Infrastructure'!B4</f>
        <v>Not Found</v>
      </c>
      <c r="H6" s="217">
        <f t="array" ref="H6">'Electricity Regulatory Index'!C4</f>
        <v>0.465</v>
      </c>
      <c r="I6" s="281">
        <f t="array" ref="I6">' Utility Cost Recovery'!B4</f>
        <v>0.929579261</v>
      </c>
      <c r="J6" s="213">
        <f t="array" ref="J6">'Relative Affordability'!F4</f>
        <v>0.08283260782</v>
      </c>
      <c r="K6" s="224">
        <f t="array" ref="K6">'Access to Finance'!C4</f>
        <v>0.11</v>
      </c>
      <c r="L6" s="232">
        <f t="array" ref="L6">'Electricity Generated from Clea'!F4</f>
        <v>0.03343048914</v>
      </c>
      <c r="M6" s="234">
        <f t="array" ref="M6">'CO2 from Transportation'!E4</f>
        <v>0.8107181333</v>
      </c>
      <c r="N6" s="237">
        <f t="array" ref="N6">'Urban Air Quality'!I4</f>
        <v>292.9016497</v>
      </c>
      <c r="O6" s="234">
        <f t="array" ref="O6">'Fossil Fuel Import Dependence'!G4</f>
        <v>0.9926632428</v>
      </c>
      <c r="P6" s="234">
        <f t="array" ref="P6">'Fossil Fuel Subsidy Burden'!E4</f>
        <v>0.005748185986</v>
      </c>
      <c r="Q6" s="250">
        <f t="array" ref="Q6">'Utility Revenue Potential'!J4</f>
        <v>78092819.66</v>
      </c>
      <c r="R6" s="267">
        <f t="array" ref="R6">'Projected Rate of Motorization '!C4</f>
        <v>122.4235162</v>
      </c>
      <c r="S6" s="268"/>
      <c r="T6" s="268"/>
      <c r="U6" s="268"/>
      <c r="V6" s="268"/>
      <c r="W6" s="268"/>
      <c r="X6" s="268"/>
      <c r="Y6" s="268"/>
      <c r="Z6" s="268"/>
      <c r="AA6" s="268"/>
      <c r="AB6" s="268"/>
      <c r="AC6" s="268"/>
      <c r="AD6" s="268"/>
    </row>
    <row r="7">
      <c r="A7" s="22" t="s">
        <v>329</v>
      </c>
      <c r="B7" s="206" t="str">
        <f>IF(countif('EV National Targets'!A:A,A7)&gt;0, "1", "0")</f>
        <v>0</v>
      </c>
      <c r="C7" s="208" t="str">
        <f>IF(countif('EV Incentives'!A:A,A7)&gt;0, "1", "0")</f>
        <v>0</v>
      </c>
      <c r="D7" s="209">
        <f t="array" ref="D7">'Additional Generation For 30% E'!C5+1</f>
        <v>1.390464952</v>
      </c>
      <c r="E7" s="302">
        <f t="array" ref="E7">'Grid Reliability'!F5</f>
        <v>152.64</v>
      </c>
      <c r="F7" s="213">
        <f t="array" ref="F7">'Current Rate of Motorization'!B5</f>
        <v>198.1992131</v>
      </c>
      <c r="G7" s="215">
        <f t="array" ref="G7">'EV Charging Infrastructure'!B5</f>
        <v>3</v>
      </c>
      <c r="H7" s="217">
        <f t="array" ref="H7">'Electricity Regulatory Index'!C5</f>
        <v>0.527</v>
      </c>
      <c r="I7" s="281">
        <f t="array" ref="I7">' Utility Cost Recovery'!B5</f>
        <v>0.792663472</v>
      </c>
      <c r="J7" s="213">
        <f t="array" ref="J7">'Relative Affordability'!F5</f>
        <v>0.2687286713</v>
      </c>
      <c r="K7" s="358">
        <f t="array" ref="K7">'Access to Finance'!C5</f>
        <v>0.11</v>
      </c>
      <c r="L7" s="232">
        <f t="array" ref="L7">'Electricity Generated from Clea'!F5</f>
        <v>0.002749332169</v>
      </c>
      <c r="M7" s="234">
        <f t="array" ref="M7">'CO2 from Transportation'!E5</f>
        <v>0.3692059303</v>
      </c>
      <c r="N7" s="237">
        <f t="array" ref="N7">'Urban Air Quality'!I5</f>
        <v>202.3046853</v>
      </c>
      <c r="O7" s="234">
        <f t="array" ref="O7">'Fossil Fuel Import Dependence'!G5</f>
        <v>0.824638559</v>
      </c>
      <c r="P7" s="234">
        <f t="array" ref="P7">'Fossil Fuel Subsidy Burden'!E5</f>
        <v>0</v>
      </c>
      <c r="Q7" s="250">
        <f t="array" ref="Q7">'Utility Revenue Potential'!J5</f>
        <v>95438692.93</v>
      </c>
      <c r="R7" s="267">
        <f t="array" ref="R7">'Projected Rate of Motorization '!C5</f>
        <v>399.4612944</v>
      </c>
      <c r="S7" s="268"/>
      <c r="T7" s="268"/>
      <c r="U7" s="268"/>
      <c r="V7" s="268"/>
      <c r="W7" s="268"/>
      <c r="X7" s="268"/>
      <c r="Y7" s="268"/>
      <c r="Z7" s="268"/>
      <c r="AA7" s="268"/>
      <c r="AB7" s="268"/>
      <c r="AC7" s="268"/>
      <c r="AD7" s="268"/>
    </row>
    <row r="8">
      <c r="A8" s="22" t="s">
        <v>331</v>
      </c>
      <c r="B8" s="206" t="str">
        <f>IF(countif('EV National Targets'!A:A,A8)&gt;0, "1", "0")</f>
        <v>0</v>
      </c>
      <c r="C8" s="208" t="str">
        <f>IF(countif('EV Incentives'!A:A,A8)&gt;0, "1", "0")</f>
        <v>0</v>
      </c>
      <c r="D8" s="209">
        <f t="array" ref="D8">'Additional Generation For 30% E'!C6+1</f>
        <v>1.555001577</v>
      </c>
      <c r="E8" s="302">
        <f t="array" ref="E8">'Grid Reliability'!F6</f>
        <v>388.08</v>
      </c>
      <c r="F8" s="213">
        <f t="array" ref="F8">'Current Rate of Motorization'!B6</f>
        <v>16.81850191</v>
      </c>
      <c r="G8" s="215">
        <f t="array" ref="G8">'EV Charging Infrastructure'!B6</f>
        <v>1</v>
      </c>
      <c r="H8" s="217">
        <f t="array" ref="H8">'Electricity Regulatory Index'!C6</f>
        <v>0.495</v>
      </c>
      <c r="I8" s="281">
        <f t="array" ref="I8">' Utility Cost Recovery'!B6</f>
        <v>1.041419136</v>
      </c>
      <c r="J8" s="213">
        <f t="array" ref="J8">'Relative Affordability'!F6</f>
        <v>0.8266328349</v>
      </c>
      <c r="K8" s="224">
        <f t="array" ref="K8">'Access to Finance'!C6</f>
        <v>0.09</v>
      </c>
      <c r="L8" s="232">
        <f t="array" ref="L8">'Electricity Generated from Clea'!F6</f>
        <v>0.1329926663</v>
      </c>
      <c r="M8" s="234">
        <f t="array" ref="M8">'CO2 from Transportation'!E6</f>
        <v>0.5478396736</v>
      </c>
      <c r="N8" s="237">
        <f t="array" ref="N8">'Urban Air Quality'!I6</f>
        <v>251.6586751</v>
      </c>
      <c r="O8" s="234">
        <f t="array" ref="O8">'Fossil Fuel Import Dependence'!G6</f>
        <v>0.8608470182</v>
      </c>
      <c r="P8" s="234">
        <f t="array" ref="P8">'Fossil Fuel Subsidy Burden'!E6</f>
        <v>0.005313477986</v>
      </c>
      <c r="Q8" s="250">
        <f t="array" ref="Q8">'Utility Revenue Potential'!J6</f>
        <v>438885972.9</v>
      </c>
      <c r="R8" s="267">
        <f t="array" ref="R8">'Projected Rate of Motorization '!C6</f>
        <v>67.57225809</v>
      </c>
      <c r="S8" s="268"/>
      <c r="T8" s="268"/>
      <c r="U8" s="268"/>
      <c r="V8" s="268"/>
      <c r="W8" s="268"/>
      <c r="X8" s="268"/>
      <c r="Y8" s="268"/>
      <c r="Z8" s="268"/>
      <c r="AA8" s="268"/>
      <c r="AB8" s="268"/>
      <c r="AC8" s="268"/>
      <c r="AD8" s="268"/>
    </row>
    <row r="9">
      <c r="A9" s="22" t="s">
        <v>333</v>
      </c>
      <c r="B9" s="206" t="str">
        <f>IF(countif('EV National Targets'!A:A,A9)&gt;0, "1", "0")</f>
        <v>0</v>
      </c>
      <c r="C9" s="208" t="str">
        <f>IF(countif('EV Incentives'!A:A,A9)&gt;0, "1", "0")</f>
        <v>0</v>
      </c>
      <c r="D9" s="209">
        <f t="array" ref="D9">'Additional Generation For 30% E'!C7+1</f>
        <v>1.152476091</v>
      </c>
      <c r="E9" s="302">
        <f t="array" ref="E9">'Grid Reliability'!F7</f>
        <v>956.16</v>
      </c>
      <c r="F9" s="213">
        <f t="array" ref="F9">'Current Rate of Motorization'!B7</f>
        <v>4.000613758</v>
      </c>
      <c r="G9" s="303" t="str">
        <f t="array" ref="G9">'EV Charging Infrastructure'!B7</f>
        <v>Not Found</v>
      </c>
      <c r="H9" s="217">
        <f t="array" ref="H9">'Electricity Regulatory Index'!C7</f>
        <v>0.284</v>
      </c>
      <c r="I9" s="281">
        <f t="array" ref="I9">' Utility Cost Recovery'!B7</f>
        <v>1.135604838</v>
      </c>
      <c r="J9" s="213">
        <f t="array" ref="J9">'Relative Affordability'!F7</f>
        <v>0.2892347968</v>
      </c>
      <c r="K9" s="284" t="str">
        <f t="array" ref="K9">'Access to Finance'!C7</f>
        <v>Not Found</v>
      </c>
      <c r="L9" s="232">
        <f t="array" ref="L9">'Electricity Generated from Clea'!F7</f>
        <v>0.6530543562</v>
      </c>
      <c r="M9" s="234">
        <f t="array" ref="M9">'CO2 from Transportation'!E7</f>
        <v>0.799859254</v>
      </c>
      <c r="N9" s="237">
        <f t="array" ref="N9">'Urban Air Quality'!I7</f>
        <v>281.1902566</v>
      </c>
      <c r="O9" s="234">
        <f t="array" ref="O9">'Fossil Fuel Import Dependence'!G7</f>
        <v>0.7894736842</v>
      </c>
      <c r="P9" s="234">
        <f t="array" ref="P9">'Fossil Fuel Subsidy Burden'!E7</f>
        <v>0</v>
      </c>
      <c r="Q9" s="250">
        <f t="array" ref="Q9">'Utility Revenue Potential'!J7</f>
        <v>8624416.71</v>
      </c>
      <c r="R9" s="267">
        <f t="array" ref="R9">'Projected Rate of Motorization '!C7</f>
        <v>22.9038429</v>
      </c>
      <c r="S9" s="268"/>
      <c r="T9" s="268"/>
      <c r="U9" s="268"/>
      <c r="V9" s="268"/>
      <c r="W9" s="268"/>
      <c r="X9" s="268"/>
      <c r="Y9" s="268"/>
      <c r="Z9" s="268"/>
      <c r="AA9" s="268"/>
      <c r="AB9" s="268"/>
      <c r="AC9" s="268"/>
      <c r="AD9" s="268"/>
    </row>
    <row r="10">
      <c r="A10" s="22" t="s">
        <v>225</v>
      </c>
      <c r="B10" s="206" t="str">
        <f>IF(countif('EV National Targets'!A:A,A10)&gt;0, "1", "0")</f>
        <v>1</v>
      </c>
      <c r="C10" s="208" t="str">
        <f>IF(countif('EV Incentives'!A:A,A10)&gt;0, "1", "0")</f>
        <v>1</v>
      </c>
      <c r="D10" s="209">
        <f t="array" ref="D10">'Additional Generation For 30% E'!C8+1</f>
        <v>4.404911692</v>
      </c>
      <c r="E10" s="270">
        <f t="array" ref="E10">'Grid Reliability'!K8</f>
        <v>18.3</v>
      </c>
      <c r="F10" s="213">
        <f t="array" ref="F10">'Current Rate of Motorization'!B8</f>
        <v>4.289667138</v>
      </c>
      <c r="G10" s="303" t="str">
        <f t="array" ref="G10">'EV Charging Infrastructure'!B8</f>
        <v>Not Found</v>
      </c>
      <c r="H10" s="217">
        <f t="array" ref="H10">'Electricity Regulatory Index'!C8</f>
        <v>0.515</v>
      </c>
      <c r="I10" s="281">
        <f t="array" ref="I10">' Utility Cost Recovery'!B8</f>
        <v>0.960209376</v>
      </c>
      <c r="J10" s="213">
        <f t="array" ref="J10">'Relative Affordability'!F8</f>
        <v>0.325898534</v>
      </c>
      <c r="K10" s="284" t="str">
        <f t="array" ref="K10">'Access to Finance'!C8</f>
        <v>Not Found</v>
      </c>
      <c r="L10" s="232">
        <f t="array" ref="L10">'Electricity Generated from Clea'!F8</f>
        <v>0.1597768867</v>
      </c>
      <c r="M10" s="234">
        <f t="array" ref="M10">'CO2 from Transportation'!E8</f>
        <v>0.462455688</v>
      </c>
      <c r="N10" s="237">
        <f t="array" ref="N10">'Urban Air Quality'!I8</f>
        <v>179.6046534</v>
      </c>
      <c r="O10" s="234">
        <f t="array" ref="O10">'Fossil Fuel Import Dependence'!G8</f>
        <v>0.4966442953</v>
      </c>
      <c r="P10" s="234">
        <f t="array" ref="P10">'Fossil Fuel Subsidy Burden'!E8</f>
        <v>0</v>
      </c>
      <c r="Q10" s="250">
        <f t="array" ref="Q10">'Utility Revenue Potential'!J8</f>
        <v>14080886.64</v>
      </c>
      <c r="R10" s="267">
        <f t="array" ref="R10">'Projected Rate of Motorization '!C8</f>
        <v>298.6467959</v>
      </c>
      <c r="S10" s="268"/>
      <c r="T10" s="268"/>
      <c r="U10" s="268"/>
      <c r="V10" s="268"/>
      <c r="W10" s="268"/>
      <c r="X10" s="268"/>
      <c r="Y10" s="268"/>
      <c r="Z10" s="268"/>
      <c r="AA10" s="268"/>
      <c r="AB10" s="268"/>
      <c r="AC10" s="268"/>
      <c r="AD10" s="268"/>
    </row>
    <row r="11">
      <c r="A11" s="22" t="s">
        <v>338</v>
      </c>
      <c r="B11" s="206" t="str">
        <f>IF(countif('EV National Targets'!A:A,A11)&gt;0, "1", "0")</f>
        <v>0</v>
      </c>
      <c r="C11" s="208" t="str">
        <f>IF(countif('EV Incentives'!A:A,A11)&gt;0, "1", "0")</f>
        <v>0</v>
      </c>
      <c r="D11" s="209">
        <f t="array" ref="D11">'Additional Generation For 30% E'!C9+1</f>
        <v>1.008794791</v>
      </c>
      <c r="E11" s="302">
        <f t="array" ref="E11">'Grid Reliability'!F9</f>
        <v>793.44</v>
      </c>
      <c r="F11" s="213">
        <f t="array" ref="F11">'Current Rate of Motorization'!B9</f>
        <v>116.324674</v>
      </c>
      <c r="G11" s="215">
        <f t="array" ref="G11">'EV Charging Infrastructure'!B9</f>
        <v>5</v>
      </c>
      <c r="H11" s="217">
        <f t="array" ref="H11">'Electricity Regulatory Index'!C9</f>
        <v>0.606</v>
      </c>
      <c r="I11" s="281">
        <f t="array" ref="I11">' Utility Cost Recovery'!B9</f>
        <v>0.69329753</v>
      </c>
      <c r="J11" s="213">
        <f t="array" ref="J11">'Relative Affordability'!F9</f>
        <v>0.3554596668</v>
      </c>
      <c r="K11" s="358">
        <f t="array" ref="K11">'Access to Finance'!C9</f>
        <v>0.11</v>
      </c>
      <c r="L11" s="232">
        <f t="array" ref="L11">'Electricity Generated from Clea'!F9</f>
        <v>0.6239532214</v>
      </c>
      <c r="M11" s="234">
        <f t="array" ref="M11">'CO2 from Transportation'!E9</f>
        <v>0.5009069897</v>
      </c>
      <c r="N11" s="237">
        <f t="array" ref="N11">'Urban Air Quality'!I9</f>
        <v>303.4987627</v>
      </c>
      <c r="O11" s="234">
        <f t="array" ref="O11">'Fossil Fuel Import Dependence'!G9</f>
        <v>1.085492228</v>
      </c>
      <c r="P11" s="234">
        <f t="array" ref="P11">'Fossil Fuel Subsidy Burden'!E9</f>
        <v>0.002291262109</v>
      </c>
      <c r="Q11" s="250">
        <f t="array" ref="Q11">'Utility Revenue Potential'!J9</f>
        <v>236461855.6</v>
      </c>
      <c r="R11" s="267">
        <f t="array" ref="R11">'Projected Rate of Motorization '!C9</f>
        <v>102.6414709</v>
      </c>
      <c r="S11" s="268"/>
      <c r="T11" s="268"/>
      <c r="U11" s="268"/>
      <c r="V11" s="268"/>
      <c r="W11" s="268"/>
      <c r="X11" s="268"/>
      <c r="Y11" s="268"/>
      <c r="Z11" s="268"/>
      <c r="AA11" s="268"/>
      <c r="AB11" s="268"/>
      <c r="AC11" s="268"/>
      <c r="AD11" s="268"/>
    </row>
    <row r="12">
      <c r="A12" s="22" t="s">
        <v>340</v>
      </c>
      <c r="B12" s="206" t="str">
        <f>IF(countif('EV National Targets'!A:A,A12)&gt;0, "1", "0")</f>
        <v>0</v>
      </c>
      <c r="C12" s="208" t="str">
        <f>IF(countif('EV Incentives'!A:A,A12)&gt;0, "1", "0")</f>
        <v>0</v>
      </c>
      <c r="D12" s="209">
        <f t="array" ref="D12">'Additional Generation For 30% E'!C10+1</f>
        <v>1.495177753</v>
      </c>
      <c r="E12" s="302">
        <f t="array" ref="E12">'Grid Reliability'!F10</f>
        <v>2411.16</v>
      </c>
      <c r="F12" s="213">
        <f t="array" ref="F12">'Current Rate of Motorization'!B10</f>
        <v>7.641445241</v>
      </c>
      <c r="G12" s="303" t="str">
        <f t="array" ref="G12">'EV Charging Infrastructure'!B10</f>
        <v>Not Found</v>
      </c>
      <c r="H12" s="217">
        <f t="array" ref="H12">'Electricity Regulatory Index'!C10</f>
        <v>0.292</v>
      </c>
      <c r="I12" s="281">
        <f t="array" ref="I12">' Utility Cost Recovery'!B10</f>
        <v>0.442461284</v>
      </c>
      <c r="J12" s="213">
        <f t="array" ref="J12">'Relative Affordability'!F10</f>
        <v>0.2162470692</v>
      </c>
      <c r="K12" s="284" t="str">
        <f t="array" ref="K12">'Access to Finance'!C10</f>
        <v>Not Found</v>
      </c>
      <c r="L12" s="232">
        <f t="array" ref="L12">'Electricity Generated from Clea'!F10</f>
        <v>0.9929566277</v>
      </c>
      <c r="M12" s="234">
        <f t="array" ref="M12">'CO2 from Transportation'!E10</f>
        <v>0.9129332206</v>
      </c>
      <c r="N12" s="237">
        <f t="array" ref="N12">'Urban Air Quality'!I10</f>
        <v>323.585621</v>
      </c>
      <c r="O12" s="234">
        <f t="array" ref="O12">'Fossil Fuel Import Dependence'!G10</f>
        <v>0.8396226415</v>
      </c>
      <c r="P12" s="234">
        <f t="array" ref="P12">'Fossil Fuel Subsidy Burden'!E10</f>
        <v>0</v>
      </c>
      <c r="Q12" s="250">
        <f t="array" ref="Q12">'Utility Revenue Potential'!J10</f>
        <v>11369835.81</v>
      </c>
      <c r="R12" s="267">
        <f t="array" ref="R12">'Projected Rate of Motorization '!C10</f>
        <v>20.60055521</v>
      </c>
      <c r="S12" s="268"/>
      <c r="T12" s="268"/>
      <c r="U12" s="268"/>
      <c r="V12" s="268"/>
      <c r="W12" s="268"/>
      <c r="X12" s="268"/>
      <c r="Y12" s="268"/>
      <c r="Z12" s="268"/>
      <c r="AA12" s="268"/>
      <c r="AB12" s="268"/>
      <c r="AC12" s="268"/>
      <c r="AD12" s="268"/>
    </row>
    <row r="13">
      <c r="A13" s="22" t="s">
        <v>342</v>
      </c>
      <c r="B13" s="206" t="str">
        <f>IF(countif('EV National Targets'!A:A,A13)&gt;0, "1", "0")</f>
        <v>0</v>
      </c>
      <c r="C13" s="208" t="str">
        <f>IF(countif('EV Incentives'!A:A,A13)&gt;0, "1", "0")</f>
        <v>0</v>
      </c>
      <c r="D13" s="209">
        <f t="array" ref="D13">'Additional Generation For 30% E'!C11+1</f>
        <v>2.268271472</v>
      </c>
      <c r="E13" s="302">
        <f t="array" ref="E13">'Grid Reliability'!F11</f>
        <v>2881.08</v>
      </c>
      <c r="F13" s="213">
        <f t="array" ref="F13">'Current Rate of Motorization'!B11</f>
        <v>77.02542079</v>
      </c>
      <c r="G13" s="303" t="str">
        <f t="array" ref="G13">'EV Charging Infrastructure'!B11</f>
        <v>Not Found</v>
      </c>
      <c r="H13" s="217">
        <f t="array" ref="H13">'Electricity Regulatory Index'!C11</f>
        <v>0.147</v>
      </c>
      <c r="I13" s="281">
        <f t="array" ref="I13">' Utility Cost Recovery'!B11</f>
        <v>0.851340734</v>
      </c>
      <c r="J13" s="213">
        <f t="array" ref="J13">'Relative Affordability'!F11</f>
        <v>0.4754641588</v>
      </c>
      <c r="K13" s="440">
        <f t="array" ref="K13">'Access to Finance'!C11</f>
        <v>0.1</v>
      </c>
      <c r="L13" s="232">
        <f t="array" ref="L13">'Electricity Generated from Clea'!F11</f>
        <v>0.06081339257</v>
      </c>
      <c r="M13" s="234">
        <f t="array" ref="M13">'CO2 from Transportation'!E11</f>
        <v>0.7620742602</v>
      </c>
      <c r="N13" s="237">
        <f t="array" ref="N13">'Urban Air Quality'!I11</f>
        <v>274.2530346</v>
      </c>
      <c r="O13" s="234">
        <f t="array" ref="O13">'Fossil Fuel Import Dependence'!G11</f>
        <v>-260.5</v>
      </c>
      <c r="P13" s="234">
        <f t="array" ref="P13">'Fossil Fuel Subsidy Burden'!E11</f>
        <v>0</v>
      </c>
      <c r="Q13" s="250">
        <f t="array" ref="Q13">'Utility Revenue Potential'!J11</f>
        <v>60625646.58</v>
      </c>
      <c r="R13" s="267">
        <f t="array" ref="R13">'Projected Rate of Motorization '!C11</f>
        <v>30.69101073</v>
      </c>
      <c r="S13" s="268"/>
      <c r="T13" s="268"/>
      <c r="U13" s="268"/>
      <c r="V13" s="268"/>
      <c r="W13" s="268"/>
      <c r="X13" s="268"/>
      <c r="Y13" s="268"/>
      <c r="Z13" s="268"/>
      <c r="AA13" s="268"/>
      <c r="AB13" s="268"/>
      <c r="AC13" s="268"/>
      <c r="AD13" s="268"/>
    </row>
    <row r="14">
      <c r="A14" s="22" t="s">
        <v>346</v>
      </c>
      <c r="B14" s="206" t="str">
        <f>IF(countif('EV National Targets'!A:A,A14)&gt;0, "1", "0")</f>
        <v>0</v>
      </c>
      <c r="C14" s="208" t="str">
        <f>IF(countif('EV Incentives'!A:A,A14)&gt;0, "1", "0")</f>
        <v>0</v>
      </c>
      <c r="D14" s="209">
        <f t="array" ref="D14">'Additional Generation For 30% E'!C12+1</f>
        <v>1.180505674</v>
      </c>
      <c r="E14" s="443" t="str">
        <f t="array" ref="E14">'Grid Reliability'!F12</f>
        <v>Not Found</v>
      </c>
      <c r="F14" s="213">
        <f t="array" ref="F14">'Current Rate of Motorization'!B12</f>
        <v>46.76561713</v>
      </c>
      <c r="G14" s="303" t="str">
        <f t="array" ref="G14">'EV Charging Infrastructure'!B12</f>
        <v>Not Found</v>
      </c>
      <c r="H14" s="448" t="str">
        <f t="array" ref="H14">'Electricity Regulatory Index'!C12</f>
        <v>Not Found</v>
      </c>
      <c r="I14" s="281">
        <f t="array" ref="I14">' Utility Cost Recovery'!B12</f>
        <v>1.010569069</v>
      </c>
      <c r="J14" s="213">
        <f t="array" ref="J14">'Relative Affordability'!F12</f>
        <v>0.5651735152</v>
      </c>
      <c r="K14" s="224">
        <f t="array" ref="K14">'Access to Finance'!C12</f>
        <v>0.09</v>
      </c>
      <c r="L14" s="232">
        <f t="array" ref="L14">'Electricity Generated from Clea'!F12</f>
        <v>0</v>
      </c>
      <c r="M14" s="234">
        <f t="array" ref="M14">'CO2 from Transportation'!E12</f>
        <v>0.5661182206</v>
      </c>
      <c r="N14" s="237">
        <f t="array" ref="N14">'Urban Air Quality'!I12</f>
        <v>159.0192547</v>
      </c>
      <c r="O14" s="234">
        <f t="array" ref="O14">'Fossil Fuel Import Dependence'!G12</f>
        <v>0.8181818182</v>
      </c>
      <c r="P14" s="234">
        <f t="array" ref="P14">'Fossil Fuel Subsidy Burden'!E12</f>
        <v>0</v>
      </c>
      <c r="Q14" s="250">
        <f t="array" ref="Q14">'Utility Revenue Potential'!J12</f>
        <v>7530696.729</v>
      </c>
      <c r="R14" s="267">
        <f t="array" ref="R14">'Projected Rate of Motorization '!C12</f>
        <v>103.0553186</v>
      </c>
      <c r="S14" s="268"/>
      <c r="T14" s="268"/>
      <c r="U14" s="268"/>
      <c r="V14" s="268"/>
      <c r="W14" s="268"/>
      <c r="X14" s="268"/>
      <c r="Y14" s="268"/>
      <c r="Z14" s="268"/>
      <c r="AA14" s="268"/>
      <c r="AB14" s="268"/>
      <c r="AC14" s="268"/>
      <c r="AD14" s="268"/>
    </row>
    <row r="15">
      <c r="A15" s="22" t="s">
        <v>351</v>
      </c>
      <c r="B15" s="206" t="str">
        <f>IF(countif('EV National Targets'!A:A,A15)&gt;0, "1", "0")</f>
        <v>0</v>
      </c>
      <c r="C15" s="208" t="str">
        <f>IF(countif('EV Incentives'!A:A,A15)&gt;0, "1", "0")</f>
        <v>0</v>
      </c>
      <c r="D15" s="209">
        <f t="array" ref="D15">'Additional Generation For 30% E'!C13+1</f>
        <v>1.10560246</v>
      </c>
      <c r="E15" s="302">
        <f t="array" ref="E15">'Grid Reliability'!F13</f>
        <v>8849.4</v>
      </c>
      <c r="F15" s="213">
        <f t="array" ref="F15">'Current Rate of Motorization'!B13</f>
        <v>4.345626534</v>
      </c>
      <c r="G15" s="215">
        <f t="array" ref="G15">'EV Charging Infrastructure'!B13</f>
        <v>1</v>
      </c>
      <c r="H15" s="217">
        <f t="array" ref="H15">'Electricity Regulatory Index'!C13</f>
        <v>0.101</v>
      </c>
      <c r="I15" s="218" t="str">
        <f t="array" ref="I15">' Utility Cost Recovery'!B13</f>
        <v>Not Found</v>
      </c>
      <c r="J15" s="213">
        <f t="array" ref="J15">'Relative Affordability'!F13</f>
        <v>0.2607974431</v>
      </c>
      <c r="K15" s="440">
        <f t="array" ref="K15">'Access to Finance'!C13</f>
        <v>0.1</v>
      </c>
      <c r="L15" s="232">
        <f t="array" ref="L15">'Electricity Generated from Clea'!F13</f>
        <v>0.2241694963</v>
      </c>
      <c r="M15" s="234">
        <f t="array" ref="M15">'CO2 from Transportation'!E13</f>
        <v>0.3239178283</v>
      </c>
      <c r="N15" s="237">
        <f t="array" ref="N15">'Urban Air Quality'!I13</f>
        <v>405.1552294</v>
      </c>
      <c r="O15" s="234">
        <f t="array" ref="O15">'Fossil Fuel Import Dependence'!G13</f>
        <v>3.422413793</v>
      </c>
      <c r="P15" s="234">
        <f t="array" ref="P15">'Fossil Fuel Subsidy Burden'!E13</f>
        <v>0</v>
      </c>
      <c r="Q15" s="250">
        <f t="array" ref="Q15">'Utility Revenue Potential'!J13</f>
        <v>38633990.47</v>
      </c>
      <c r="R15" s="267">
        <f t="array" ref="R15">'Projected Rate of Motorization '!C13</f>
        <v>125.8764467</v>
      </c>
      <c r="S15" s="268"/>
      <c r="T15" s="268"/>
      <c r="U15" s="268"/>
      <c r="V15" s="268"/>
      <c r="W15" s="268"/>
      <c r="X15" s="268"/>
      <c r="Y15" s="268"/>
      <c r="Z15" s="268"/>
      <c r="AA15" s="268"/>
      <c r="AB15" s="268"/>
      <c r="AC15" s="268"/>
      <c r="AD15" s="268"/>
    </row>
    <row r="16">
      <c r="A16" s="22" t="s">
        <v>356</v>
      </c>
      <c r="B16" s="206" t="str">
        <f>IF(countif('EV National Targets'!A:A,A16)&gt;0, "1", "0")</f>
        <v>0</v>
      </c>
      <c r="C16" s="208" t="str">
        <f>IF(countif('EV Incentives'!A:A,A16)&gt;0, "1", "0")</f>
        <v>0</v>
      </c>
      <c r="D16" s="209">
        <f t="array" ref="D16">'Additional Generation For 30% E'!C14+1</f>
        <v>2.448858879</v>
      </c>
      <c r="E16" s="302">
        <f t="array" ref="E16">'Grid Reliability'!F14</f>
        <v>155.4</v>
      </c>
      <c r="F16" s="213">
        <f t="array" ref="F16">'Current Rate of Motorization'!B14</f>
        <v>3.065960144</v>
      </c>
      <c r="G16" s="215">
        <f t="array" ref="G16">'EV Charging Infrastructure'!B14</f>
        <v>1</v>
      </c>
      <c r="H16" s="217">
        <f t="array" ref="H16">'Electricity Regulatory Index'!C14</f>
        <v>0.573</v>
      </c>
      <c r="I16" s="281">
        <f t="array" ref="I16">' Utility Cost Recovery'!B14</f>
        <v>0.913290207</v>
      </c>
      <c r="J16" s="213">
        <f t="array" ref="J16">'Relative Affordability'!F14</f>
        <v>0.3898741775</v>
      </c>
      <c r="K16" s="224">
        <f t="array" ref="K16">'Access to Finance'!C14</f>
        <v>0.08</v>
      </c>
      <c r="L16" s="232">
        <f t="array" ref="L16">'Electricity Generated from Clea'!F15</f>
        <v>0.02096330511</v>
      </c>
      <c r="M16" s="234">
        <f t="array" ref="M16">'CO2 from Transportation'!E14</f>
        <v>0.3851742168</v>
      </c>
      <c r="N16" s="237">
        <f t="array" ref="N16">'Urban Air Quality'!I14</f>
        <v>302.3763047</v>
      </c>
      <c r="O16" s="234">
        <f t="array" ref="O16">'Fossil Fuel Import Dependence'!G14</f>
        <v>-2.897280967</v>
      </c>
      <c r="P16" s="234">
        <f t="array" ref="P16">'Fossil Fuel Subsidy Burden'!E14</f>
        <v>0.001428189592</v>
      </c>
      <c r="Q16" s="250">
        <f t="array" ref="Q16">'Utility Revenue Potential'!J14</f>
        <v>335705319.4</v>
      </c>
      <c r="R16" s="267">
        <f t="array" ref="R16">'Projected Rate of Motorization '!C14</f>
        <v>214.3940655</v>
      </c>
      <c r="S16" s="268"/>
      <c r="T16" s="268"/>
      <c r="U16" s="268"/>
      <c r="V16" s="268"/>
      <c r="W16" s="268"/>
      <c r="X16" s="268"/>
      <c r="Y16" s="268"/>
      <c r="Z16" s="268"/>
      <c r="AA16" s="268"/>
      <c r="AB16" s="268"/>
      <c r="AC16" s="268"/>
      <c r="AD16" s="268"/>
    </row>
    <row r="17">
      <c r="A17" s="22" t="s">
        <v>357</v>
      </c>
      <c r="B17" s="206" t="str">
        <f>IF(countif('EV National Targets'!A:A,A17)&gt;0, "1", "0")</f>
        <v>0</v>
      </c>
      <c r="C17" s="208" t="str">
        <f>IF(countif('EV Incentives'!A:A,A17)&gt;0, "1", "0")</f>
        <v>0</v>
      </c>
      <c r="D17" s="209">
        <f t="array" ref="D17">'Additional Generation For 30% E'!C15+1</f>
        <v>1.060249003</v>
      </c>
      <c r="E17" s="452">
        <f t="array" ref="E17">'Grid Reliability'!F15</f>
        <v>28.8</v>
      </c>
      <c r="F17" s="213">
        <f t="array" ref="F17">'Current Rate of Motorization'!B15</f>
        <v>39.09071097</v>
      </c>
      <c r="G17" s="303" t="str">
        <f t="array" ref="G17">'EV Charging Infrastructure'!B15</f>
        <v>Not Found</v>
      </c>
      <c r="H17" s="448" t="str">
        <f t="array" ref="H17">'Electricity Regulatory Index'!C15</f>
        <v>Not Found</v>
      </c>
      <c r="I17" s="218" t="str">
        <f t="array" ref="I17">' Utility Cost Recovery'!B15</f>
        <v>Not Found</v>
      </c>
      <c r="J17" s="453">
        <f t="array" ref="J17">'Relative Affordability'!F15</f>
        <v>0.547127503</v>
      </c>
      <c r="K17" s="284" t="str">
        <f t="array" ref="K17">'Access to Finance'!C15</f>
        <v>Not Found</v>
      </c>
      <c r="L17" s="232">
        <f t="array" ref="L17">'Electricity Generated from Clea'!F16</f>
        <v>0.9994889961</v>
      </c>
      <c r="M17" s="234">
        <f t="array" ref="M17">'CO2 from Transportation'!E15</f>
        <v>0.4141021811</v>
      </c>
      <c r="N17" s="237">
        <f t="array" ref="N17">'Urban Air Quality'!I15</f>
        <v>161.8639421</v>
      </c>
      <c r="O17" s="234">
        <f t="array" ref="O17">'Fossil Fuel Import Dependence'!G15</f>
        <v>0.8857142857</v>
      </c>
      <c r="P17" s="234">
        <f t="array" ref="P17">'Fossil Fuel Subsidy Burden'!E15</f>
        <v>0</v>
      </c>
      <c r="Q17" s="250">
        <f t="array" ref="Q17">'Utility Revenue Potential'!J15</f>
        <v>24340829.16</v>
      </c>
      <c r="R17" s="267">
        <f t="array" ref="R17">'Projected Rate of Motorization '!C15</f>
        <v>303.8434517</v>
      </c>
      <c r="S17" s="268"/>
      <c r="T17" s="268"/>
      <c r="U17" s="268"/>
      <c r="V17" s="268"/>
      <c r="W17" s="268"/>
      <c r="X17" s="268"/>
      <c r="Y17" s="268"/>
      <c r="Z17" s="268"/>
      <c r="AA17" s="268"/>
      <c r="AB17" s="268"/>
      <c r="AC17" s="268"/>
      <c r="AD17" s="268"/>
    </row>
    <row r="18">
      <c r="A18" s="22" t="s">
        <v>276</v>
      </c>
      <c r="B18" s="206" t="str">
        <f>IF(countif('EV National Targets'!A:A,A18)&gt;0, "1", "0")</f>
        <v>0</v>
      </c>
      <c r="C18" s="208" t="str">
        <f>IF(countif('EV Incentives'!A:A,A18)&gt;0, "1", "0")</f>
        <v>1</v>
      </c>
      <c r="D18" s="209">
        <f t="array" ref="D18">'Additional Generation For 30% E'!C16+1</f>
        <v>1.150581511</v>
      </c>
      <c r="E18" s="302">
        <f t="array" ref="E18">'Grid Reliability'!F16</f>
        <v>826.56</v>
      </c>
      <c r="F18" s="213">
        <f t="array" ref="F18">'Current Rate of Motorization'!B16</f>
        <v>0.7268364225</v>
      </c>
      <c r="G18" s="215">
        <f t="array" ref="G18">'EV Charging Infrastructure'!B16</f>
        <v>1</v>
      </c>
      <c r="H18" s="217">
        <f t="array" ref="H18">'Electricity Regulatory Index'!C16</f>
        <v>0.527</v>
      </c>
      <c r="I18" s="281">
        <f t="array" ref="I18">' Utility Cost Recovery'!B16</f>
        <v>0.764701884</v>
      </c>
      <c r="J18" s="213">
        <f t="array" ref="J18">'Relative Affordability'!F16</f>
        <v>0.1665451978</v>
      </c>
      <c r="K18" s="224">
        <f t="array" ref="K18">'Access to Finance'!C16</f>
        <v>0.05</v>
      </c>
      <c r="L18" s="232">
        <f t="array" ref="L18">'Electricity Generated from Clea'!F14</f>
        <v>0.3014871155</v>
      </c>
      <c r="M18" s="234">
        <f t="array" ref="M18">'CO2 from Transportation'!E16</f>
        <v>0.9963082206</v>
      </c>
      <c r="N18" s="237">
        <f t="array" ref="N18">'Urban Air Quality'!I16</f>
        <v>293.7766806</v>
      </c>
      <c r="O18" s="234">
        <f t="array" ref="O18">'Fossil Fuel Import Dependence'!G16</f>
        <v>1</v>
      </c>
      <c r="P18" s="234">
        <f t="array" ref="P18">'Fossil Fuel Subsidy Burden'!E16</f>
        <v>0</v>
      </c>
      <c r="Q18" s="250">
        <f t="array" ref="Q18">'Utility Revenue Potential'!J16</f>
        <v>51879930.06</v>
      </c>
      <c r="R18" s="267">
        <f t="array" ref="R18">'Projected Rate of Motorization '!C16</f>
        <v>37.65479681</v>
      </c>
      <c r="S18" s="268"/>
      <c r="T18" s="268"/>
      <c r="U18" s="268"/>
      <c r="V18" s="268"/>
      <c r="W18" s="268"/>
      <c r="X18" s="268"/>
      <c r="Y18" s="268"/>
      <c r="Z18" s="268"/>
      <c r="AA18" s="268"/>
      <c r="AB18" s="268"/>
      <c r="AC18" s="268"/>
      <c r="AD18" s="268"/>
    </row>
    <row r="19">
      <c r="A19" s="22" t="s">
        <v>285</v>
      </c>
      <c r="B19" s="206" t="str">
        <f>IF(countif('EV National Targets'!A:A,A19)&gt;0, "1", "0")</f>
        <v>0</v>
      </c>
      <c r="C19" s="208" t="str">
        <f>IF(countif('EV Incentives'!A:A,A19)&gt;0, "1", "0")</f>
        <v>1</v>
      </c>
      <c r="D19" s="209">
        <f t="array" ref="D19">'Additional Generation For 30% E'!C17+1</f>
        <v>1.074322294</v>
      </c>
      <c r="E19" s="302">
        <f t="array" ref="E19">'Grid Reliability'!F17</f>
        <v>8.64</v>
      </c>
      <c r="F19" s="213">
        <f t="array" ref="F19">'Current Rate of Motorization'!B17</f>
        <v>61.86659328</v>
      </c>
      <c r="G19" s="215">
        <f t="array" ref="G19">'EV Charging Infrastructure'!B17</f>
        <v>48</v>
      </c>
      <c r="H19" s="217">
        <f t="array" ref="H19">'Electricity Regulatory Index'!C17</f>
        <v>0.785</v>
      </c>
      <c r="I19" s="218" t="str">
        <f t="array" ref="I19">' Utility Cost Recovery'!B17</f>
        <v>Not Found</v>
      </c>
      <c r="J19" s="213">
        <f t="array" ref="J19">'Relative Affordability'!F17</f>
        <v>0.2565448084</v>
      </c>
      <c r="K19" s="358">
        <f t="array" ref="K19">'Access to Finance'!C17</f>
        <v>0.08</v>
      </c>
      <c r="L19" s="232">
        <f t="array" ref="L19">'Electricity Generated from Clea'!F17</f>
        <v>0.1155154491</v>
      </c>
      <c r="M19" s="234">
        <f t="array" ref="M19">'CO2 from Transportation'!E17</f>
        <v>0.2737471094</v>
      </c>
      <c r="N19" s="237">
        <f t="array" ref="N19">'Urban Air Quality'!I17</f>
        <v>257.3606342</v>
      </c>
      <c r="O19" s="234">
        <f t="array" ref="O19">'Fossil Fuel Import Dependence'!G17</f>
        <v>4.093987923</v>
      </c>
      <c r="P19" s="234">
        <f t="array" ref="P19">'Fossil Fuel Subsidy Burden'!E17</f>
        <v>0.0310436723</v>
      </c>
      <c r="Q19" s="250">
        <f t="array" ref="Q19">'Utility Revenue Potential'!J17</f>
        <v>556186935.4</v>
      </c>
      <c r="R19" s="267">
        <f t="array" ref="R19">'Projected Rate of Motorization '!C17</f>
        <v>324.0614764</v>
      </c>
      <c r="S19" s="268"/>
      <c r="T19" s="268"/>
      <c r="U19" s="268"/>
      <c r="V19" s="268"/>
      <c r="W19" s="268"/>
      <c r="X19" s="268"/>
      <c r="Y19" s="268"/>
      <c r="Z19" s="268"/>
      <c r="AA19" s="268"/>
      <c r="AB19" s="268"/>
      <c r="AC19" s="268"/>
      <c r="AD19" s="268"/>
    </row>
    <row r="20">
      <c r="A20" s="22" t="s">
        <v>360</v>
      </c>
      <c r="B20" s="206" t="str">
        <f>IF(countif('EV National Targets'!A:A,A20)&gt;0, "1", "0")</f>
        <v>0</v>
      </c>
      <c r="C20" s="208" t="str">
        <f>IF(countif('EV Incentives'!A:A,A20)&gt;0, "1", "0")</f>
        <v>0</v>
      </c>
      <c r="D20" s="209">
        <f t="array" ref="D20">'Additional Generation For 30% E'!C18+1</f>
        <v>1.018532724</v>
      </c>
      <c r="E20" s="443" t="str">
        <f t="array" ref="E20">'Grid Reliability'!F18</f>
        <v>Not Found</v>
      </c>
      <c r="F20" s="213">
        <f t="array" ref="F20">'Current Rate of Motorization'!B18</f>
        <v>102.2212024</v>
      </c>
      <c r="G20" s="303" t="str">
        <f t="array" ref="G20">'EV Charging Infrastructure'!B18</f>
        <v>Not Found</v>
      </c>
      <c r="H20" s="448" t="str">
        <f t="array" ref="H20">'Electricity Regulatory Index'!C18</f>
        <v>Not Found</v>
      </c>
      <c r="I20" s="218" t="str">
        <f t="array" ref="I20">' Utility Cost Recovery'!B18</f>
        <v>Not Found</v>
      </c>
      <c r="J20" s="453">
        <f t="array" ref="J20">'Relative Affordability'!F18</f>
        <v>0.6090050182</v>
      </c>
      <c r="K20" s="284" t="str">
        <f t="array" ref="K20">'Access to Finance'!C18</f>
        <v>Not Found</v>
      </c>
      <c r="L20" s="232">
        <f t="array" ref="L20">'Electricity Generated from Clea'!F18</f>
        <v>0.3102689372</v>
      </c>
      <c r="M20" s="234">
        <f t="array" ref="M20">'CO2 from Transportation'!E18</f>
        <v>0.1136680064</v>
      </c>
      <c r="N20" s="237">
        <f t="array" ref="N20">'Urban Air Quality'!I18</f>
        <v>295.8784994</v>
      </c>
      <c r="O20" s="234">
        <f t="array" ref="O20">'Fossil Fuel Import Dependence'!G18</f>
        <v>0.8783783784</v>
      </c>
      <c r="P20" s="234">
        <f t="array" ref="P20">'Fossil Fuel Subsidy Burden'!E18</f>
        <v>0.008312805037</v>
      </c>
      <c r="Q20" s="250">
        <f t="array" ref="Q20">'Utility Revenue Potential'!J18</f>
        <v>4467876.449</v>
      </c>
      <c r="R20" s="267">
        <f t="array" ref="R20">'Projected Rate of Motorization '!C18</f>
        <v>161.1018478</v>
      </c>
      <c r="S20" s="268"/>
      <c r="T20" s="268"/>
      <c r="U20" s="268"/>
      <c r="V20" s="268"/>
      <c r="W20" s="268"/>
      <c r="X20" s="268"/>
      <c r="Y20" s="268"/>
      <c r="Z20" s="268"/>
      <c r="AA20" s="268"/>
      <c r="AB20" s="268"/>
      <c r="AC20" s="268"/>
      <c r="AD20" s="268"/>
    </row>
    <row r="21">
      <c r="A21" s="22" t="s">
        <v>362</v>
      </c>
      <c r="B21" s="206" t="str">
        <f>IF(countif('EV National Targets'!A:A,A21)&gt;0, "1", "0")</f>
        <v>0</v>
      </c>
      <c r="C21" s="208" t="str">
        <f>IF(countif('EV Incentives'!A:A,A21)&gt;0, "1", "0")</f>
        <v>0</v>
      </c>
      <c r="D21" s="209">
        <f t="array" ref="D21">'Additional Generation For 30% E'!C19+1</f>
        <v>1.214277498</v>
      </c>
      <c r="E21" s="302">
        <f t="array" ref="E21">'Grid Reliability'!F19</f>
        <v>16.8</v>
      </c>
      <c r="F21" s="213">
        <f t="array" ref="F21">'Current Rate of Motorization'!B19</f>
        <v>21.51525264</v>
      </c>
      <c r="G21" s="215">
        <f t="array" ref="G21">'EV Charging Infrastructure'!B19</f>
        <v>2</v>
      </c>
      <c r="H21" s="448" t="str">
        <f t="array" ref="H21">'Electricity Regulatory Index'!C19</f>
        <v>Not Found</v>
      </c>
      <c r="I21" s="218" t="str">
        <f t="array" ref="I21">' Utility Cost Recovery'!B19</f>
        <v>Not Found</v>
      </c>
      <c r="J21" s="213">
        <f t="array" ref="J21">'Relative Affordability'!F19</f>
        <v>0.3095178446</v>
      </c>
      <c r="K21" s="284" t="str">
        <f t="array" ref="K21">'Access to Finance'!C19</f>
        <v>Not Found</v>
      </c>
      <c r="L21" s="232">
        <f t="array" ref="L21">'Electricity Generated from Clea'!F19</f>
        <v>0.03753807548</v>
      </c>
      <c r="M21" s="234">
        <f t="array" ref="M21">'CO2 from Transportation'!E19</f>
        <v>0.3637732062</v>
      </c>
      <c r="N21" s="237">
        <f t="array" ref="N21">'Urban Air Quality'!I19</f>
        <v>154.5753069</v>
      </c>
      <c r="O21" s="234">
        <f t="array" ref="O21">'Fossil Fuel Import Dependence'!G19</f>
        <v>0.1666666667</v>
      </c>
      <c r="P21" s="454" t="str">
        <f t="array" ref="P21">'Fossil Fuel Subsidy Burden'!E19</f>
        <v>Not Found</v>
      </c>
      <c r="Q21" s="250">
        <f t="array" ref="Q21">'Utility Revenue Potential'!J19</f>
        <v>23289564.11</v>
      </c>
      <c r="R21" s="455" t="str">
        <f t="array" ref="R21">'Projected Rate of Motorization '!C19</f>
        <v>Not Found</v>
      </c>
      <c r="S21" s="456"/>
      <c r="T21" s="456"/>
      <c r="U21" s="456"/>
      <c r="V21" s="456"/>
      <c r="W21" s="456"/>
      <c r="X21" s="456"/>
      <c r="Y21" s="456"/>
      <c r="Z21" s="456"/>
      <c r="AA21" s="456"/>
      <c r="AB21" s="456"/>
      <c r="AC21" s="456"/>
      <c r="AD21" s="456"/>
    </row>
    <row r="22">
      <c r="A22" s="22" t="s">
        <v>363</v>
      </c>
      <c r="B22" s="206" t="str">
        <f>IF(countif('EV National Targets'!A:A,A22)&gt;0, "1", "0")</f>
        <v>0</v>
      </c>
      <c r="C22" s="208" t="str">
        <f>IF(countif('EV Incentives'!A:A,A22)&gt;0, "1", "0")</f>
        <v>0</v>
      </c>
      <c r="D22" s="209">
        <f t="array" ref="D22">'Additional Generation For 30% E'!C20+1</f>
        <v>1.314871268</v>
      </c>
      <c r="E22" s="270">
        <f t="array" ref="E22">'Grid Reliability'!K20</f>
        <v>164.28</v>
      </c>
      <c r="F22" s="213">
        <f t="array" ref="F22">'Current Rate of Motorization'!B20</f>
        <v>87.37672031</v>
      </c>
      <c r="G22" s="303" t="str">
        <f t="array" ref="G22">'EV Charging Infrastructure'!B20</f>
        <v>Not Found</v>
      </c>
      <c r="H22" s="217">
        <f t="array" ref="H22">'Electricity Regulatory Index'!C20</f>
        <v>0.621</v>
      </c>
      <c r="I22" s="281">
        <f t="array" ref="I22">' Utility Cost Recovery'!B20</f>
        <v>1.115748665</v>
      </c>
      <c r="J22" s="213">
        <f t="array" ref="J22">'Relative Affordability'!F20</f>
        <v>0.1424020953</v>
      </c>
      <c r="K22" s="224">
        <f t="array" ref="K22">'Access to Finance'!C20</f>
        <v>0.33</v>
      </c>
      <c r="L22" s="232">
        <f t="array" ref="L22">'Electricity Generated from Clea'!F20</f>
        <v>0.5930843009</v>
      </c>
      <c r="M22" s="234">
        <f t="array" ref="M22">'CO2 from Transportation'!E20</f>
        <v>0.6185414307</v>
      </c>
      <c r="N22" s="237">
        <f t="array" ref="N22">'Urban Air Quality'!I20</f>
        <v>220.0214354</v>
      </c>
      <c r="O22" s="234">
        <f t="array" ref="O22">'Fossil Fuel Import Dependence'!G20</f>
        <v>0.9195402299</v>
      </c>
      <c r="P22" s="454" t="str">
        <f t="array" ref="P22">'Fossil Fuel Subsidy Burden'!E20</f>
        <v>Not Found</v>
      </c>
      <c r="Q22" s="250">
        <f t="array" ref="Q22">'Utility Revenue Potential'!J20</f>
        <v>14539804.26</v>
      </c>
      <c r="R22" s="267">
        <f t="array" ref="R22">'Projected Rate of Motorization '!C20</f>
        <v>180.1833986</v>
      </c>
      <c r="S22" s="268"/>
      <c r="T22" s="268"/>
      <c r="U22" s="268"/>
      <c r="V22" s="268"/>
      <c r="W22" s="268"/>
      <c r="X22" s="268"/>
      <c r="Y22" s="268"/>
      <c r="Z22" s="268"/>
      <c r="AA22" s="268"/>
      <c r="AB22" s="268"/>
      <c r="AC22" s="268"/>
      <c r="AD22" s="268"/>
    </row>
    <row r="23">
      <c r="A23" s="22" t="s">
        <v>255</v>
      </c>
      <c r="B23" s="206" t="str">
        <f>IF(countif('EV National Targets'!A:A,A23)&gt;0, "1", "0")</f>
        <v>1</v>
      </c>
      <c r="C23" s="208" t="str">
        <f>IF(countif('EV Incentives'!A:A,A23)&gt;0, "1", "0")</f>
        <v>1</v>
      </c>
      <c r="D23" s="209">
        <f t="array" ref="D23">'Additional Generation For 30% E'!C21+1</f>
        <v>1.146341162</v>
      </c>
      <c r="E23" s="302">
        <f t="array" ref="E23">'Grid Reliability'!F21</f>
        <v>570.72</v>
      </c>
      <c r="F23" s="213">
        <f t="array" ref="F23">'Current Rate of Motorization'!B21</f>
        <v>6.728093929</v>
      </c>
      <c r="G23" s="215">
        <f t="array" ref="G23">'EV Charging Infrastructure'!B21</f>
        <v>10</v>
      </c>
      <c r="H23" s="217">
        <f t="array" ref="H23">'Electricity Regulatory Index'!C21</f>
        <v>0.561</v>
      </c>
      <c r="I23" s="281">
        <f t="array" ref="I23">' Utility Cost Recovery'!B21</f>
        <v>1.027019179</v>
      </c>
      <c r="J23" s="213">
        <f t="array" ref="J23">'Relative Affordability'!F21</f>
        <v>0.04712013784</v>
      </c>
      <c r="K23" s="358">
        <f t="array" ref="K23">'Access to Finance'!C21</f>
        <v>0.05</v>
      </c>
      <c r="L23" s="232">
        <f t="array" ref="L23">'Electricity Generated from Clea'!F21</f>
        <v>0.9996558763</v>
      </c>
      <c r="M23" s="234">
        <f t="array" ref="M23">'CO2 from Transportation'!E21</f>
        <v>0.5159076644</v>
      </c>
      <c r="N23" s="237">
        <f t="array" ref="N23">'Urban Air Quality'!I21</f>
        <v>143.2888589</v>
      </c>
      <c r="O23" s="234">
        <f t="array" ref="O23">'Fossil Fuel Import Dependence'!G21</f>
        <v>0.6766256591</v>
      </c>
      <c r="P23" s="234">
        <f t="array" ref="P23">'Fossil Fuel Subsidy Burden'!E21</f>
        <v>0.02050740501</v>
      </c>
      <c r="Q23" s="250">
        <f t="array" ref="Q23">'Utility Revenue Potential'!J21</f>
        <v>49404403.04</v>
      </c>
      <c r="R23" s="267">
        <f t="array" ref="R23">'Projected Rate of Motorization '!C21</f>
        <v>123.9930202</v>
      </c>
      <c r="S23" s="268"/>
      <c r="T23" s="268"/>
      <c r="U23" s="268"/>
      <c r="V23" s="268"/>
      <c r="W23" s="268"/>
      <c r="X23" s="268"/>
      <c r="Y23" s="268"/>
      <c r="Z23" s="268"/>
      <c r="AA23" s="268"/>
      <c r="AB23" s="268"/>
      <c r="AC23" s="268"/>
      <c r="AD23" s="268"/>
    </row>
    <row r="24">
      <c r="A24" s="22" t="s">
        <v>374</v>
      </c>
      <c r="B24" s="206" t="str">
        <f>IF(countif('EV National Targets'!A:A,A24)&gt;0, "1", "0")</f>
        <v>0</v>
      </c>
      <c r="C24" s="208" t="str">
        <f>IF(countif('EV Incentives'!A:A,A24)&gt;0, "1", "0")</f>
        <v>0</v>
      </c>
      <c r="D24" s="209">
        <f t="array" ref="D24">'Additional Generation For 30% E'!C22+1</f>
        <v>1.147225895</v>
      </c>
      <c r="E24" s="270">
        <f t="array" ref="E24">'Grid Reliability'!K22</f>
        <v>47.5</v>
      </c>
      <c r="F24" s="213">
        <f t="array" ref="F24">'Current Rate of Motorization'!B22</f>
        <v>27.13059017</v>
      </c>
      <c r="G24" s="303" t="str">
        <f t="array" ref="G24">'EV Charging Infrastructure'!B22</f>
        <v>Not Found</v>
      </c>
      <c r="H24" s="217">
        <f t="array" ref="H24">'Electricity Regulatory Index'!C22</f>
        <v>0.168</v>
      </c>
      <c r="I24" s="281">
        <f t="array" ref="I24">' Utility Cost Recovery'!B22</f>
        <v>0.906808412</v>
      </c>
      <c r="J24" s="213">
        <f t="array" ref="J24">'Relative Affordability'!F22</f>
        <v>0.4915445542</v>
      </c>
      <c r="K24" s="224">
        <f t="array" ref="K24">'Access to Finance'!C22</f>
        <v>0.12</v>
      </c>
      <c r="L24" s="232">
        <f t="array" ref="L24">'Electricity Generated from Clea'!F22</f>
        <v>0.4432608216</v>
      </c>
      <c r="M24" s="234">
        <f t="array" ref="M24">'CO2 from Transportation'!E22</f>
        <v>0.07506341154</v>
      </c>
      <c r="N24" s="237">
        <f t="array" ref="N24">'Urban Air Quality'!I22</f>
        <v>354.7159634</v>
      </c>
      <c r="O24" s="234">
        <f t="array" ref="O24">'Fossil Fuel Import Dependence'!G22</f>
        <v>0.2807881773</v>
      </c>
      <c r="P24" s="234">
        <f t="array" ref="P24">'Fossil Fuel Subsidy Burden'!E22</f>
        <v>0</v>
      </c>
      <c r="Q24" s="250">
        <f t="array" ref="Q24">'Utility Revenue Potential'!J22</f>
        <v>63955326.45</v>
      </c>
      <c r="R24" s="267">
        <f t="array" ref="R24">'Projected Rate of Motorization '!C22</f>
        <v>271.3134946</v>
      </c>
      <c r="S24" s="268"/>
      <c r="T24" s="268"/>
      <c r="U24" s="268"/>
      <c r="V24" s="268"/>
      <c r="W24" s="268"/>
      <c r="X24" s="268"/>
      <c r="Y24" s="268"/>
      <c r="Z24" s="268"/>
      <c r="AA24" s="268"/>
      <c r="AB24" s="268"/>
      <c r="AC24" s="268"/>
      <c r="AD24" s="268"/>
    </row>
    <row r="25">
      <c r="A25" s="22" t="s">
        <v>263</v>
      </c>
      <c r="B25" s="206" t="str">
        <f>IF(countif('EV National Targets'!A:A,A25)&gt;0, "1", "0")</f>
        <v>1</v>
      </c>
      <c r="C25" s="208" t="str">
        <f>IF(countif('EV Incentives'!A:A,A25)&gt;0, "1", "0")</f>
        <v>0</v>
      </c>
      <c r="D25" s="209">
        <f t="array" ref="D25">'Additional Generation For 30% E'!C23+1</f>
        <v>1.219945859</v>
      </c>
      <c r="E25" s="302">
        <f t="array" ref="E25">'Grid Reliability'!F23</f>
        <v>191.52</v>
      </c>
      <c r="F25" s="213">
        <f t="array" ref="F25">'Current Rate of Motorization'!B23</f>
        <v>36.66614017</v>
      </c>
      <c r="G25" s="303" t="str">
        <f t="array" ref="G25">'EV Charging Infrastructure'!B23</f>
        <v>Not Found</v>
      </c>
      <c r="H25" s="217">
        <f t="array" ref="H25">'Electricity Regulatory Index'!C23</f>
        <v>0.298</v>
      </c>
      <c r="I25" s="281">
        <f t="array" ref="I25">' Utility Cost Recovery'!B23</f>
        <v>0.666773068</v>
      </c>
      <c r="J25" s="213">
        <f t="array" ref="J25">'Relative Affordability'!F23</f>
        <v>0.4371720968</v>
      </c>
      <c r="K25" s="440">
        <f t="array" ref="K25">'Access to Finance'!C23</f>
        <v>0.06</v>
      </c>
      <c r="L25" s="232">
        <f t="array" ref="L25">'Electricity Generated from Clea'!F23</f>
        <v>0.01006749051</v>
      </c>
      <c r="M25" s="234">
        <f t="array" ref="M25">'CO2 from Transportation'!E23</f>
        <v>0.1329735034</v>
      </c>
      <c r="N25" s="237">
        <f t="array" ref="N25">'Urban Air Quality'!I23</f>
        <v>205.1875663</v>
      </c>
      <c r="O25" s="234">
        <f t="array" ref="O25">'Fossil Fuel Import Dependence'!G23</f>
        <v>0.6120689655</v>
      </c>
      <c r="P25" s="234">
        <f t="array" ref="P25">'Fossil Fuel Subsidy Burden'!E23</f>
        <v>0</v>
      </c>
      <c r="Q25" s="250">
        <f t="array" ref="Q25">'Utility Revenue Potential'!J23</f>
        <v>13545145.79</v>
      </c>
      <c r="R25" s="267">
        <f t="array" ref="R25">'Projected Rate of Motorization '!C23</f>
        <v>67.69236501</v>
      </c>
      <c r="S25" s="268"/>
      <c r="T25" s="268"/>
      <c r="U25" s="268"/>
      <c r="V25" s="268"/>
      <c r="W25" s="268"/>
      <c r="X25" s="268"/>
      <c r="Y25" s="268"/>
      <c r="Z25" s="268"/>
      <c r="AA25" s="268"/>
      <c r="AB25" s="268"/>
      <c r="AC25" s="268"/>
      <c r="AD25" s="268"/>
    </row>
    <row r="26">
      <c r="A26" s="22" t="s">
        <v>266</v>
      </c>
      <c r="B26" s="206" t="str">
        <f>IF(countif('EV National Targets'!A:A,A26)&gt;0, "1", "0")</f>
        <v>1</v>
      </c>
      <c r="C26" s="208" t="str">
        <f>IF(countif('EV Incentives'!A:A,A26)&gt;0, "1", "0")</f>
        <v>1</v>
      </c>
      <c r="D26" s="209">
        <f t="array" ref="D26">'Additional Generation For 30% E'!C24+1</f>
        <v>1.122763959</v>
      </c>
      <c r="E26" s="302">
        <f t="array" ref="E26">'Grid Reliability'!F24</f>
        <v>107.88</v>
      </c>
      <c r="F26" s="213">
        <f t="array" ref="F26">'Current Rate of Motorization'!B24</f>
        <v>69.41784416</v>
      </c>
      <c r="G26" s="215">
        <f t="array" ref="G26">'EV Charging Infrastructure'!B24</f>
        <v>3</v>
      </c>
      <c r="H26" s="217">
        <f t="array" ref="H26">'Electricity Regulatory Index'!C24</f>
        <v>0.709</v>
      </c>
      <c r="I26" s="281">
        <f t="array" ref="I26">' Utility Cost Recovery'!B24</f>
        <v>1.032875093</v>
      </c>
      <c r="J26" s="213">
        <f t="array" ref="J26">'Relative Affordability'!F24</f>
        <v>0.1972156942</v>
      </c>
      <c r="K26" s="224">
        <f t="array" ref="K26">'Access to Finance'!C24</f>
        <v>0.17</v>
      </c>
      <c r="L26" s="232">
        <f t="array" ref="L26">'Electricity Generated from Clea'!F24</f>
        <v>0.3482923413</v>
      </c>
      <c r="M26" s="234">
        <f t="array" ref="M26">'CO2 from Transportation'!E24</f>
        <v>0.481245469</v>
      </c>
      <c r="N26" s="237">
        <f t="array" ref="N26">'Urban Air Quality'!I24</f>
        <v>284.8538947</v>
      </c>
      <c r="O26" s="234">
        <f t="array" ref="O26">'Fossil Fuel Import Dependence'!G24</f>
        <v>0.9467339501</v>
      </c>
      <c r="P26" s="234">
        <f t="array" ref="P26">'Fossil Fuel Subsidy Burden'!E24</f>
        <v>0</v>
      </c>
      <c r="Q26" s="250">
        <f t="array" ref="Q26">'Utility Revenue Potential'!J24</f>
        <v>228688559.3</v>
      </c>
      <c r="R26" s="267">
        <f t="array" ref="R26">'Projected Rate of Motorization '!C24</f>
        <v>170.5470429</v>
      </c>
      <c r="S26" s="268"/>
      <c r="T26" s="268"/>
      <c r="U26" s="268"/>
      <c r="V26" s="268"/>
      <c r="W26" s="268"/>
      <c r="X26" s="268"/>
      <c r="Y26" s="268"/>
      <c r="Z26" s="268"/>
      <c r="AA26" s="268"/>
      <c r="AB26" s="268"/>
      <c r="AC26" s="268"/>
      <c r="AD26" s="268"/>
    </row>
    <row r="27">
      <c r="A27" s="22" t="s">
        <v>385</v>
      </c>
      <c r="B27" s="206" t="str">
        <f>IF(countif('EV National Targets'!A:A,A27)&gt;0, "1", "0")</f>
        <v>0</v>
      </c>
      <c r="C27" s="208" t="str">
        <f>IF(countif('EV Incentives'!A:A,A27)&gt;0, "1", "0")</f>
        <v>0</v>
      </c>
      <c r="D27" s="209">
        <f t="array" ref="D27">'Additional Generation For 30% E'!C25+1</f>
        <v>1.165884862</v>
      </c>
      <c r="E27" s="302">
        <f t="array" ref="E27">'Grid Reliability'!F25</f>
        <v>172.8</v>
      </c>
      <c r="F27" s="213">
        <f t="array" ref="F27">'Current Rate of Motorization'!B25</f>
        <v>26.75839421</v>
      </c>
      <c r="G27" s="303" t="str">
        <f t="array" ref="G27">'EV Charging Infrastructure'!B25</f>
        <v>Not Found</v>
      </c>
      <c r="H27" s="217">
        <f t="array" ref="H27">'Electricity Regulatory Index'!C25</f>
        <v>0.306</v>
      </c>
      <c r="I27" s="281">
        <f t="array" ref="I27">' Utility Cost Recovery'!B25</f>
        <v>0.655307925</v>
      </c>
      <c r="J27" s="213">
        <f t="array" ref="J27">'Relative Affordability'!F25</f>
        <v>0.4222772953</v>
      </c>
      <c r="K27" s="358">
        <f t="array" ref="K27">'Access to Finance'!C25</f>
        <v>0.08</v>
      </c>
      <c r="L27" s="232">
        <f t="array" ref="L27">'Electricity Generated from Clea'!F25</f>
        <v>0.7273258776</v>
      </c>
      <c r="M27" s="234">
        <f t="array" ref="M27">'CO2 from Transportation'!E25</f>
        <v>0.4549020472</v>
      </c>
      <c r="N27" s="237">
        <f t="array" ref="N27">'Urban Air Quality'!I25</f>
        <v>296.6946447</v>
      </c>
      <c r="O27" s="234">
        <f t="array" ref="O27">'Fossil Fuel Import Dependence'!G25</f>
        <v>0.802919708</v>
      </c>
      <c r="P27" s="234">
        <f t="array" ref="P27">'Fossil Fuel Subsidy Burden'!E25</f>
        <v>0</v>
      </c>
      <c r="Q27" s="250">
        <f t="array" ref="Q27">'Utility Revenue Potential'!J25</f>
        <v>85273768.6</v>
      </c>
      <c r="R27" s="267">
        <f t="array" ref="R27">'Projected Rate of Motorization '!C25</f>
        <v>105.8881147</v>
      </c>
      <c r="S27" s="268"/>
      <c r="T27" s="268"/>
      <c r="U27" s="268"/>
      <c r="V27" s="268"/>
      <c r="W27" s="268"/>
      <c r="X27" s="268"/>
      <c r="Y27" s="268"/>
      <c r="Z27" s="268"/>
      <c r="AA27" s="268"/>
      <c r="AB27" s="268"/>
      <c r="AC27" s="268"/>
      <c r="AD27" s="268"/>
    </row>
    <row r="28">
      <c r="A28" s="22" t="s">
        <v>386</v>
      </c>
      <c r="B28" s="206" t="str">
        <f>IF(countif('EV National Targets'!A:A,A28)&gt;0, "1", "0")</f>
        <v>0</v>
      </c>
      <c r="C28" s="208" t="str">
        <f>IF(countif('EV Incentives'!A:A,A28)&gt;0, "1", "0")</f>
        <v>0</v>
      </c>
      <c r="D28" s="209">
        <f t="array" ref="D28">'Additional Generation For 30% E'!C26+1</f>
        <v>1.490159668</v>
      </c>
      <c r="E28" s="302">
        <f t="array" ref="E28">'Grid Reliability'!F26</f>
        <v>1116.96</v>
      </c>
      <c r="F28" s="213">
        <f t="array" ref="F28">'Current Rate of Motorization'!B26</f>
        <v>33.92599392</v>
      </c>
      <c r="G28" s="303" t="str">
        <f t="array" ref="G28">'EV Charging Infrastructure'!B26</f>
        <v>Not Found</v>
      </c>
      <c r="H28" s="448" t="str">
        <f t="array" ref="H28">'Electricity Regulatory Index'!C26</f>
        <v>Not Found</v>
      </c>
      <c r="I28" s="281">
        <f t="array" ref="I28">' Utility Cost Recovery'!B26</f>
        <v>0.81999098</v>
      </c>
      <c r="J28" s="213">
        <f t="array" ref="J28">'Relative Affordability'!F26</f>
        <v>0.8830088659</v>
      </c>
      <c r="K28" s="284" t="str">
        <f t="array" ref="K28">'Access to Finance'!C26</f>
        <v>Not Found</v>
      </c>
      <c r="L28" s="232">
        <f t="array" ref="L28">'Electricity Generated from Clea'!F26</f>
        <v>0.02425477213</v>
      </c>
      <c r="M28" s="234">
        <f t="array" ref="M28">'CO2 from Transportation'!E26</f>
        <v>0.3610942249</v>
      </c>
      <c r="N28" s="237">
        <f t="array" ref="N28">'Urban Air Quality'!I26</f>
        <v>241.0405418</v>
      </c>
      <c r="O28" s="234">
        <f t="array" ref="O28">'Fossil Fuel Import Dependence'!G26</f>
        <v>0.5774647887</v>
      </c>
      <c r="P28" s="234">
        <f t="array" ref="P28">'Fossil Fuel Subsidy Burden'!E26</f>
        <v>0</v>
      </c>
      <c r="Q28" s="250">
        <f t="array" ref="Q28">'Utility Revenue Potential'!J26</f>
        <v>15364642.99</v>
      </c>
      <c r="R28" s="267">
        <f t="array" ref="R28">'Projected Rate of Motorization '!C26</f>
        <v>63.82700085</v>
      </c>
      <c r="S28" s="268"/>
      <c r="T28" s="268"/>
      <c r="U28" s="268"/>
      <c r="V28" s="268"/>
      <c r="W28" s="268"/>
      <c r="X28" s="268"/>
      <c r="Y28" s="268"/>
      <c r="Z28" s="268"/>
      <c r="AA28" s="268"/>
      <c r="AB28" s="268"/>
      <c r="AC28" s="268"/>
      <c r="AD28" s="268"/>
    </row>
    <row r="29">
      <c r="A29" s="22" t="s">
        <v>280</v>
      </c>
      <c r="B29" s="206" t="str">
        <f>IF(countif('EV National Targets'!A:A,A29)&gt;0, "1", "0")</f>
        <v>1</v>
      </c>
      <c r="C29" s="208" t="str">
        <f>IF(countif('EV Incentives'!A:A,A29)&gt;0, "1", "0")</f>
        <v>1</v>
      </c>
      <c r="D29" s="209">
        <f t="array" ref="D29">'Additional Generation For 30% E'!C27+1</f>
        <v>1.252013625</v>
      </c>
      <c r="E29" s="302">
        <f t="array" ref="E29">'Grid Reliability'!F27</f>
        <v>264.48</v>
      </c>
      <c r="F29" s="213">
        <f t="array" ref="F29">'Current Rate of Motorization'!B27</f>
        <v>53.90677084</v>
      </c>
      <c r="G29" s="215">
        <f t="array" ref="G29">'EV Charging Infrastructure'!B27</f>
        <v>18</v>
      </c>
      <c r="H29" s="217">
        <f t="array" ref="H29">'Electricity Regulatory Index'!C27</f>
        <v>0.695</v>
      </c>
      <c r="I29" s="281">
        <f t="array" ref="I29">' Utility Cost Recovery'!B27</f>
        <v>0.893357422</v>
      </c>
      <c r="J29" s="213">
        <f t="array" ref="J29">'Relative Affordability'!F27</f>
        <v>0.2728122027</v>
      </c>
      <c r="K29" s="358">
        <f t="array" ref="K29">'Access to Finance'!C27</f>
        <v>0.4</v>
      </c>
      <c r="L29" s="232">
        <f t="array" ref="L29">'Electricity Generated from Clea'!F27</f>
        <v>0.9198527711</v>
      </c>
      <c r="M29" s="234">
        <f t="array" ref="M29">'CO2 from Transportation'!E27</f>
        <v>0.6600845457</v>
      </c>
      <c r="N29" s="237">
        <f t="array" ref="N29">'Urban Air Quality'!I27</f>
        <v>150.1750007</v>
      </c>
      <c r="O29" s="234">
        <f t="array" ref="O29">'Fossil Fuel Import Dependence'!G27</f>
        <v>0.8549788925</v>
      </c>
      <c r="P29" s="234">
        <f t="array" ref="P29">'Fossil Fuel Subsidy Burden'!E27</f>
        <v>0</v>
      </c>
      <c r="Q29" s="250">
        <f t="array" ref="Q29">'Utility Revenue Potential'!J27</f>
        <v>426419384.6</v>
      </c>
      <c r="R29" s="267">
        <f t="array" ref="R29">'Projected Rate of Motorization '!C27</f>
        <v>173.878629</v>
      </c>
      <c r="S29" s="268"/>
      <c r="T29" s="268"/>
      <c r="U29" s="268"/>
      <c r="V29" s="268"/>
      <c r="W29" s="268"/>
      <c r="X29" s="268"/>
      <c r="Y29" s="268"/>
      <c r="Z29" s="268"/>
      <c r="AA29" s="268"/>
      <c r="AB29" s="268"/>
      <c r="AC29" s="268"/>
      <c r="AD29" s="268"/>
    </row>
    <row r="30">
      <c r="A30" s="22" t="s">
        <v>392</v>
      </c>
      <c r="B30" s="206" t="str">
        <f>IF(countif('EV National Targets'!A:A,A30)&gt;0, "1", "0")</f>
        <v>0</v>
      </c>
      <c r="C30" s="208" t="str">
        <f>IF(countif('EV Incentives'!A:A,A30)&gt;0, "1", "0")</f>
        <v>0</v>
      </c>
      <c r="D30" s="209">
        <f t="array" ref="D30">'Additional Generation For 30% E'!C28+1</f>
        <v>1.316628604</v>
      </c>
      <c r="E30" s="302">
        <f t="array" ref="E30">'Grid Reliability'!F28</f>
        <v>98.04</v>
      </c>
      <c r="F30" s="213">
        <f t="array" ref="F30">'Current Rate of Motorization'!B28</f>
        <v>390.2868268</v>
      </c>
      <c r="G30" s="303" t="str">
        <f t="array" ref="G30">'EV Charging Infrastructure'!B28</f>
        <v>Not Found</v>
      </c>
      <c r="H30" s="217">
        <f t="array" ref="H30">'Electricity Regulatory Index'!C28</f>
        <v>0.49</v>
      </c>
      <c r="I30" s="281">
        <f t="array" ref="I30">' Utility Cost Recovery'!B28</f>
        <v>0.983914297</v>
      </c>
      <c r="J30" s="213">
        <f t="array" ref="J30">'Relative Affordability'!F28</f>
        <v>0.0432541854</v>
      </c>
      <c r="K30" s="224">
        <f t="array" ref="K30">'Access to Finance'!C28</f>
        <v>0.19</v>
      </c>
      <c r="L30" s="232">
        <f t="array" ref="L30">'Electricity Generated from Clea'!F28</f>
        <v>1</v>
      </c>
      <c r="M30" s="234">
        <f t="array" ref="M30">'CO2 from Transportation'!E28</f>
        <v>0.2327522817</v>
      </c>
      <c r="N30" s="237">
        <f t="array" ref="N30">'Urban Air Quality'!I28</f>
        <v>177.9784659</v>
      </c>
      <c r="O30" s="234">
        <f t="array" ref="O30">'Fossil Fuel Import Dependence'!G28</f>
        <v>0.7772925764</v>
      </c>
      <c r="P30" s="234">
        <f t="array" ref="P30">'Fossil Fuel Subsidy Burden'!E28</f>
        <v>0</v>
      </c>
      <c r="Q30" s="250">
        <f t="array" ref="Q30">'Utility Revenue Potential'!J28</f>
        <v>3015311.187</v>
      </c>
      <c r="R30" s="267">
        <f t="array" ref="R30">'Projected Rate of Motorization '!C28</f>
        <v>64.13065419</v>
      </c>
      <c r="S30" s="268"/>
      <c r="T30" s="268"/>
      <c r="U30" s="268"/>
      <c r="V30" s="268"/>
      <c r="W30" s="268"/>
      <c r="X30" s="268"/>
      <c r="Y30" s="268"/>
      <c r="Z30" s="268"/>
      <c r="AA30" s="268"/>
      <c r="AB30" s="268"/>
      <c r="AC30" s="268"/>
      <c r="AD30" s="268"/>
    </row>
    <row r="31">
      <c r="A31" s="22" t="s">
        <v>394</v>
      </c>
      <c r="B31" s="206" t="str">
        <f>IF(countif('EV National Targets'!A:A,A31)&gt;0, "1", "0")</f>
        <v>0</v>
      </c>
      <c r="C31" s="208" t="str">
        <f>IF(countif('EV Incentives'!A:A,A31)&gt;0, "1", "0")</f>
        <v>0</v>
      </c>
      <c r="D31" s="209">
        <f t="array" ref="D31">'Additional Generation For 30% E'!C29+1</f>
        <v>1.097762546</v>
      </c>
      <c r="E31" s="302">
        <f t="array" ref="E31">'Grid Reliability'!F29</f>
        <v>448.2</v>
      </c>
      <c r="F31" s="213">
        <f t="array" ref="F31">'Current Rate of Motorization'!B29</f>
        <v>13.38688939</v>
      </c>
      <c r="G31" s="303" t="str">
        <f t="array" ref="G31">'EV Charging Infrastructure'!B29</f>
        <v>Not Found</v>
      </c>
      <c r="H31" s="217">
        <f t="array" ref="H31">'Electricity Regulatory Index'!C29</f>
        <v>0.628</v>
      </c>
      <c r="I31" s="281">
        <f t="array" ref="I31">' Utility Cost Recovery'!B29</f>
        <v>0.960666493</v>
      </c>
      <c r="J31" s="213">
        <f t="array" ref="J31">'Relative Affordability'!F29</f>
        <v>0.6640365105</v>
      </c>
      <c r="K31" s="358">
        <f t="array" ref="K31">'Access to Finance'!C29</f>
        <v>0.17</v>
      </c>
      <c r="L31" s="232">
        <f t="array" ref="L31">'Electricity Generated from Clea'!F29</f>
        <v>0.580288449</v>
      </c>
      <c r="M31" s="234">
        <f t="array" ref="M31">'CO2 from Transportation'!E29</f>
        <v>0.6112147697</v>
      </c>
      <c r="N31" s="237">
        <f t="array" ref="N31">'Urban Air Quality'!I29</f>
        <v>278.7242847</v>
      </c>
      <c r="O31" s="234">
        <f t="array" ref="O31">'Fossil Fuel Import Dependence'!G29</f>
        <v>0.4705882353</v>
      </c>
      <c r="P31" s="234">
        <f t="array" ref="P31">'Fossil Fuel Subsidy Burden'!E29</f>
        <v>0</v>
      </c>
      <c r="Q31" s="250">
        <f t="array" ref="Q31">'Utility Revenue Potential'!J29</f>
        <v>21771294.79</v>
      </c>
      <c r="R31" s="267">
        <f t="array" ref="R31">'Projected Rate of Motorization '!C29</f>
        <v>75.52908598</v>
      </c>
      <c r="S31" s="268"/>
      <c r="T31" s="268"/>
      <c r="U31" s="268"/>
      <c r="V31" s="268"/>
      <c r="W31" s="268"/>
      <c r="X31" s="268"/>
      <c r="Y31" s="268"/>
      <c r="Z31" s="268"/>
      <c r="AA31" s="268"/>
      <c r="AB31" s="268"/>
      <c r="AC31" s="268"/>
      <c r="AD31" s="268"/>
    </row>
    <row r="32">
      <c r="A32" s="22" t="s">
        <v>396</v>
      </c>
      <c r="B32" s="206" t="str">
        <f>IF(countif('EV National Targets'!A:A,A32)&gt;0, "1", "0")</f>
        <v>0</v>
      </c>
      <c r="C32" s="208" t="str">
        <f>IF(countif('EV Incentives'!A:A,A32)&gt;0, "1", "0")</f>
        <v>0</v>
      </c>
      <c r="D32" s="209">
        <f t="array" ref="D32">'Additional Generation For 30% E'!C30+1</f>
        <v>1.432580133</v>
      </c>
      <c r="E32" s="210">
        <f t="array" ref="E32">'Grid Reliability'!K30</f>
        <v>1883.4</v>
      </c>
      <c r="F32" s="213">
        <f t="array" ref="F32">'Current Rate of Motorization'!B30</f>
        <v>436.1532178</v>
      </c>
      <c r="G32" s="215">
        <f t="array" ref="G32">'EV Charging Infrastructure'!B30</f>
        <v>10</v>
      </c>
      <c r="H32" s="448" t="str">
        <f t="array" ref="H32">'Electricity Regulatory Index'!C30</f>
        <v>Not Found</v>
      </c>
      <c r="I32" s="218" t="str">
        <f t="array" ref="I32">' Utility Cost Recovery'!B30</f>
        <v>Not Found</v>
      </c>
      <c r="J32" s="453">
        <f t="array" ref="J32">'Relative Affordability'!F30</f>
        <v>3.411352588</v>
      </c>
      <c r="K32" s="284" t="str">
        <f t="array" ref="K32">'Access to Finance'!C30</f>
        <v>Not Found</v>
      </c>
      <c r="L32" s="232">
        <f t="array" ref="L32">'Electricity Generated from Clea'!F30</f>
        <v>0.000249840043</v>
      </c>
      <c r="M32" s="234">
        <f t="array" ref="M32">'CO2 from Transportation'!E30</f>
        <v>0.4267302359</v>
      </c>
      <c r="N32" s="237">
        <f t="array" ref="N32">'Urban Air Quality'!I30</f>
        <v>194.2927957</v>
      </c>
      <c r="O32" s="234">
        <f t="array" ref="O32">'Fossil Fuel Import Dependence'!G30</f>
        <v>1.097227289</v>
      </c>
      <c r="P32" s="234">
        <f t="array" ref="P32">'Fossil Fuel Subsidy Burden'!E30</f>
        <v>0.0371565727</v>
      </c>
      <c r="Q32" s="250">
        <f t="array" ref="Q32">'Utility Revenue Potential'!J30</f>
        <v>567908540.7</v>
      </c>
      <c r="R32" s="267">
        <f t="array" ref="R32">'Projected Rate of Motorization '!C30</f>
        <v>342.8814933</v>
      </c>
      <c r="S32" s="268"/>
      <c r="T32" s="268"/>
      <c r="U32" s="268"/>
      <c r="V32" s="268"/>
      <c r="W32" s="268"/>
      <c r="X32" s="268"/>
      <c r="Y32" s="268"/>
      <c r="Z32" s="268"/>
      <c r="AA32" s="268"/>
      <c r="AB32" s="268"/>
      <c r="AC32" s="268"/>
      <c r="AD32" s="268"/>
    </row>
    <row r="33">
      <c r="A33" s="22" t="s">
        <v>336</v>
      </c>
      <c r="B33" s="206" t="str">
        <f>IF(countif('EV National Targets'!A:A,A33)&gt;0, "1", "0")</f>
        <v>0</v>
      </c>
      <c r="C33" s="208" t="str">
        <f>IF(countif('EV Incentives'!A:A,A33)&gt;0, "1", "0")</f>
        <v>1</v>
      </c>
      <c r="D33" s="209">
        <f t="array" ref="D33">'Additional Generation For 30% E'!C31+1</f>
        <v>1.335152261</v>
      </c>
      <c r="E33" s="302">
        <f t="array" ref="E33">'Grid Reliability'!F31</f>
        <v>294.84</v>
      </c>
      <c r="F33" s="213">
        <f t="array" ref="F33">'Current Rate of Motorization'!B31</f>
        <v>9.292586788</v>
      </c>
      <c r="G33" s="215">
        <f t="array" ref="G33">'EV Charging Infrastructure'!B31</f>
        <v>2</v>
      </c>
      <c r="H33" s="217">
        <f t="array" ref="H33">'Electricity Regulatory Index'!C31</f>
        <v>0.329</v>
      </c>
      <c r="I33" s="281">
        <f t="array" ref="I33">' Utility Cost Recovery'!B31</f>
        <v>0.663049268</v>
      </c>
      <c r="J33" s="213">
        <f t="array" ref="J33">'Relative Affordability'!F31</f>
        <v>0.1935474015</v>
      </c>
      <c r="K33" s="358">
        <f t="array" ref="K33">'Access to Finance'!C31</f>
        <v>0.09</v>
      </c>
      <c r="L33" s="232">
        <f t="array" ref="L33">'Electricity Generated from Clea'!F31</f>
        <v>0.3551955908</v>
      </c>
      <c r="M33" s="234">
        <f t="array" ref="M33">'CO2 from Transportation'!E31</f>
        <v>0.4403886652</v>
      </c>
      <c r="N33" s="237">
        <f t="array" ref="N33">'Urban Air Quality'!I31</f>
        <v>187.9587219</v>
      </c>
      <c r="O33" s="234">
        <f t="array" ref="O33">'Fossil Fuel Import Dependence'!G31</f>
        <v>0.7556008147</v>
      </c>
      <c r="P33" s="234">
        <f t="array" ref="P33">'Fossil Fuel Subsidy Burden'!E31</f>
        <v>0.00653714713</v>
      </c>
      <c r="Q33" s="250">
        <f t="array" ref="Q33">'Utility Revenue Potential'!J31</f>
        <v>68748690.73</v>
      </c>
      <c r="R33" s="267">
        <f t="array" ref="R33">'Projected Rate of Motorization '!C31</f>
        <v>40.53937307</v>
      </c>
      <c r="S33" s="268"/>
      <c r="T33" s="268"/>
      <c r="U33" s="268"/>
      <c r="V33" s="268"/>
      <c r="W33" s="268"/>
      <c r="X33" s="268"/>
      <c r="Y33" s="268"/>
      <c r="Z33" s="268"/>
      <c r="AA33" s="268"/>
      <c r="AB33" s="268"/>
      <c r="AC33" s="268"/>
      <c r="AD33" s="268"/>
    </row>
    <row r="34">
      <c r="A34" s="22" t="s">
        <v>343</v>
      </c>
      <c r="B34" s="206" t="str">
        <f>IF(countif('EV National Targets'!A:A,A34)&gt;0, "1", "0")</f>
        <v>0</v>
      </c>
      <c r="C34" s="208" t="str">
        <f>IF(countif('EV Incentives'!A:A,A34)&gt;0, "1", "0")</f>
        <v>1</v>
      </c>
      <c r="D34" s="209">
        <f t="array" ref="D34">'Additional Generation For 30% E'!C32+1</f>
        <v>1.156827024</v>
      </c>
      <c r="E34" s="302">
        <f t="array" ref="E34">'Grid Reliability'!F32</f>
        <v>345.72</v>
      </c>
      <c r="F34" s="213">
        <f t="array" ref="F34">'Current Rate of Motorization'!B32</f>
        <v>16.7149997</v>
      </c>
      <c r="G34" s="303" t="str">
        <f t="array" ref="G34">'EV Charging Infrastructure'!B32</f>
        <v>Not Found</v>
      </c>
      <c r="H34" s="217">
        <f t="array" ref="H34">'Electricity Regulatory Index'!C32</f>
        <v>0.479</v>
      </c>
      <c r="I34" s="281">
        <f t="array" ref="I34">' Utility Cost Recovery'!B32</f>
        <v>0.924444204</v>
      </c>
      <c r="J34" s="213">
        <f t="array" ref="J34">'Relative Affordability'!F32</f>
        <v>0.2306965301</v>
      </c>
      <c r="K34" s="224">
        <f t="array" ref="K34">'Access to Finance'!C32</f>
        <v>0.1</v>
      </c>
      <c r="L34" s="232">
        <f t="array" ref="L34">'Electricity Generated from Clea'!F32</f>
        <v>0.8595736841</v>
      </c>
      <c r="M34" s="234">
        <f t="array" ref="M34">'CO2 from Transportation'!E32</f>
        <v>0.7530390691</v>
      </c>
      <c r="N34" s="237">
        <f t="array" ref="N34">'Urban Air Quality'!I32</f>
        <v>229.7960396</v>
      </c>
      <c r="O34" s="234">
        <f t="array" ref="O34">'Fossil Fuel Import Dependence'!G32</f>
        <v>0.7423312883</v>
      </c>
      <c r="P34" s="234">
        <f t="array" ref="P34">'Fossil Fuel Subsidy Burden'!E32</f>
        <v>0</v>
      </c>
      <c r="Q34" s="250">
        <f t="array" ref="Q34">'Utility Revenue Potential'!J32</f>
        <v>32168710.43</v>
      </c>
      <c r="R34" s="267">
        <f t="array" ref="R34">'Projected Rate of Motorization '!C32</f>
        <v>46.35163324</v>
      </c>
      <c r="S34" s="268"/>
      <c r="T34" s="268"/>
      <c r="U34" s="268"/>
      <c r="V34" s="268"/>
      <c r="W34" s="268"/>
      <c r="X34" s="268"/>
      <c r="Y34" s="268"/>
      <c r="Z34" s="268"/>
      <c r="AA34" s="268"/>
      <c r="AB34" s="268"/>
      <c r="AC34" s="268"/>
      <c r="AD34" s="268"/>
    </row>
    <row r="35">
      <c r="A35" s="22" t="s">
        <v>399</v>
      </c>
      <c r="B35" s="206" t="str">
        <f>IF(countif('EV National Targets'!A:A,A35)&gt;0, "1", "0")</f>
        <v>0</v>
      </c>
      <c r="C35" s="208" t="str">
        <f>IF(countif('EV Incentives'!A:A,A35)&gt;0, "1", "0")</f>
        <v>0</v>
      </c>
      <c r="D35" s="209">
        <f t="array" ref="D35">'Additional Generation For 30% E'!C33+1</f>
        <v>1.223156161</v>
      </c>
      <c r="E35" s="302">
        <f t="array" ref="E35">'Grid Reliability'!F33</f>
        <v>257.04</v>
      </c>
      <c r="F35" s="213">
        <f t="array" ref="F35">'Current Rate of Motorization'!B33</f>
        <v>18.41406674</v>
      </c>
      <c r="G35" s="215">
        <f t="array" ref="G35">'EV Charging Infrastructure'!B33</f>
        <v>2</v>
      </c>
      <c r="H35" s="217">
        <f t="array" ref="H35">'Electricity Regulatory Index'!C33</f>
        <v>0.45</v>
      </c>
      <c r="I35" s="281">
        <f t="array" ref="I35">' Utility Cost Recovery'!B33</f>
        <v>0.833038212</v>
      </c>
      <c r="J35" s="213">
        <f t="array" ref="J35">'Relative Affordability'!F33</f>
        <v>0.2819714071</v>
      </c>
      <c r="K35" s="440">
        <f t="array" ref="K35">'Access to Finance'!C33</f>
        <v>0.13</v>
      </c>
      <c r="L35" s="232">
        <f t="array" ref="L35">'Electricity Generated from Clea'!F33</f>
        <v>0.3225882027</v>
      </c>
      <c r="M35" s="234">
        <f t="array" ref="M35">'CO2 from Transportation'!E33</f>
        <v>0.4200028015</v>
      </c>
      <c r="N35" s="237">
        <f t="array" ref="N35">'Urban Air Quality'!I33</f>
        <v>251.7394019</v>
      </c>
      <c r="O35" s="234">
        <f t="array" ref="O35">'Fossil Fuel Import Dependence'!G33</f>
        <v>0.7755331089</v>
      </c>
      <c r="P35" s="234">
        <f t="array" ref="P35">'Fossil Fuel Subsidy Burden'!E33</f>
        <v>0</v>
      </c>
      <c r="Q35" s="250">
        <f t="array" ref="Q35">'Utility Revenue Potential'!J33</f>
        <v>117951938.2</v>
      </c>
      <c r="R35" s="267">
        <f t="array" ref="R35">'Projected Rate of Motorization '!C33</f>
        <v>57.34857453</v>
      </c>
      <c r="S35" s="268"/>
      <c r="T35" s="268"/>
      <c r="U35" s="268"/>
      <c r="V35" s="268"/>
      <c r="W35" s="268"/>
      <c r="X35" s="268"/>
      <c r="Y35" s="268"/>
      <c r="Z35" s="268"/>
      <c r="AA35" s="268"/>
      <c r="AB35" s="268"/>
      <c r="AC35" s="268"/>
      <c r="AD35" s="268"/>
    </row>
    <row r="36">
      <c r="A36" s="22" t="s">
        <v>401</v>
      </c>
      <c r="B36" s="206" t="str">
        <f>IF(countif('EV National Targets'!A:A,A36)&gt;0, "1", "0")</f>
        <v>0</v>
      </c>
      <c r="C36" s="208" t="str">
        <f>IF(countif('EV Incentives'!A:A,A36)&gt;0, "1", "0")</f>
        <v>0</v>
      </c>
      <c r="D36" s="209">
        <f t="array" ref="D36">'Additional Generation For 30% E'!C34+1</f>
        <v>1.172436199</v>
      </c>
      <c r="E36" s="302">
        <f t="array" ref="E36">'Grid Reliability'!F34</f>
        <v>165.36</v>
      </c>
      <c r="F36" s="213">
        <f t="array" ref="F36">'Current Rate of Motorization'!B34</f>
        <v>10.11873471</v>
      </c>
      <c r="G36" s="215">
        <f t="array" ref="G36">'EV Charging Infrastructure'!B34</f>
        <v>5</v>
      </c>
      <c r="H36" s="448">
        <f t="array" ref="H36">'Electricity Regulatory Index'!C34</f>
        <v>0.226</v>
      </c>
      <c r="I36" s="281">
        <f t="array" ref="I36">' Utility Cost Recovery'!B34</f>
        <v>0.464326049</v>
      </c>
      <c r="J36" s="213">
        <f t="array" ref="J36">'Relative Affordability'!F34</f>
        <v>0.3697779559</v>
      </c>
      <c r="K36" s="224">
        <f t="array" ref="K36">'Access to Finance'!C34</f>
        <v>0.12</v>
      </c>
      <c r="L36" s="232">
        <f t="array" ref="L36">'Electricity Generated from Clea'!F34</f>
        <v>0.2659654992</v>
      </c>
      <c r="M36" s="234">
        <f t="array" ref="M36">'CO2 from Transportation'!E34</f>
        <v>0.442333186</v>
      </c>
      <c r="N36" s="237">
        <f t="array" ref="N36">'Urban Air Quality'!I34</f>
        <v>188.3925822</v>
      </c>
      <c r="O36" s="234">
        <f t="array" ref="O36">'Fossil Fuel Import Dependence'!G34</f>
        <v>0.6069730586</v>
      </c>
      <c r="P36" s="234">
        <f t="array" ref="P36">'Fossil Fuel Subsidy Burden'!E34</f>
        <v>0</v>
      </c>
      <c r="Q36" s="250">
        <f t="array" ref="Q36">'Utility Revenue Potential'!J34</f>
        <v>52401519.25</v>
      </c>
      <c r="R36" s="267">
        <f t="array" ref="R36">'Projected Rate of Motorization '!C34</f>
        <v>82.68596041</v>
      </c>
      <c r="S36" s="268"/>
      <c r="T36" s="268"/>
      <c r="U36" s="268"/>
      <c r="V36" s="268"/>
      <c r="W36" s="268"/>
      <c r="X36" s="268"/>
      <c r="Y36" s="268"/>
      <c r="Z36" s="268"/>
      <c r="AA36" s="268"/>
      <c r="AB36" s="268"/>
      <c r="AC36" s="268"/>
      <c r="AD36" s="268"/>
    </row>
    <row r="37">
      <c r="A37" s="22" t="s">
        <v>354</v>
      </c>
      <c r="B37" s="206" t="str">
        <f>IF(countif('EV National Targets'!A:A,A37)&gt;0, "1", "0")</f>
        <v>0</v>
      </c>
      <c r="C37" s="208" t="str">
        <f>IF(countif('EV Incentives'!A:A,A37)&gt;0, "1", "0")</f>
        <v>1</v>
      </c>
      <c r="D37" s="209">
        <f t="array" ref="D37">'Additional Generation For 30% E'!C35+1</f>
        <v>1.12470712</v>
      </c>
      <c r="E37" s="302">
        <f t="array" ref="E37">'Grid Reliability'!F35</f>
        <v>48</v>
      </c>
      <c r="F37" s="213">
        <f t="array" ref="F37">'Current Rate of Motorization'!B35</f>
        <v>401.7228132</v>
      </c>
      <c r="G37" s="215">
        <f t="array" ref="G37">'EV Charging Infrastructure'!B35</f>
        <v>31</v>
      </c>
      <c r="H37" s="217">
        <f t="array" ref="H37">'Electricity Regulatory Index'!C35</f>
        <v>0.32</v>
      </c>
      <c r="I37" s="281">
        <f t="array" ref="I37">' Utility Cost Recovery'!B35</f>
        <v>1.05516049</v>
      </c>
      <c r="J37" s="213">
        <f t="array" ref="J37">'Relative Affordability'!F35</f>
        <v>0.2024660483</v>
      </c>
      <c r="K37" s="440">
        <f t="array" ref="K37">'Access to Finance'!C35</f>
        <v>0.2</v>
      </c>
      <c r="L37" s="232">
        <f t="array" ref="L37">'Electricity Generated from Clea'!F35</f>
        <v>0.2392074153</v>
      </c>
      <c r="M37" s="234">
        <f t="array" ref="M37">'CO2 from Transportation'!E35</f>
        <v>0.2721090264</v>
      </c>
      <c r="N37" s="237">
        <f t="array" ref="N37">'Urban Air Quality'!I35</f>
        <v>192.9817922</v>
      </c>
      <c r="O37" s="234">
        <f t="array" ref="O37">'Fossil Fuel Import Dependence'!G35</f>
        <v>0.7931873479</v>
      </c>
      <c r="P37" s="234">
        <f t="array" ref="P37">'Fossil Fuel Subsidy Burden'!E35</f>
        <v>0</v>
      </c>
      <c r="Q37" s="250">
        <f t="array" ref="Q37">'Utility Revenue Potential'!J35</f>
        <v>42822877.35</v>
      </c>
      <c r="R37" s="267">
        <f t="array" ref="R37">'Projected Rate of Motorization '!C35</f>
        <v>642.6585278</v>
      </c>
      <c r="S37" s="268"/>
      <c r="T37" s="268"/>
      <c r="U37" s="268"/>
      <c r="V37" s="268"/>
      <c r="W37" s="268"/>
      <c r="X37" s="268"/>
      <c r="Y37" s="268"/>
      <c r="Z37" s="268"/>
      <c r="AA37" s="268"/>
      <c r="AB37" s="268"/>
      <c r="AC37" s="268"/>
      <c r="AD37" s="268"/>
    </row>
    <row r="38">
      <c r="A38" s="22" t="s">
        <v>290</v>
      </c>
      <c r="B38" s="206" t="str">
        <f>IF(countif('EV National Targets'!A:A,A38)&gt;0, "1", "0")</f>
        <v>1</v>
      </c>
      <c r="C38" s="208" t="str">
        <f>IF(countif('EV Incentives'!A:A,A38)&gt;0, "1", "0")</f>
        <v>1</v>
      </c>
      <c r="D38" s="209">
        <f t="array" ref="D38">'Additional Generation For 30% E'!C36+1</f>
        <v>1.139720146</v>
      </c>
      <c r="E38" s="302">
        <f t="array" ref="E38">'Grid Reliability'!F36</f>
        <v>0.72</v>
      </c>
      <c r="F38" s="213">
        <f t="array" ref="F38">'Current Rate of Motorization'!B36</f>
        <v>104.7900514</v>
      </c>
      <c r="G38" s="503" t="s">
        <v>491</v>
      </c>
      <c r="H38" s="448" t="str">
        <f t="array" ref="H38">'Electricity Regulatory Index'!C36</f>
        <v>Not Found</v>
      </c>
      <c r="I38" s="281">
        <f t="array" ref="I38">' Utility Cost Recovery'!B36</f>
        <v>1.1086</v>
      </c>
      <c r="J38" s="213">
        <f t="array" ref="J38">'Relative Affordability'!F36</f>
        <v>0.1846100131</v>
      </c>
      <c r="K38" s="224">
        <f t="array" ref="K38">'Access to Finance'!C36</f>
        <v>0.05</v>
      </c>
      <c r="L38" s="232">
        <f t="array" ref="L38">'Electricity Generated from Clea'!F36</f>
        <v>0.1987963621</v>
      </c>
      <c r="M38" s="234">
        <f t="array" ref="M38">'CO2 from Transportation'!E36</f>
        <v>0.2673956885</v>
      </c>
      <c r="N38" s="237">
        <f t="array" ref="N38">'Urban Air Quality'!I36</f>
        <v>171.0312968</v>
      </c>
      <c r="O38" s="234">
        <f t="array" ref="O38">'Fossil Fuel Import Dependence'!G36</f>
        <v>0.841564084</v>
      </c>
      <c r="P38" s="234">
        <f t="array" ref="P38">'Fossil Fuel Subsidy Burden'!E36</f>
        <v>0</v>
      </c>
      <c r="Q38" s="250">
        <f t="array" ref="Q38">'Utility Revenue Potential'!J36</f>
        <v>609458780.9</v>
      </c>
      <c r="R38" s="267">
        <f t="array" ref="R38">'Projected Rate of Motorization '!C36</f>
        <v>223.2536967</v>
      </c>
      <c r="S38" s="268"/>
      <c r="T38" s="268"/>
      <c r="U38" s="268"/>
      <c r="V38" s="268"/>
      <c r="W38" s="268"/>
      <c r="X38" s="268"/>
      <c r="Y38" s="268"/>
      <c r="Z38" s="268"/>
      <c r="AA38" s="268"/>
      <c r="AB38" s="268"/>
      <c r="AC38" s="268"/>
      <c r="AD38" s="268"/>
    </row>
    <row r="39">
      <c r="A39" s="22" t="s">
        <v>291</v>
      </c>
      <c r="B39" s="206" t="str">
        <f>IF(countif('EV National Targets'!A:A,A39)&gt;0, "1", "0")</f>
        <v>1</v>
      </c>
      <c r="C39" s="208" t="str">
        <f>IF(countif('EV Incentives'!A:A,A39)&gt;0, "1", "0")</f>
        <v>0</v>
      </c>
      <c r="D39" s="209">
        <f t="array" ref="D39">'Additional Generation For 30% E'!C37+1</f>
        <v>1.068090371</v>
      </c>
      <c r="E39" s="302">
        <f t="array" ref="E39">'Grid Reliability'!F37</f>
        <v>103.68</v>
      </c>
      <c r="F39" s="213">
        <f t="array" ref="F39">'Current Rate of Motorization'!B37</f>
        <v>25.23294195</v>
      </c>
      <c r="G39" s="303" t="str">
        <f t="array" ref="G39">'EV Charging Infrastructure'!B37</f>
        <v>Not Found</v>
      </c>
      <c r="H39" s="217">
        <f t="array" ref="H39">'Electricity Regulatory Index'!C37</f>
        <v>0.372</v>
      </c>
      <c r="I39" s="281">
        <f t="array" ref="I39">' Utility Cost Recovery'!B37</f>
        <v>1.069415794</v>
      </c>
      <c r="J39" s="213">
        <f t="array" ref="J39">'Relative Affordability'!F37</f>
        <v>0.1528483183</v>
      </c>
      <c r="K39" s="440">
        <f t="array" ref="K39">'Access to Finance'!C37</f>
        <v>0.15</v>
      </c>
      <c r="L39" s="232">
        <f t="array" ref="L39">'Electricity Generated from Clea'!F37</f>
        <v>0.8132513414</v>
      </c>
      <c r="M39" s="234">
        <f t="array" ref="M39">'CO2 from Transportation'!E37</f>
        <v>0.5601552614</v>
      </c>
      <c r="N39" s="237">
        <f t="array" ref="N39">'Urban Air Quality'!I37</f>
        <v>235.892007</v>
      </c>
      <c r="O39" s="234">
        <f t="array" ref="O39">'Fossil Fuel Import Dependence'!G37</f>
        <v>0.9319502075</v>
      </c>
      <c r="P39" s="234">
        <f t="array" ref="P39">'Fossil Fuel Subsidy Burden'!E37</f>
        <v>0</v>
      </c>
      <c r="Q39" s="250">
        <f t="array" ref="Q39">'Utility Revenue Potential'!J37</f>
        <v>108442032.9</v>
      </c>
      <c r="R39" s="267">
        <f t="array" ref="R39">'Projected Rate of Motorization '!C37</f>
        <v>74.91191955</v>
      </c>
      <c r="S39" s="268"/>
      <c r="T39" s="268"/>
      <c r="U39" s="268"/>
      <c r="V39" s="268"/>
      <c r="W39" s="268"/>
      <c r="X39" s="268"/>
      <c r="Y39" s="268"/>
      <c r="Z39" s="268"/>
      <c r="AA39" s="268"/>
      <c r="AB39" s="268"/>
      <c r="AC39" s="268"/>
      <c r="AD39" s="268"/>
    </row>
    <row r="40">
      <c r="A40" s="22" t="s">
        <v>296</v>
      </c>
      <c r="B40" s="206" t="str">
        <f>IF(countif('EV National Targets'!A:A,A40)&gt;0, "1", "0")</f>
        <v>1</v>
      </c>
      <c r="C40" s="208" t="str">
        <f>IF(countif('EV Incentives'!A:A,A40)&gt;0, "1", "0")</f>
        <v>0</v>
      </c>
      <c r="D40" s="209">
        <f t="array" ref="D40">'Additional Generation For 30% E'!C38+1</f>
        <v>1.479886445</v>
      </c>
      <c r="E40" s="302">
        <f t="array" ref="E40">'Grid Reliability'!F38</f>
        <v>41.76</v>
      </c>
      <c r="F40" s="213">
        <f t="array" ref="F40">'Current Rate of Motorization'!B38</f>
        <v>152.9402346</v>
      </c>
      <c r="G40" s="215">
        <f t="array" ref="G40">'EV Charging Infrastructure'!B38</f>
        <v>6</v>
      </c>
      <c r="H40" s="217">
        <f t="array" ref="H40">'Electricity Regulatory Index'!C38</f>
        <v>0.618</v>
      </c>
      <c r="I40" s="281">
        <f t="array" ref="I40">' Utility Cost Recovery'!B38</f>
        <v>1.06101749</v>
      </c>
      <c r="J40" s="213">
        <f t="array" ref="J40">'Relative Affordability'!F38</f>
        <v>0.2874538215</v>
      </c>
      <c r="K40" s="224">
        <f t="array" ref="K40">'Access to Finance'!C38</f>
        <v>0.23</v>
      </c>
      <c r="L40" s="232">
        <f t="array" ref="L40">'Electricity Generated from Clea'!F38</f>
        <v>0.9558692157</v>
      </c>
      <c r="M40" s="234">
        <f t="array" ref="M40">'CO2 from Transportation'!E38</f>
        <v>0.5345119536</v>
      </c>
      <c r="N40" s="237">
        <f t="array" ref="N40">'Urban Air Quality'!I38</f>
        <v>173.3955869</v>
      </c>
      <c r="O40" s="234">
        <f t="array" ref="O40">'Fossil Fuel Import Dependence'!G38</f>
        <v>0.5679845709</v>
      </c>
      <c r="P40" s="234">
        <f t="array" ref="P40">'Fossil Fuel Subsidy Burden'!E38</f>
        <v>0</v>
      </c>
      <c r="Q40" s="250">
        <f t="array" ref="Q40">'Utility Revenue Potential'!J38</f>
        <v>111304708.5</v>
      </c>
      <c r="R40" s="267">
        <f t="array" ref="R40">'Projected Rate of Motorization '!C38</f>
        <v>205.3158946</v>
      </c>
      <c r="S40" s="268"/>
      <c r="T40" s="268"/>
      <c r="U40" s="268"/>
      <c r="V40" s="268"/>
      <c r="W40" s="268"/>
      <c r="X40" s="268"/>
      <c r="Y40" s="268"/>
      <c r="Z40" s="268"/>
      <c r="AA40" s="268"/>
      <c r="AB40" s="268"/>
      <c r="AC40" s="268"/>
      <c r="AD40" s="268"/>
    </row>
    <row r="41">
      <c r="A41" s="22" t="s">
        <v>407</v>
      </c>
      <c r="B41" s="206" t="str">
        <f>IF(countif('EV National Targets'!A:A,A41)&gt;0, "1", "0")</f>
        <v>0</v>
      </c>
      <c r="C41" s="208" t="str">
        <f>IF(countif('EV Incentives'!A:A,A41)&gt;0, "1", "0")</f>
        <v>0</v>
      </c>
      <c r="D41" s="209">
        <f t="array" ref="D41">'Additional Generation For 30% E'!C39+1</f>
        <v>1.728668797</v>
      </c>
      <c r="E41" s="302">
        <f t="array" ref="E41">'Grid Reliability'!F39</f>
        <v>1372.8</v>
      </c>
      <c r="F41" s="213">
        <f t="array" ref="F41">'Current Rate of Motorization'!B39</f>
        <v>20.86441842</v>
      </c>
      <c r="G41" s="215">
        <f t="array" ref="G41">'EV Charging Infrastructure'!B39</f>
        <v>1</v>
      </c>
      <c r="H41" s="217">
        <f t="array" ref="H41">'Electricity Regulatory Index'!C39</f>
        <v>0.478</v>
      </c>
      <c r="I41" s="281">
        <f t="array" ref="I41">' Utility Cost Recovery'!B39</f>
        <v>1.020963214</v>
      </c>
      <c r="J41" s="213">
        <f t="array" ref="J41">'Relative Affordability'!F39</f>
        <v>0.6996763536</v>
      </c>
      <c r="K41" s="440">
        <f t="array" ref="K41">'Access to Finance'!C39</f>
        <v>0.04</v>
      </c>
      <c r="L41" s="232">
        <f t="array" ref="L41">'Electricity Generated from Clea'!F39</f>
        <v>0.1020290472</v>
      </c>
      <c r="M41" s="234">
        <f t="array" ref="M41">'CO2 from Transportation'!E39</f>
        <v>0.5356922639</v>
      </c>
      <c r="N41" s="237">
        <f t="array" ref="N41">'Urban Air Quality'!I39</f>
        <v>223.3034412</v>
      </c>
      <c r="O41" s="234">
        <f t="array" ref="O41">'Fossil Fuel Import Dependence'!G39</f>
        <v>-1.24</v>
      </c>
      <c r="P41" s="234">
        <f t="array" ref="P41">'Fossil Fuel Subsidy Burden'!E39</f>
        <v>0</v>
      </c>
      <c r="Q41" s="250">
        <f t="array" ref="Q41">'Utility Revenue Potential'!J39</f>
        <v>77530797.2</v>
      </c>
      <c r="R41" s="267">
        <f t="array" ref="R41">'Projected Rate of Motorization '!C39</f>
        <v>45.31223573</v>
      </c>
      <c r="S41" s="268"/>
      <c r="T41" s="268"/>
      <c r="U41" s="268"/>
      <c r="V41" s="268"/>
      <c r="W41" s="268"/>
      <c r="X41" s="268"/>
      <c r="Y41" s="268"/>
      <c r="Z41" s="268"/>
      <c r="AA41" s="268"/>
      <c r="AB41" s="268"/>
      <c r="AC41" s="268"/>
      <c r="AD41" s="268"/>
    </row>
    <row r="42">
      <c r="A42" s="22" t="s">
        <v>299</v>
      </c>
      <c r="B42" s="206" t="str">
        <f>IF(countif('EV National Targets'!A:A,A42)&gt;0, "1", "0")</f>
        <v>1</v>
      </c>
      <c r="C42" s="208" t="str">
        <f>IF(countif('EV Incentives'!A:A,A42)&gt;0, "1", "0")</f>
        <v>1</v>
      </c>
      <c r="D42" s="209">
        <f t="array" ref="D42">'Additional Generation For 30% E'!C40+1</f>
        <v>1.444268976</v>
      </c>
      <c r="E42" s="302">
        <f t="array" ref="E42">'Grid Reliability'!F40</f>
        <v>4565.76</v>
      </c>
      <c r="F42" s="213">
        <f t="array" ref="F42">'Current Rate of Motorization'!B40</f>
        <v>62.19121145</v>
      </c>
      <c r="G42" s="215">
        <f t="array" ref="G42">'EV Charging Infrastructure'!B40</f>
        <v>2</v>
      </c>
      <c r="H42" s="217">
        <f t="array" ref="H42">'Electricity Regulatory Index'!C40</f>
        <v>0.588</v>
      </c>
      <c r="I42" s="281">
        <f t="array" ref="I42">' Utility Cost Recovery'!B40</f>
        <v>0.9611</v>
      </c>
      <c r="J42" s="213">
        <f t="array" ref="J42">'Relative Affordability'!F40</f>
        <v>0.4680860186</v>
      </c>
      <c r="K42" s="224">
        <f t="array" ref="K42">'Access to Finance'!C40</f>
        <v>0.07</v>
      </c>
      <c r="L42" s="232">
        <f t="array" ref="L42">'Electricity Generated from Clea'!F40</f>
        <v>0.2564063586</v>
      </c>
      <c r="M42" s="234">
        <f t="array" ref="M42">'CO2 from Transportation'!E40</f>
        <v>0.5785988513</v>
      </c>
      <c r="N42" s="237">
        <f t="array" ref="N42">'Urban Air Quality'!I40</f>
        <v>296.1905199</v>
      </c>
      <c r="O42" s="234">
        <f t="array" ref="O42">'Fossil Fuel Import Dependence'!G40</f>
        <v>0.7434235977</v>
      </c>
      <c r="P42" s="234">
        <f t="array" ref="P42">'Fossil Fuel Subsidy Burden'!E40</f>
        <v>0.00761703902</v>
      </c>
      <c r="Q42" s="250">
        <f t="array" ref="Q42">'Utility Revenue Potential'!J40</f>
        <v>2026485219</v>
      </c>
      <c r="R42" s="267">
        <f t="array" ref="R42">'Projected Rate of Motorization '!C40</f>
        <v>102.8622315</v>
      </c>
      <c r="S42" s="268"/>
      <c r="T42" s="268"/>
      <c r="U42" s="268"/>
      <c r="V42" s="268"/>
      <c r="W42" s="268"/>
      <c r="X42" s="268"/>
      <c r="Y42" s="268"/>
      <c r="Z42" s="268"/>
      <c r="AA42" s="268"/>
      <c r="AB42" s="268"/>
      <c r="AC42" s="268"/>
      <c r="AD42" s="268"/>
    </row>
    <row r="43">
      <c r="A43" s="22" t="s">
        <v>302</v>
      </c>
      <c r="B43" s="206" t="str">
        <f>IF(countif('EV National Targets'!A:A,A43)&gt;0, "1", "0")</f>
        <v>1</v>
      </c>
      <c r="C43" s="208" t="str">
        <f>IF(countif('EV Incentives'!A:A,A43)&gt;0, "1", "0")</f>
        <v>1</v>
      </c>
      <c r="D43" s="209">
        <f t="array" ref="D43">'Additional Generation For 30% E'!C41+1</f>
        <v>1.078061074</v>
      </c>
      <c r="E43" s="302">
        <f t="array" ref="E43">'Grid Reliability'!F41</f>
        <v>97.2</v>
      </c>
      <c r="F43" s="213">
        <f t="array" ref="F43">'Current Rate of Motorization'!B41</f>
        <v>15.2162884</v>
      </c>
      <c r="G43" s="215">
        <f t="array" ref="G43">'EV Charging Infrastructure'!B41</f>
        <v>4</v>
      </c>
      <c r="H43" s="217">
        <f t="array" ref="H43">'Electricity Regulatory Index'!C41</f>
        <v>0.605</v>
      </c>
      <c r="I43" s="281">
        <f t="array" ref="I43">' Utility Cost Recovery'!B41</f>
        <v>0.891224733</v>
      </c>
      <c r="J43" s="213">
        <f t="array" ref="J43">'Relative Affordability'!F41</f>
        <v>0.1518346985</v>
      </c>
      <c r="K43" s="284" t="str">
        <f t="array" ref="K43">'Access to Finance'!C41</f>
        <v>Not Found</v>
      </c>
      <c r="L43" s="232">
        <f t="array" ref="L43">'Electricity Generated from Clea'!F41</f>
        <v>0.5943945319</v>
      </c>
      <c r="M43" s="234">
        <f t="array" ref="M43">'CO2 from Transportation'!E41</f>
        <v>0.4712802207</v>
      </c>
      <c r="N43" s="237">
        <f t="array" ref="N43">'Urban Air Quality'!I41</f>
        <v>223.7406533</v>
      </c>
      <c r="O43" s="234">
        <f t="array" ref="O43">'Fossil Fuel Import Dependence'!G41</f>
        <v>0.7401574803</v>
      </c>
      <c r="P43" s="234">
        <f t="array" ref="P43">'Fossil Fuel Subsidy Burden'!E41</f>
        <v>0</v>
      </c>
      <c r="Q43" s="250">
        <f t="array" ref="Q43">'Utility Revenue Potential'!J41</f>
        <v>5403906.673</v>
      </c>
      <c r="R43" s="267">
        <f t="array" ref="R43">'Projected Rate of Motorization '!C41</f>
        <v>126.4059601</v>
      </c>
      <c r="S43" s="268"/>
      <c r="T43" s="268"/>
      <c r="U43" s="268"/>
      <c r="V43" s="268"/>
      <c r="W43" s="268"/>
      <c r="X43" s="268"/>
      <c r="Y43" s="268"/>
      <c r="Z43" s="268"/>
      <c r="AA43" s="268"/>
      <c r="AB43" s="268"/>
      <c r="AC43" s="268"/>
      <c r="AD43" s="268"/>
    </row>
    <row r="44">
      <c r="A44" s="22" t="s">
        <v>410</v>
      </c>
      <c r="B44" s="206" t="str">
        <f>IF(countif('EV National Targets'!A:A,A44)&gt;0, "1", "0")</f>
        <v>0</v>
      </c>
      <c r="C44" s="208" t="str">
        <f>IF(countif('EV Incentives'!A:A,A44)&gt;0, "1", "0")</f>
        <v>0</v>
      </c>
      <c r="D44" s="209">
        <f t="array" ref="D44">'Additional Generation For 30% E'!C42+1</f>
        <v>1.150795392</v>
      </c>
      <c r="E44" s="443" t="str">
        <f t="array" ref="E44">'Grid Reliability'!F42</f>
        <v>Not Found</v>
      </c>
      <c r="F44" s="213">
        <f t="array" ref="F44">'Current Rate of Motorization'!B42</f>
        <v>166.3962626</v>
      </c>
      <c r="G44" s="303" t="str">
        <f t="array" ref="G44">'EV Charging Infrastructure'!B42</f>
        <v>Not Found</v>
      </c>
      <c r="H44" s="217">
        <f t="array" ref="H44">'Electricity Regulatory Index'!C42</f>
        <v>0.16</v>
      </c>
      <c r="I44" s="281">
        <f t="array" ref="I44">' Utility Cost Recovery'!B42</f>
        <v>0.512028141</v>
      </c>
      <c r="J44" s="213">
        <f t="array" ref="J44">'Relative Affordability'!F42</f>
        <v>0.2796847993</v>
      </c>
      <c r="K44" s="284" t="str">
        <f t="array" ref="K44">'Access to Finance'!C42</f>
        <v>Not Found</v>
      </c>
      <c r="L44" s="232">
        <f t="array" ref="L44">'Electricity Generated from Clea'!F42</f>
        <v>0.09945656931</v>
      </c>
      <c r="M44" s="234">
        <f t="array" ref="M44">'CO2 from Transportation'!E42</f>
        <v>0.2445074415</v>
      </c>
      <c r="N44" s="237">
        <f t="array" ref="N44">'Urban Air Quality'!I42</f>
        <v>286.6564232</v>
      </c>
      <c r="O44" s="234">
        <f t="array" ref="O44">'Fossil Fuel Import Dependence'!G42</f>
        <v>0.3469387755</v>
      </c>
      <c r="P44" s="234">
        <f t="array" ref="P44">'Fossil Fuel Subsidy Burden'!E42</f>
        <v>0</v>
      </c>
      <c r="Q44" s="250">
        <f t="array" ref="Q44">'Utility Revenue Potential'!J42</f>
        <v>2729245.794</v>
      </c>
      <c r="R44" s="267">
        <f t="array" ref="R44">'Projected Rate of Motorization '!C42</f>
        <v>116.211684</v>
      </c>
      <c r="S44" s="268"/>
      <c r="T44" s="268"/>
      <c r="U44" s="268"/>
      <c r="V44" s="268"/>
      <c r="W44" s="268"/>
      <c r="X44" s="268"/>
      <c r="Y44" s="268"/>
      <c r="Z44" s="268"/>
      <c r="AA44" s="268"/>
      <c r="AB44" s="268"/>
      <c r="AC44" s="268"/>
      <c r="AD44" s="268"/>
    </row>
    <row r="45">
      <c r="A45" s="22" t="s">
        <v>411</v>
      </c>
      <c r="B45" s="206" t="str">
        <f>IF(countif('EV National Targets'!A:A,A45)&gt;0, "1", "0")</f>
        <v>0</v>
      </c>
      <c r="C45" s="208" t="str">
        <f>IF(countif('EV Incentives'!A:A,A45)&gt;0, "1", "0")</f>
        <v>0</v>
      </c>
      <c r="D45" s="209">
        <f t="array" ref="D45">'Additional Generation For 30% E'!C43+1</f>
        <v>1.158580624</v>
      </c>
      <c r="E45" s="302">
        <f t="array" ref="E45">'Grid Reliability'!F43</f>
        <v>129.6</v>
      </c>
      <c r="F45" s="213">
        <f t="array" ref="F45">'Current Rate of Motorization'!B43</f>
        <v>34.38768612</v>
      </c>
      <c r="G45" s="215">
        <f t="array" ref="G45">'EV Charging Infrastructure'!B43</f>
        <v>4</v>
      </c>
      <c r="H45" s="217">
        <f t="array" ref="H45">'Electricity Regulatory Index'!C43</f>
        <v>0.71</v>
      </c>
      <c r="I45" s="281">
        <f t="array" ref="I45">' Utility Cost Recovery'!B43</f>
        <v>0.833238998</v>
      </c>
      <c r="J45" s="213">
        <f t="array" ref="J45">'Relative Affordability'!F43</f>
        <v>0.3321006916</v>
      </c>
      <c r="K45" s="440">
        <f t="array" ref="K45">'Access to Finance'!C43</f>
        <v>0.13</v>
      </c>
      <c r="L45" s="232">
        <f t="array" ref="L45">'Electricity Generated from Clea'!F43</f>
        <v>0.2023559955</v>
      </c>
      <c r="M45" s="234">
        <f t="array" ref="M45">'CO2 from Transportation'!E43</f>
        <v>0.359667177</v>
      </c>
      <c r="N45" s="237">
        <f t="array" ref="N45">'Urban Air Quality'!I43</f>
        <v>201.3048603</v>
      </c>
      <c r="O45" s="234">
        <f t="array" ref="O45">'Fossil Fuel Import Dependence'!G43</f>
        <v>2.034642032</v>
      </c>
      <c r="P45" s="234">
        <f t="array" ref="P45">'Fossil Fuel Subsidy Burden'!E43</f>
        <v>0</v>
      </c>
      <c r="Q45" s="250">
        <f t="array" ref="Q45">'Utility Revenue Potential'!J43</f>
        <v>187013986.8</v>
      </c>
      <c r="R45" s="267">
        <f t="array" ref="R45">'Projected Rate of Motorization '!C43</f>
        <v>100.0957555</v>
      </c>
      <c r="S45" s="268"/>
      <c r="T45" s="268"/>
      <c r="U45" s="268"/>
      <c r="V45" s="268"/>
      <c r="W45" s="268"/>
      <c r="X45" s="268"/>
      <c r="Y45" s="268"/>
      <c r="Z45" s="268"/>
      <c r="AA45" s="268"/>
      <c r="AB45" s="268"/>
      <c r="AC45" s="268"/>
      <c r="AD45" s="268"/>
    </row>
    <row r="46">
      <c r="A46" s="22" t="s">
        <v>309</v>
      </c>
      <c r="B46" s="206" t="str">
        <f>IF(countif('EV National Targets'!A:A,A46)&gt;0, "1", "0")</f>
        <v>1</v>
      </c>
      <c r="C46" s="208" t="str">
        <f>IF(countif('EV Incentives'!A:A,A46)&gt;0, "1", "0")</f>
        <v>1</v>
      </c>
      <c r="D46" s="209">
        <f t="array" ref="D46">'Additional Generation For 30% E'!C44+1</f>
        <v>1.113156329</v>
      </c>
      <c r="E46" s="302">
        <f t="array" ref="E46">'Grid Reliability'!F44</f>
        <v>24</v>
      </c>
      <c r="F46" s="213">
        <f t="array" ref="F46">'Current Rate of Motorization'!B44</f>
        <v>243.7339586</v>
      </c>
      <c r="G46" s="303" t="str">
        <f t="array" ref="G46">'EV Charging Infrastructure'!B44</f>
        <v>Not Found</v>
      </c>
      <c r="H46" s="217">
        <f t="array" ref="H46">'Electricity Regulatory Index'!C44</f>
        <v>0.294</v>
      </c>
      <c r="I46" s="281">
        <f t="array" ref="I46">' Utility Cost Recovery'!B44</f>
        <v>1.07602501</v>
      </c>
      <c r="J46" s="213">
        <f t="array" ref="J46">'Relative Affordability'!F44</f>
        <v>0.4804446305</v>
      </c>
      <c r="K46" s="284" t="str">
        <f t="array" ref="K46">'Access to Finance'!C44</f>
        <v>Not Found</v>
      </c>
      <c r="L46" s="232">
        <f t="array" ref="L46">'Electricity Generated from Clea'!F44</f>
        <v>0.1212419353</v>
      </c>
      <c r="M46" s="234">
        <f t="array" ref="M46">'CO2 from Transportation'!E44</f>
        <v>0.2877902121</v>
      </c>
      <c r="N46" s="237">
        <f t="array" ref="N46">'Urban Air Quality'!I44</f>
        <v>191.8300262</v>
      </c>
      <c r="O46" s="234">
        <f t="array" ref="O46">'Fossil Fuel Import Dependence'!G44</f>
        <v>0.2540716612</v>
      </c>
      <c r="P46" s="234">
        <f t="array" ref="P46">'Fossil Fuel Subsidy Burden'!E44</f>
        <v>0</v>
      </c>
      <c r="Q46" s="250">
        <f t="array" ref="Q46">'Utility Revenue Potential'!J44</f>
        <v>21324507.14</v>
      </c>
      <c r="R46" s="267">
        <f t="array" ref="R46">'Projected Rate of Motorization '!C44</f>
        <v>739.2964515</v>
      </c>
      <c r="S46" s="268"/>
      <c r="T46" s="268"/>
      <c r="U46" s="268"/>
      <c r="V46" s="268"/>
      <c r="W46" s="268"/>
      <c r="X46" s="268"/>
      <c r="Y46" s="268"/>
      <c r="Z46" s="268"/>
      <c r="AA46" s="268"/>
      <c r="AB46" s="268"/>
      <c r="AC46" s="268"/>
      <c r="AD46" s="268"/>
    </row>
    <row r="47">
      <c r="A47" s="22" t="s">
        <v>412</v>
      </c>
      <c r="B47" s="206" t="str">
        <f>IF(countif('EV National Targets'!A:A,A47)&gt;0, "1", "0")</f>
        <v>0</v>
      </c>
      <c r="C47" s="208" t="str">
        <f>IF(countif('EV Incentives'!A:A,A47)&gt;0, "1", "0")</f>
        <v>0</v>
      </c>
      <c r="D47" s="209">
        <f t="array" ref="D47">'Additional Generation For 30% E'!C45+1</f>
        <v>2.186410858</v>
      </c>
      <c r="E47" s="302">
        <f t="array" ref="E47">'Grid Reliability'!F45</f>
        <v>427.2</v>
      </c>
      <c r="F47" s="213">
        <f t="array" ref="F47">'Current Rate of Motorization'!B45</f>
        <v>6.156463252</v>
      </c>
      <c r="G47" s="303" t="str">
        <f t="array" ref="G47">'EV Charging Infrastructure'!B45</f>
        <v>Not Found</v>
      </c>
      <c r="H47" s="217">
        <f t="array" ref="H47">'Electricity Regulatory Index'!C45</f>
        <v>0.658</v>
      </c>
      <c r="I47" s="281">
        <f t="array" ref="I47">' Utility Cost Recovery'!B45</f>
        <v>0.713136506</v>
      </c>
      <c r="J47" s="213">
        <f t="array" ref="J47">'Relative Affordability'!F45</f>
        <v>0.3472936445</v>
      </c>
      <c r="K47" s="440">
        <f t="array" ref="K47">'Access to Finance'!C45</f>
        <v>0.06</v>
      </c>
      <c r="L47" s="232">
        <f t="array" ref="L47">'Electricity Generated from Clea'!F45</f>
        <v>0.9136670676</v>
      </c>
      <c r="M47" s="234">
        <f t="array" ref="M47">'CO2 from Transportation'!E45</f>
        <v>0.6413167939</v>
      </c>
      <c r="N47" s="237">
        <f t="array" ref="N47">'Urban Air Quality'!I45</f>
        <v>417.9577604</v>
      </c>
      <c r="O47" s="234">
        <f t="array" ref="O47">'Fossil Fuel Import Dependence'!G45</f>
        <v>0.4826388889</v>
      </c>
      <c r="P47" s="234">
        <f t="array" ref="P47">'Fossil Fuel Subsidy Burden'!E45</f>
        <v>0</v>
      </c>
      <c r="Q47" s="250">
        <f t="array" ref="Q47">'Utility Revenue Potential'!J45</f>
        <v>42175945.01</v>
      </c>
      <c r="R47" s="267">
        <f t="array" ref="R47">'Projected Rate of Motorization '!C45</f>
        <v>50.17689181</v>
      </c>
      <c r="S47" s="268"/>
      <c r="T47" s="268"/>
      <c r="U47" s="268"/>
      <c r="V47" s="268"/>
      <c r="W47" s="268"/>
      <c r="X47" s="268"/>
      <c r="Y47" s="268"/>
      <c r="Z47" s="268"/>
      <c r="AA47" s="268"/>
      <c r="AB47" s="268"/>
      <c r="AC47" s="268"/>
      <c r="AD47" s="268"/>
    </row>
    <row r="48">
      <c r="A48" s="22" t="s">
        <v>415</v>
      </c>
      <c r="B48" s="206" t="str">
        <f>IF(countif('EV National Targets'!A:A,A48)&gt;0, "1", "0")</f>
        <v>0</v>
      </c>
      <c r="C48" s="208" t="str">
        <f>IF(countif('EV Incentives'!A:A,A48)&gt;0, "1", "0")</f>
        <v>0</v>
      </c>
      <c r="D48" s="209">
        <f t="array" ref="D48">'Additional Generation For 30% E'!C46+1</f>
        <v>1.069391217</v>
      </c>
      <c r="E48" s="443" t="str">
        <f t="array" ref="E48">'Grid Reliability'!F46</f>
        <v>Not Found</v>
      </c>
      <c r="F48" s="213">
        <f t="array" ref="F48">'Current Rate of Motorization'!B46</f>
        <v>4.159912997</v>
      </c>
      <c r="G48" s="215">
        <f t="array" ref="G48">'EV Charging Infrastructure'!B46</f>
        <v>11</v>
      </c>
      <c r="H48" s="448" t="str">
        <f t="array" ref="H48">'Electricity Regulatory Index'!C46</f>
        <v>Not Found</v>
      </c>
      <c r="I48" s="218" t="str">
        <f t="array" ref="I48">' Utility Cost Recovery'!B46</f>
        <v>Not Found</v>
      </c>
      <c r="J48" s="453">
        <f t="array" ref="J48">'Relative Affordability'!F46</f>
        <v>0.1978309848</v>
      </c>
      <c r="K48" s="284" t="str">
        <f t="array" ref="K48">'Access to Finance'!C46</f>
        <v>Not Found</v>
      </c>
      <c r="L48" s="232">
        <f t="array" ref="L48">'Electricity Generated from Clea'!F46</f>
        <v>0.08698636854</v>
      </c>
      <c r="M48" s="234">
        <f t="array" ref="M48">'CO2 from Transportation'!E46</f>
        <v>0.215324046</v>
      </c>
      <c r="N48" s="237">
        <f t="array" ref="N48">'Urban Air Quality'!I46</f>
        <v>141.5100666</v>
      </c>
      <c r="O48" s="234">
        <f t="array" ref="O48">'Fossil Fuel Import Dependence'!G46</f>
        <v>0.3411764706</v>
      </c>
      <c r="P48" s="234">
        <f t="array" ref="P48">'Fossil Fuel Subsidy Burden'!E46</f>
        <v>0</v>
      </c>
      <c r="Q48" s="250">
        <f t="array" ref="Q48">'Utility Revenue Potential'!J46</f>
        <v>2235959.888</v>
      </c>
      <c r="R48" s="267">
        <f t="array" ref="R48">'Projected Rate of Motorization '!C46</f>
        <v>38.69956409</v>
      </c>
      <c r="S48" s="268"/>
      <c r="T48" s="268"/>
      <c r="U48" s="268"/>
      <c r="V48" s="268"/>
      <c r="W48" s="268"/>
      <c r="X48" s="268"/>
      <c r="Y48" s="268"/>
      <c r="Z48" s="268"/>
      <c r="AA48" s="268"/>
      <c r="AB48" s="268"/>
      <c r="AC48" s="268"/>
      <c r="AD48" s="268"/>
    </row>
    <row r="49">
      <c r="A49" s="22" t="s">
        <v>313</v>
      </c>
      <c r="B49" s="206" t="str">
        <f>IF(countif('EV National Targets'!A:A,A49)&gt;0, "1", "0")</f>
        <v>1</v>
      </c>
      <c r="C49" s="208" t="str">
        <f>IF(countif('EV Incentives'!A:A,A49)&gt;0, "1", "0")</f>
        <v>1</v>
      </c>
      <c r="D49" s="209">
        <f t="array" ref="D49">'Additional Generation For 30% E'!C47+1</f>
        <v>1.081697282</v>
      </c>
      <c r="E49" s="302">
        <f t="array" ref="E49">'Grid Reliability'!F47</f>
        <v>212.52</v>
      </c>
      <c r="F49" s="213">
        <f t="array" ref="F49">'Current Rate of Motorization'!B47</f>
        <v>186.7205704</v>
      </c>
      <c r="G49" s="215">
        <f t="array" ref="G49">'EV Charging Infrastructure'!B47</f>
        <v>81</v>
      </c>
      <c r="H49" s="217">
        <f t="array" ref="H49">'Electricity Regulatory Index'!C47</f>
        <v>0.55</v>
      </c>
      <c r="I49" s="281">
        <f t="array" ref="I49">' Utility Cost Recovery'!B47</f>
        <v>0.860239951</v>
      </c>
      <c r="J49" s="213">
        <f t="array" ref="J49">'Relative Affordability'!F47</f>
        <v>0.1527226207</v>
      </c>
      <c r="K49" s="440">
        <f t="array" ref="K49">'Access to Finance'!C47</f>
        <v>0.19</v>
      </c>
      <c r="L49" s="232">
        <f t="array" ref="L49">'Electricity Generated from Clea'!F47</f>
        <v>0.1308595239</v>
      </c>
      <c r="M49" s="234">
        <f t="array" ref="M49">'CO2 from Transportation'!E47</f>
        <v>0.1160451362</v>
      </c>
      <c r="N49" s="237">
        <f t="array" ref="N49">'Urban Air Quality'!I47</f>
        <v>199.2605713</v>
      </c>
      <c r="O49" s="234">
        <f t="array" ref="O49">'Fossil Fuel Import Dependence'!G47</f>
        <v>2.333658854</v>
      </c>
      <c r="P49" s="234">
        <f t="array" ref="P49">'Fossil Fuel Subsidy Burden'!E47</f>
        <v>0</v>
      </c>
      <c r="Q49" s="250">
        <f t="array" ref="Q49">'Utility Revenue Potential'!J47</f>
        <v>1302905552</v>
      </c>
      <c r="R49" s="267">
        <f t="array" ref="R49">'Projected Rate of Motorization '!C47</f>
        <v>227.2807873</v>
      </c>
      <c r="S49" s="268"/>
      <c r="T49" s="268"/>
      <c r="U49" s="268"/>
      <c r="V49" s="268"/>
      <c r="W49" s="268"/>
      <c r="X49" s="268"/>
      <c r="Y49" s="268"/>
      <c r="Z49" s="268"/>
      <c r="AA49" s="268"/>
      <c r="AB49" s="268"/>
      <c r="AC49" s="268"/>
      <c r="AD49" s="268"/>
    </row>
    <row r="50">
      <c r="A50" s="22" t="s">
        <v>416</v>
      </c>
      <c r="B50" s="206" t="str">
        <f>IF(countif('EV National Targets'!A:A,A50)&gt;0, "1", "0")</f>
        <v>0</v>
      </c>
      <c r="C50" s="208" t="str">
        <f>IF(countif('EV Incentives'!A:A,A50)&gt;0, "1", "0")</f>
        <v>0</v>
      </c>
      <c r="D50" s="209">
        <f t="array" ref="D50">'Additional Generation For 30% E'!C48+1</f>
        <v>1.52555014</v>
      </c>
      <c r="E50" s="302">
        <f t="array" ref="E50">'Grid Reliability'!F48</f>
        <v>84.6</v>
      </c>
      <c r="F50" s="213">
        <f t="array" ref="F50">'Current Rate of Motorization'!B48</f>
        <v>6.29372304</v>
      </c>
      <c r="G50" s="215">
        <f t="array" ref="G50">'EV Charging Infrastructure'!B48</f>
        <v>1</v>
      </c>
      <c r="H50" s="448" t="str">
        <f t="array" ref="H50">'Electricity Regulatory Index'!C48</f>
        <v>Not Found</v>
      </c>
      <c r="I50" s="218" t="str">
        <f t="array" ref="I50">' Utility Cost Recovery'!B48</f>
        <v>Not Found</v>
      </c>
      <c r="J50" s="213">
        <f t="array" ref="J50">'Relative Affordability'!F48</f>
        <v>0.7737946114</v>
      </c>
      <c r="K50" s="224">
        <f t="array" ref="K50">'Access to Finance'!C48</f>
        <v>0.03</v>
      </c>
      <c r="L50" s="232">
        <f t="array" ref="L50">'Electricity Generated from Clea'!F48</f>
        <v>0.01756470556</v>
      </c>
      <c r="M50" s="234">
        <f t="array" ref="M50">'CO2 from Transportation'!E48</f>
        <v>0.5164973891</v>
      </c>
      <c r="N50" s="237">
        <f t="array" ref="N50">'Urban Air Quality'!I48</f>
        <v>224.0087825</v>
      </c>
      <c r="O50" s="234">
        <f t="array" ref="O50">'Fossil Fuel Import Dependence'!G48</f>
        <v>0.6</v>
      </c>
      <c r="P50" s="234">
        <f t="array" ref="P50">'Fossil Fuel Subsidy Burden'!E48</f>
        <v>0</v>
      </c>
      <c r="Q50" s="250">
        <f t="array" ref="Q50">'Utility Revenue Potential'!J48</f>
        <v>125666606.4</v>
      </c>
      <c r="R50" s="455" t="str">
        <f t="array" ref="R50">'Projected Rate of Motorization '!C48</f>
        <v>Not Found</v>
      </c>
      <c r="S50" s="456"/>
      <c r="T50" s="456"/>
      <c r="U50" s="456"/>
      <c r="V50" s="456"/>
      <c r="W50" s="456"/>
      <c r="X50" s="456"/>
      <c r="Y50" s="456"/>
      <c r="Z50" s="456"/>
      <c r="AA50" s="456"/>
      <c r="AB50" s="456"/>
      <c r="AC50" s="456"/>
      <c r="AD50" s="456"/>
    </row>
    <row r="51">
      <c r="A51" s="22" t="s">
        <v>417</v>
      </c>
      <c r="B51" s="206" t="str">
        <f>IF(countif('EV National Targets'!A:A,A51)&gt;0, "1", "0")</f>
        <v>0</v>
      </c>
      <c r="C51" s="208" t="str">
        <f>IF(countif('EV Incentives'!A:A,A51)&gt;0, "1", "0")</f>
        <v>0</v>
      </c>
      <c r="D51" s="209">
        <f t="array" ref="D51">'Additional Generation For 30% E'!C49+1</f>
        <v>1.2279872</v>
      </c>
      <c r="E51" s="302">
        <f t="array" ref="E51">'Grid Reliability'!F49</f>
        <v>102</v>
      </c>
      <c r="F51" s="213">
        <f t="array" ref="F51">'Current Rate of Motorization'!B49</f>
        <v>31.81386656</v>
      </c>
      <c r="G51" s="303" t="str">
        <f t="array" ref="G51">'EV Charging Infrastructure'!B49</f>
        <v>Not Found</v>
      </c>
      <c r="H51" s="448" t="str">
        <f t="array" ref="H51">'Electricity Regulatory Index'!C49</f>
        <v>Not Found</v>
      </c>
      <c r="I51" s="281">
        <f t="array" ref="I51">' Utility Cost Recovery'!B49</f>
        <v>0.699607103</v>
      </c>
      <c r="J51" s="213">
        <f t="array" ref="J51">'Relative Affordability'!F49</f>
        <v>0.1068642903</v>
      </c>
      <c r="K51" s="284" t="str">
        <f t="array" ref="K51">'Access to Finance'!C49</f>
        <v>Not Found</v>
      </c>
      <c r="L51" s="232">
        <f t="array" ref="L51">'Electricity Generated from Clea'!F49</f>
        <v>0.6109508558</v>
      </c>
      <c r="M51" s="234">
        <f t="array" ref="M51">'CO2 from Transportation'!E49</f>
        <v>0.5560457919</v>
      </c>
      <c r="N51" s="237">
        <f t="array" ref="N51">'Urban Air Quality'!I49</f>
        <v>206.002814</v>
      </c>
      <c r="O51" s="234">
        <f t="array" ref="O51">'Fossil Fuel Import Dependence'!G49</f>
        <v>3.109510086</v>
      </c>
      <c r="P51" s="234">
        <f t="array" ref="P51">'Fossil Fuel Subsidy Burden'!E49</f>
        <v>0.03871299292</v>
      </c>
      <c r="Q51" s="250">
        <f t="array" ref="Q51">'Utility Revenue Potential'!J49</f>
        <v>166475906.8</v>
      </c>
      <c r="R51" s="267">
        <f t="array" ref="R51">'Projected Rate of Motorization '!C49</f>
        <v>44.10439198</v>
      </c>
      <c r="S51" s="268"/>
      <c r="T51" s="268"/>
      <c r="U51" s="268"/>
      <c r="V51" s="268"/>
      <c r="W51" s="268"/>
      <c r="X51" s="268"/>
      <c r="Y51" s="268"/>
      <c r="Z51" s="268"/>
      <c r="AA51" s="268"/>
      <c r="AB51" s="268"/>
      <c r="AC51" s="268"/>
      <c r="AD51" s="268"/>
    </row>
    <row r="52">
      <c r="A52" s="22" t="s">
        <v>418</v>
      </c>
      <c r="B52" s="206" t="str">
        <f>IF(countif('EV National Targets'!A:A,A52)&gt;0, "1", "0")</f>
        <v>0</v>
      </c>
      <c r="C52" s="208" t="str">
        <f>IF(countif('EV Incentives'!A:A,A52)&gt;0, "1", "0")</f>
        <v>0</v>
      </c>
      <c r="D52" s="209">
        <f t="array" ref="D52">'Additional Generation For 30% E'!C50+1</f>
        <v>1.333491862</v>
      </c>
      <c r="E52" s="302">
        <f t="array" ref="E52">'Grid Reliability'!F50</f>
        <v>53.76</v>
      </c>
      <c r="F52" s="213">
        <f t="array" ref="F52">'Current Rate of Motorization'!B50</f>
        <v>37.99868615</v>
      </c>
      <c r="G52" s="215">
        <f t="array" ref="G52">'EV Charging Infrastructure'!B50</f>
        <v>2</v>
      </c>
      <c r="H52" s="217">
        <f t="array" ref="H52">'Electricity Regulatory Index'!C50</f>
        <v>0.675</v>
      </c>
      <c r="I52" s="281">
        <f t="array" ref="I52">' Utility Cost Recovery'!B50</f>
        <v>1.085930145</v>
      </c>
      <c r="J52" s="213">
        <f t="array" ref="J52">'Relative Affordability'!F50</f>
        <v>0.1914335627</v>
      </c>
      <c r="K52" s="224">
        <f t="array" ref="K52">'Access to Finance'!C50</f>
        <v>0.13</v>
      </c>
      <c r="L52" s="232">
        <f t="array" ref="L52">'Electricity Generated from Clea'!F50</f>
        <v>0.3924741666</v>
      </c>
      <c r="M52" s="234">
        <f t="array" ref="M52">'CO2 from Transportation'!E50</f>
        <v>0.5546838948</v>
      </c>
      <c r="N52" s="237">
        <f t="array" ref="N52">'Urban Air Quality'!I50</f>
        <v>167.4470202</v>
      </c>
      <c r="O52" s="234">
        <f t="array" ref="O52">'Fossil Fuel Import Dependence'!G50</f>
        <v>0.8390004097</v>
      </c>
      <c r="P52" s="234">
        <f t="array" ref="P52">'Fossil Fuel Subsidy Burden'!E50</f>
        <v>0</v>
      </c>
      <c r="Q52" s="250">
        <f t="array" ref="Q52">'Utility Revenue Potential'!J50</f>
        <v>258798205.4</v>
      </c>
      <c r="R52" s="267">
        <f t="array" ref="R52">'Projected Rate of Motorization '!C50</f>
        <v>109.4418265</v>
      </c>
      <c r="S52" s="268"/>
      <c r="T52" s="268"/>
      <c r="U52" s="268"/>
      <c r="V52" s="268"/>
      <c r="W52" s="268"/>
      <c r="X52" s="268"/>
      <c r="Y52" s="268"/>
      <c r="Z52" s="268"/>
      <c r="AA52" s="268"/>
      <c r="AB52" s="268"/>
      <c r="AC52" s="268"/>
      <c r="AD52" s="268"/>
    </row>
    <row r="53">
      <c r="A53" s="22" t="s">
        <v>398</v>
      </c>
      <c r="B53" s="206" t="str">
        <f>IF(countif('EV National Targets'!A:A,A53)&gt;0, "1", "0")</f>
        <v>0</v>
      </c>
      <c r="C53" s="208" t="str">
        <f>IF(countif('EV Incentives'!A:A,A53)&gt;0, "1", "0")</f>
        <v>1</v>
      </c>
      <c r="D53" s="209">
        <f t="array" ref="D53">'Additional Generation For 30% E'!C51+1</f>
        <v>1.515870761</v>
      </c>
      <c r="E53" s="302">
        <f t="array" ref="E53">'Grid Reliability'!F51</f>
        <v>71.28</v>
      </c>
      <c r="F53" s="213">
        <f t="array" ref="F53">'Current Rate of Motorization'!B51</f>
        <v>7.550884609</v>
      </c>
      <c r="G53" s="303" t="str">
        <f t="array" ref="G53">'EV Charging Infrastructure'!B51</f>
        <v>Not Found</v>
      </c>
      <c r="H53" s="217">
        <f t="array" ref="H53">'Electricity Regulatory Index'!C51</f>
        <v>0.622</v>
      </c>
      <c r="I53" s="281">
        <f t="array" ref="I53">' Utility Cost Recovery'!B51</f>
        <v>0.923892723</v>
      </c>
      <c r="J53" s="213">
        <f t="array" ref="J53">'Relative Affordability'!F51</f>
        <v>0.3937202995</v>
      </c>
      <c r="K53" s="440">
        <f t="array" ref="K53">'Access to Finance'!C51</f>
        <v>0.08</v>
      </c>
      <c r="L53" s="232">
        <f t="array" ref="L53">'Electricity Generated from Clea'!F51</f>
        <v>0.2692519763</v>
      </c>
      <c r="M53" s="234">
        <f t="array" ref="M53">'CO2 from Transportation'!E51</f>
        <v>0.7070544235</v>
      </c>
      <c r="N53" s="237">
        <f t="array" ref="N53">'Urban Air Quality'!I51</f>
        <v>305.5066012</v>
      </c>
      <c r="O53" s="234">
        <f t="array" ref="O53">'Fossil Fuel Import Dependence'!G51</f>
        <v>0.9714867617</v>
      </c>
      <c r="P53" s="234">
        <f t="array" ref="P53">'Fossil Fuel Subsidy Burden'!E51</f>
        <v>0</v>
      </c>
      <c r="Q53" s="250">
        <f t="array" ref="Q53">'Utility Revenue Potential'!J51</f>
        <v>56752139.21</v>
      </c>
      <c r="R53" s="267">
        <f t="array" ref="R53">'Projected Rate of Motorization '!C51</f>
        <v>88.7543688</v>
      </c>
      <c r="S53" s="268"/>
      <c r="T53" s="268"/>
      <c r="U53" s="268"/>
      <c r="V53" s="268"/>
      <c r="W53" s="268"/>
      <c r="X53" s="268"/>
      <c r="Y53" s="268"/>
      <c r="Z53" s="268"/>
      <c r="AA53" s="268"/>
      <c r="AB53" s="268"/>
      <c r="AC53" s="268"/>
      <c r="AD53" s="268"/>
    </row>
    <row r="54">
      <c r="A54" s="22" t="s">
        <v>318</v>
      </c>
      <c r="B54" s="206" t="str">
        <f>IF(countif('EV National Targets'!A:A,A54)&gt;0, "1", "0")</f>
        <v>1</v>
      </c>
      <c r="C54" s="208" t="str">
        <f>IF(countif('EV Incentives'!A:A,A54)&gt;0, "1", "0")</f>
        <v>1</v>
      </c>
      <c r="D54" s="209">
        <f t="array" ref="D54">'Additional Generation For 30% E'!C52+1</f>
        <v>1.109858998</v>
      </c>
      <c r="E54" s="302">
        <f t="array" ref="E54">'Grid Reliability'!F52</f>
        <v>42.12</v>
      </c>
      <c r="F54" s="213">
        <f t="array" ref="F54">'Current Rate of Motorization'!B52</f>
        <v>149.0518256</v>
      </c>
      <c r="G54" s="215">
        <f t="array" ref="G54">'EV Charging Infrastructure'!B52</f>
        <v>14</v>
      </c>
      <c r="H54" s="448" t="str">
        <f t="array" ref="H54">'Electricity Regulatory Index'!C52</f>
        <v>Not Found</v>
      </c>
      <c r="I54" s="281">
        <f t="array" ref="I54">' Utility Cost Recovery'!B52</f>
        <v>0.717</v>
      </c>
      <c r="J54" s="213">
        <f t="array" ref="J54">'Relative Affordability'!F52</f>
        <v>0.3603455298</v>
      </c>
      <c r="K54" s="224">
        <f t="array" ref="K54">'Access to Finance'!C52</f>
        <v>0.1</v>
      </c>
      <c r="L54" s="232">
        <f t="array" ref="L54">'Electricity Generated from Clea'!F52</f>
        <v>0.04754676446</v>
      </c>
      <c r="M54" s="234">
        <f t="array" ref="M54">'CO2 from Transportation'!E52</f>
        <v>0.281394222</v>
      </c>
      <c r="N54" s="237">
        <f t="array" ref="N54">'Urban Air Quality'!I52</f>
        <v>182.1756399</v>
      </c>
      <c r="O54" s="234">
        <f t="array" ref="O54">'Fossil Fuel Import Dependence'!G52</f>
        <v>1.177362304</v>
      </c>
      <c r="P54" s="234">
        <f t="array" ref="P54">'Fossil Fuel Subsidy Burden'!E52</f>
        <v>0.01943695359</v>
      </c>
      <c r="Q54" s="250">
        <f t="array" ref="Q54">'Utility Revenue Potential'!J52</f>
        <v>262043986.2</v>
      </c>
      <c r="R54" s="267">
        <f t="array" ref="R54">'Projected Rate of Motorization '!C52</f>
        <v>145.6263862</v>
      </c>
      <c r="S54" s="268"/>
      <c r="T54" s="268"/>
      <c r="U54" s="268"/>
      <c r="V54" s="268"/>
      <c r="W54" s="268"/>
      <c r="X54" s="268"/>
      <c r="Y54" s="268"/>
      <c r="Z54" s="268"/>
      <c r="AA54" s="268"/>
      <c r="AB54" s="268"/>
      <c r="AC54" s="268"/>
      <c r="AD54" s="268"/>
    </row>
    <row r="55">
      <c r="A55" s="22" t="s">
        <v>405</v>
      </c>
      <c r="B55" s="206" t="str">
        <f>IF(countif('EV National Targets'!A:A,A55)&gt;0, "1", "0")</f>
        <v>0</v>
      </c>
      <c r="C55" s="208" t="str">
        <f>IF(countif('EV Incentives'!A:A,A55)&gt;0, "1", "0")</f>
        <v>1</v>
      </c>
      <c r="D55" s="539">
        <f t="array" ref="D55">'Additional Generation For 30% E'!C53+1</f>
        <v>1.246678223</v>
      </c>
      <c r="E55" s="302">
        <f t="array" ref="E55">'Grid Reliability'!F53</f>
        <v>763.56</v>
      </c>
      <c r="F55" s="213">
        <f t="array" ref="F55">'Current Rate of Motorization'!B53</f>
        <v>24.50252074</v>
      </c>
      <c r="G55" s="215">
        <f t="array" ref="G55">'EV Charging Infrastructure'!B53</f>
        <v>1</v>
      </c>
      <c r="H55" s="217">
        <f t="array" ref="H55">'Electricity Regulatory Index'!C53</f>
        <v>0.846</v>
      </c>
      <c r="I55" s="281">
        <f t="array" ref="I55">' Utility Cost Recovery'!B53</f>
        <v>1.018420241</v>
      </c>
      <c r="J55" s="213">
        <f t="array" ref="J55">'Relative Affordability'!F53</f>
        <v>0.2631954461</v>
      </c>
      <c r="K55" s="440">
        <f t="array" ref="K55">'Access to Finance'!C53</f>
        <v>0.29</v>
      </c>
      <c r="L55" s="232">
        <f t="array" ref="L55">'Electricity Generated from Clea'!F53</f>
        <v>0.9857590464</v>
      </c>
      <c r="M55" s="234">
        <f t="array" ref="M55">'CO2 from Transportation'!E53</f>
        <v>0.6595037144</v>
      </c>
      <c r="N55" s="237">
        <f t="array" ref="N55">'Urban Air Quality'!I53</f>
        <v>192.2416383</v>
      </c>
      <c r="O55" s="234">
        <f t="array" ref="O55">'Fossil Fuel Import Dependence'!G53</f>
        <v>0.6909821941</v>
      </c>
      <c r="P55" s="234">
        <f t="array" ref="P55">'Fossil Fuel Subsidy Burden'!E53</f>
        <v>0</v>
      </c>
      <c r="Q55" s="250">
        <f t="array" ref="Q55">'Utility Revenue Potential'!J53</f>
        <v>141132332.5</v>
      </c>
      <c r="R55" s="267">
        <f t="array" ref="R55">'Projected Rate of Motorization '!C53</f>
        <v>106.1074933</v>
      </c>
      <c r="S55" s="268"/>
      <c r="T55" s="268"/>
      <c r="U55" s="268"/>
      <c r="V55" s="268"/>
      <c r="W55" s="268"/>
      <c r="X55" s="268"/>
      <c r="Y55" s="268"/>
      <c r="Z55" s="268"/>
      <c r="AA55" s="268"/>
      <c r="AB55" s="268"/>
      <c r="AC55" s="268"/>
      <c r="AD55" s="268"/>
    </row>
    <row r="56">
      <c r="A56" s="22" t="s">
        <v>408</v>
      </c>
      <c r="B56" s="206" t="str">
        <f>IF(countif('EV National Targets'!A:A,A56)&gt;0, "1", "0")</f>
        <v>0</v>
      </c>
      <c r="C56" s="208" t="str">
        <f>IF(countif('EV Incentives'!A:A,A56)&gt;0, "1", "0")</f>
        <v>1</v>
      </c>
      <c r="D56" s="209">
        <f t="array" ref="D56">'Additional Generation For 30% E'!C54+1</f>
        <v>1.037319332</v>
      </c>
      <c r="E56" s="302">
        <f t="array" ref="E56">'Grid Reliability'!F54</f>
        <v>1739.64</v>
      </c>
      <c r="F56" s="213">
        <f t="array" ref="F56">'Current Rate of Motorization'!B54</f>
        <v>41.53649375</v>
      </c>
      <c r="G56" s="215">
        <f t="array" ref="G56">'EV Charging Infrastructure'!B54</f>
        <v>4</v>
      </c>
      <c r="H56" s="217">
        <f t="array" ref="H56">'Electricity Regulatory Index'!C54</f>
        <v>0.608</v>
      </c>
      <c r="I56" s="281">
        <f t="array" ref="I56">' Utility Cost Recovery'!B54</f>
        <v>0.537115117</v>
      </c>
      <c r="J56" s="213">
        <f t="array" ref="J56">'Relative Affordability'!F54</f>
        <v>0.08685243615</v>
      </c>
      <c r="K56" s="224">
        <f t="array" ref="K56">'Access to Finance'!C54</f>
        <v>0.15</v>
      </c>
      <c r="L56" s="232">
        <f t="array" ref="L56">'Electricity Generated from Clea'!F54</f>
        <v>0.9201059644</v>
      </c>
      <c r="M56" s="234">
        <f t="array" ref="M56">'CO2 from Transportation'!E54</f>
        <v>0.372841503</v>
      </c>
      <c r="N56" s="237">
        <f t="array" ref="N56">'Urban Air Quality'!I54</f>
        <v>270.688235</v>
      </c>
      <c r="O56" s="234">
        <f t="array" ref="O56">'Fossil Fuel Import Dependence'!G54</f>
        <v>0.8281553398</v>
      </c>
      <c r="P56" s="234">
        <f t="array" ref="P56">'Fossil Fuel Subsidy Burden'!E54</f>
        <v>0</v>
      </c>
      <c r="Q56" s="250">
        <f t="array" ref="Q56">'Utility Revenue Potential'!J54</f>
        <v>28426611.2</v>
      </c>
      <c r="R56" s="267">
        <f t="array" ref="R56">'Projected Rate of Motorization '!C54</f>
        <v>87.38791946</v>
      </c>
      <c r="S56" s="268"/>
      <c r="T56" s="268"/>
      <c r="U56" s="268"/>
      <c r="V56" s="268"/>
      <c r="W56" s="268"/>
      <c r="X56" s="268"/>
      <c r="Y56" s="268"/>
      <c r="Z56" s="268"/>
      <c r="AA56" s="268"/>
      <c r="AB56" s="268"/>
      <c r="AC56" s="268"/>
      <c r="AD56" s="268"/>
    </row>
    <row r="57">
      <c r="A57" s="244" t="s">
        <v>320</v>
      </c>
      <c r="B57" s="551" t="str">
        <f>IF(countif('EV National Targets'!A:A,A57)&gt;0, "1", "0")</f>
        <v>1</v>
      </c>
      <c r="C57" s="554" t="str">
        <f>IF(countif('EV Incentives'!A:A,A57)&gt;0, "1", "0")</f>
        <v>1</v>
      </c>
      <c r="D57" s="555">
        <f t="array" ref="D57">'Additional Generation For 30% E'!C55+1</f>
        <v>1.102204787</v>
      </c>
      <c r="E57" s="558">
        <f t="array" ref="E57">'Grid Reliability'!F55</f>
        <v>280.8</v>
      </c>
      <c r="F57" s="559">
        <f t="array" ref="F57">'Current Rate of Motorization'!B55</f>
        <v>71.79576915</v>
      </c>
      <c r="G57" s="560">
        <f t="array" ref="G57">'EV Charging Infrastructure'!B55</f>
        <v>1</v>
      </c>
      <c r="H57" s="561">
        <f t="array" ref="H57">'Electricity Regulatory Index'!C55</f>
        <v>0.686</v>
      </c>
      <c r="I57" s="562">
        <f t="array" ref="I57">' Utility Cost Recovery'!B55</f>
        <v>0.61835259</v>
      </c>
      <c r="J57" s="559">
        <f t="array" ref="J57">'Relative Affordability'!F55</f>
        <v>0.1794306345</v>
      </c>
      <c r="K57" s="563">
        <f t="array" ref="K57">'Access to Finance'!C55</f>
        <v>0.15</v>
      </c>
      <c r="L57" s="564">
        <f t="array" ref="L57">'Electricity Generated from Clea'!F55</f>
        <v>0.5156672439</v>
      </c>
      <c r="M57" s="565">
        <f t="array" ref="M57">'CO2 from Transportation'!E55</f>
        <v>0.2648116165</v>
      </c>
      <c r="N57" s="566">
        <f t="array" ref="N57">'Urban Air Quality'!I55</f>
        <v>237.7644949</v>
      </c>
      <c r="O57" s="565">
        <f t="array" ref="O57">'Fossil Fuel Import Dependence'!G55</f>
        <v>0.6005946482</v>
      </c>
      <c r="P57" s="565">
        <f t="array" ref="P57">'Fossil Fuel Subsidy Burden'!E55</f>
        <v>0</v>
      </c>
      <c r="Q57" s="567">
        <f t="array" ref="Q57">'Utility Revenue Potential'!J55</f>
        <v>91929085.01</v>
      </c>
      <c r="R57" s="569">
        <f t="array" ref="R57">'Projected Rate of Motorization '!C55</f>
        <v>86.01714182</v>
      </c>
      <c r="S57" s="268"/>
      <c r="T57" s="268"/>
      <c r="U57" s="268"/>
      <c r="V57" s="268"/>
      <c r="W57" s="268"/>
      <c r="X57" s="268"/>
      <c r="Y57" s="268"/>
      <c r="Z57" s="268"/>
      <c r="AA57" s="268"/>
      <c r="AB57" s="268"/>
      <c r="AC57" s="268"/>
      <c r="AD57" s="268"/>
    </row>
    <row r="58">
      <c r="A58" s="22"/>
      <c r="D58" s="570"/>
      <c r="E58" s="268"/>
      <c r="F58" s="268"/>
      <c r="H58" s="405"/>
      <c r="I58" s="268"/>
      <c r="O58" s="268"/>
      <c r="P58" s="268"/>
      <c r="Q58" s="268"/>
      <c r="R58" s="268"/>
      <c r="S58" s="268"/>
      <c r="T58" s="268"/>
      <c r="U58" s="268"/>
      <c r="V58" s="268"/>
      <c r="W58" s="268"/>
      <c r="X58" s="268"/>
      <c r="Y58" s="268"/>
      <c r="Z58" s="268"/>
      <c r="AA58" s="268"/>
      <c r="AB58" s="268"/>
      <c r="AC58" s="268"/>
      <c r="AD58" s="268"/>
    </row>
    <row r="59">
      <c r="A59" s="22"/>
      <c r="D59" s="570"/>
      <c r="E59" s="268"/>
      <c r="F59" s="268"/>
      <c r="H59" s="405"/>
      <c r="I59" s="268"/>
      <c r="O59" s="268"/>
      <c r="P59" s="268"/>
      <c r="Q59" s="268"/>
      <c r="R59" s="268"/>
      <c r="S59" s="268"/>
      <c r="T59" s="268"/>
      <c r="U59" s="268"/>
      <c r="V59" s="268"/>
      <c r="W59" s="268"/>
      <c r="X59" s="268"/>
      <c r="Y59" s="268"/>
      <c r="Z59" s="268"/>
      <c r="AA59" s="268"/>
      <c r="AB59" s="268"/>
      <c r="AC59" s="268"/>
      <c r="AD59" s="268"/>
    </row>
    <row r="60">
      <c r="A60" s="22"/>
      <c r="D60" s="573"/>
      <c r="E60" s="268"/>
      <c r="F60" s="268"/>
      <c r="H60" s="405"/>
      <c r="I60" s="268"/>
      <c r="L60" s="573"/>
      <c r="O60" s="268"/>
      <c r="P60" s="268"/>
      <c r="Q60" s="268"/>
      <c r="R60" s="268"/>
      <c r="S60" s="268"/>
      <c r="T60" s="268"/>
      <c r="U60" s="268"/>
      <c r="V60" s="268"/>
      <c r="W60" s="268"/>
      <c r="X60" s="268"/>
      <c r="Y60" s="268"/>
      <c r="Z60" s="268"/>
      <c r="AA60" s="268"/>
      <c r="AB60" s="268"/>
      <c r="AC60" s="268"/>
      <c r="AD60" s="268"/>
    </row>
    <row r="61">
      <c r="A61" s="22"/>
      <c r="D61" s="573"/>
      <c r="E61" s="268"/>
      <c r="F61" s="268"/>
      <c r="H61" s="405"/>
      <c r="I61" s="268"/>
      <c r="L61" s="573"/>
      <c r="O61" s="268"/>
      <c r="P61" s="268"/>
      <c r="Q61" s="268"/>
      <c r="R61" s="268"/>
      <c r="S61" s="268"/>
      <c r="T61" s="268"/>
      <c r="U61" s="268"/>
      <c r="V61" s="268"/>
      <c r="W61" s="268"/>
      <c r="X61" s="268"/>
      <c r="Y61" s="268"/>
      <c r="Z61" s="268"/>
      <c r="AA61" s="268"/>
      <c r="AB61" s="268"/>
      <c r="AC61" s="268"/>
      <c r="AD61" s="268"/>
    </row>
    <row r="62">
      <c r="A62" s="22"/>
      <c r="D62" s="573"/>
      <c r="E62" s="268"/>
      <c r="F62" s="268"/>
      <c r="H62" s="405"/>
      <c r="I62" s="268"/>
      <c r="L62" s="573"/>
      <c r="O62" s="268"/>
      <c r="P62" s="268"/>
      <c r="Q62" s="268"/>
      <c r="R62" s="268"/>
      <c r="S62" s="268"/>
      <c r="T62" s="268"/>
      <c r="U62" s="268"/>
      <c r="V62" s="268"/>
      <c r="W62" s="268"/>
      <c r="X62" s="268"/>
      <c r="Y62" s="268"/>
      <c r="Z62" s="268"/>
      <c r="AA62" s="268"/>
      <c r="AB62" s="268"/>
      <c r="AC62" s="268"/>
      <c r="AD62" s="268"/>
    </row>
    <row r="63">
      <c r="A63" s="22"/>
      <c r="D63" s="573"/>
      <c r="E63" s="268"/>
      <c r="F63" s="268"/>
      <c r="H63" s="405"/>
      <c r="I63" s="268"/>
      <c r="L63" s="573"/>
      <c r="O63" s="268"/>
      <c r="P63" s="268"/>
      <c r="Q63" s="268"/>
      <c r="R63" s="268"/>
      <c r="S63" s="268"/>
      <c r="T63" s="268"/>
      <c r="U63" s="268"/>
      <c r="V63" s="268"/>
      <c r="W63" s="268"/>
      <c r="X63" s="268"/>
      <c r="Y63" s="268"/>
      <c r="Z63" s="268"/>
      <c r="AA63" s="268"/>
      <c r="AB63" s="268"/>
      <c r="AC63" s="268"/>
      <c r="AD63" s="268"/>
    </row>
    <row r="64">
      <c r="A64" s="22"/>
      <c r="D64" s="573"/>
      <c r="E64" s="268"/>
      <c r="F64" s="268"/>
      <c r="H64" s="405"/>
      <c r="I64" s="268"/>
      <c r="L64" s="573"/>
      <c r="O64" s="268"/>
      <c r="P64" s="268"/>
      <c r="Q64" s="268"/>
      <c r="R64" s="268"/>
      <c r="S64" s="268"/>
      <c r="T64" s="268"/>
      <c r="U64" s="268"/>
      <c r="V64" s="268"/>
      <c r="W64" s="268"/>
      <c r="X64" s="268"/>
      <c r="Y64" s="268"/>
      <c r="Z64" s="268"/>
      <c r="AA64" s="268"/>
      <c r="AB64" s="268"/>
      <c r="AC64" s="268"/>
      <c r="AD64" s="268"/>
    </row>
    <row r="65">
      <c r="A65" s="22"/>
      <c r="D65" s="573"/>
      <c r="E65" s="268"/>
      <c r="F65" s="268"/>
      <c r="H65" s="405"/>
      <c r="I65" s="268"/>
      <c r="L65" s="573"/>
      <c r="O65" s="268"/>
      <c r="P65" s="268"/>
      <c r="Q65" s="268"/>
      <c r="R65" s="268"/>
      <c r="S65" s="268"/>
      <c r="T65" s="268"/>
      <c r="U65" s="268"/>
      <c r="V65" s="268"/>
      <c r="W65" s="268"/>
      <c r="X65" s="268"/>
      <c r="Y65" s="268"/>
      <c r="Z65" s="268"/>
      <c r="AA65" s="268"/>
      <c r="AB65" s="268"/>
      <c r="AC65" s="268"/>
      <c r="AD65" s="268"/>
    </row>
    <row r="66">
      <c r="A66" s="22"/>
      <c r="D66" s="573"/>
      <c r="E66" s="268"/>
      <c r="F66" s="268"/>
      <c r="H66" s="405"/>
      <c r="I66" s="268"/>
      <c r="L66" s="573"/>
      <c r="O66" s="268"/>
      <c r="P66" s="268"/>
      <c r="Q66" s="268"/>
      <c r="R66" s="268"/>
      <c r="S66" s="268"/>
      <c r="T66" s="268"/>
      <c r="U66" s="268"/>
      <c r="V66" s="268"/>
      <c r="W66" s="268"/>
      <c r="X66" s="268"/>
      <c r="Y66" s="268"/>
      <c r="Z66" s="268"/>
      <c r="AA66" s="268"/>
      <c r="AB66" s="268"/>
      <c r="AC66" s="268"/>
      <c r="AD66" s="268"/>
    </row>
    <row r="67">
      <c r="A67" s="22"/>
      <c r="D67" s="573"/>
      <c r="E67" s="268"/>
      <c r="F67" s="268"/>
      <c r="H67" s="405"/>
      <c r="I67" s="268"/>
      <c r="L67" s="573"/>
      <c r="O67" s="268"/>
      <c r="P67" s="268"/>
      <c r="Q67" s="268"/>
      <c r="R67" s="268"/>
      <c r="S67" s="268"/>
      <c r="T67" s="268"/>
      <c r="U67" s="268"/>
      <c r="V67" s="268"/>
      <c r="W67" s="268"/>
      <c r="X67" s="268"/>
      <c r="Y67" s="268"/>
      <c r="Z67" s="268"/>
      <c r="AA67" s="268"/>
      <c r="AB67" s="268"/>
      <c r="AC67" s="268"/>
      <c r="AD67" s="268"/>
    </row>
    <row r="68">
      <c r="A68" s="22"/>
      <c r="D68" s="573"/>
      <c r="E68" s="268"/>
      <c r="F68" s="268"/>
      <c r="H68" s="405"/>
      <c r="I68" s="268"/>
      <c r="L68" s="573"/>
      <c r="O68" s="268"/>
      <c r="P68" s="268"/>
      <c r="Q68" s="268"/>
      <c r="R68" s="268"/>
      <c r="S68" s="268"/>
      <c r="T68" s="268"/>
      <c r="U68" s="268"/>
      <c r="V68" s="268"/>
      <c r="W68" s="268"/>
      <c r="X68" s="268"/>
      <c r="Y68" s="268"/>
      <c r="Z68" s="268"/>
      <c r="AA68" s="268"/>
      <c r="AB68" s="268"/>
      <c r="AC68" s="268"/>
      <c r="AD68" s="268"/>
    </row>
    <row r="69">
      <c r="A69" s="22"/>
      <c r="D69" s="573"/>
      <c r="E69" s="268"/>
      <c r="F69" s="268"/>
      <c r="H69" s="405"/>
      <c r="I69" s="268"/>
      <c r="L69" s="573"/>
      <c r="O69" s="268"/>
      <c r="P69" s="268"/>
      <c r="Q69" s="268"/>
      <c r="R69" s="268"/>
      <c r="S69" s="268"/>
      <c r="T69" s="268"/>
      <c r="U69" s="268"/>
      <c r="V69" s="268"/>
      <c r="W69" s="268"/>
      <c r="X69" s="268"/>
      <c r="Y69" s="268"/>
      <c r="Z69" s="268"/>
      <c r="AA69" s="268"/>
      <c r="AB69" s="268"/>
      <c r="AC69" s="268"/>
      <c r="AD69" s="268"/>
    </row>
    <row r="70">
      <c r="A70" s="22"/>
      <c r="D70" s="573"/>
      <c r="E70" s="268"/>
      <c r="F70" s="268"/>
      <c r="H70" s="405"/>
      <c r="I70" s="268"/>
      <c r="L70" s="573"/>
      <c r="O70" s="268"/>
      <c r="P70" s="268"/>
      <c r="Q70" s="268"/>
      <c r="R70" s="268"/>
      <c r="S70" s="268"/>
      <c r="T70" s="268"/>
      <c r="U70" s="268"/>
      <c r="V70" s="268"/>
      <c r="W70" s="268"/>
      <c r="X70" s="268"/>
      <c r="Y70" s="268"/>
      <c r="Z70" s="268"/>
      <c r="AA70" s="268"/>
      <c r="AB70" s="268"/>
      <c r="AC70" s="268"/>
      <c r="AD70" s="268"/>
    </row>
    <row r="71">
      <c r="A71" s="22"/>
      <c r="D71" s="573"/>
      <c r="E71" s="268"/>
      <c r="F71" s="268"/>
      <c r="H71" s="405"/>
      <c r="I71" s="268"/>
      <c r="L71" s="573"/>
      <c r="O71" s="268"/>
      <c r="P71" s="268"/>
      <c r="Q71" s="268"/>
      <c r="R71" s="268"/>
      <c r="S71" s="268"/>
      <c r="T71" s="268"/>
      <c r="U71" s="268"/>
      <c r="V71" s="268"/>
      <c r="W71" s="268"/>
      <c r="X71" s="268"/>
      <c r="Y71" s="268"/>
      <c r="Z71" s="268"/>
      <c r="AA71" s="268"/>
      <c r="AB71" s="268"/>
      <c r="AC71" s="268"/>
      <c r="AD71" s="268"/>
    </row>
    <row r="72">
      <c r="A72" s="22"/>
      <c r="D72" s="573"/>
      <c r="E72" s="268"/>
      <c r="F72" s="268"/>
      <c r="H72" s="405"/>
      <c r="I72" s="268"/>
      <c r="L72" s="573"/>
      <c r="O72" s="268"/>
      <c r="P72" s="268"/>
      <c r="Q72" s="268"/>
      <c r="R72" s="268"/>
      <c r="S72" s="268"/>
      <c r="T72" s="268"/>
      <c r="U72" s="268"/>
      <c r="V72" s="268"/>
      <c r="W72" s="268"/>
      <c r="X72" s="268"/>
      <c r="Y72" s="268"/>
      <c r="Z72" s="268"/>
      <c r="AA72" s="268"/>
      <c r="AB72" s="268"/>
      <c r="AC72" s="268"/>
      <c r="AD72" s="268"/>
    </row>
    <row r="73">
      <c r="A73" s="22"/>
      <c r="D73" s="573"/>
      <c r="E73" s="268"/>
      <c r="F73" s="268"/>
      <c r="H73" s="405"/>
      <c r="I73" s="268"/>
      <c r="L73" s="573"/>
      <c r="O73" s="268"/>
      <c r="P73" s="268"/>
      <c r="Q73" s="268"/>
      <c r="R73" s="268"/>
      <c r="S73" s="268"/>
      <c r="T73" s="268"/>
      <c r="U73" s="268"/>
      <c r="V73" s="268"/>
      <c r="W73" s="268"/>
      <c r="X73" s="268"/>
      <c r="Y73" s="268"/>
      <c r="Z73" s="268"/>
      <c r="AA73" s="268"/>
      <c r="AB73" s="268"/>
      <c r="AC73" s="268"/>
      <c r="AD73" s="268"/>
    </row>
    <row r="74">
      <c r="A74" s="22"/>
      <c r="D74" s="573"/>
      <c r="E74" s="268"/>
      <c r="F74" s="268"/>
      <c r="H74" s="405"/>
      <c r="I74" s="268"/>
      <c r="L74" s="573"/>
      <c r="O74" s="268"/>
      <c r="P74" s="268"/>
      <c r="Q74" s="268"/>
      <c r="R74" s="268"/>
      <c r="S74" s="268"/>
      <c r="T74" s="268"/>
      <c r="U74" s="268"/>
      <c r="V74" s="268"/>
      <c r="W74" s="268"/>
      <c r="X74" s="268"/>
      <c r="Y74" s="268"/>
      <c r="Z74" s="268"/>
      <c r="AA74" s="268"/>
      <c r="AB74" s="268"/>
      <c r="AC74" s="268"/>
      <c r="AD74" s="268"/>
    </row>
    <row r="75">
      <c r="A75" s="22"/>
      <c r="D75" s="573"/>
      <c r="E75" s="268"/>
      <c r="F75" s="268"/>
      <c r="H75" s="405"/>
      <c r="I75" s="268"/>
      <c r="L75" s="573"/>
      <c r="O75" s="268"/>
      <c r="P75" s="268"/>
      <c r="Q75" s="268"/>
      <c r="R75" s="268"/>
      <c r="S75" s="268"/>
      <c r="T75" s="268"/>
      <c r="U75" s="268"/>
      <c r="V75" s="268"/>
      <c r="W75" s="268"/>
      <c r="X75" s="268"/>
      <c r="Y75" s="268"/>
      <c r="Z75" s="268"/>
      <c r="AA75" s="268"/>
      <c r="AB75" s="268"/>
      <c r="AC75" s="268"/>
      <c r="AD75" s="268"/>
    </row>
    <row r="76">
      <c r="A76" s="22"/>
      <c r="D76" s="573"/>
      <c r="E76" s="268"/>
      <c r="F76" s="268"/>
      <c r="H76" s="405"/>
      <c r="I76" s="268"/>
      <c r="L76" s="573"/>
      <c r="O76" s="268"/>
      <c r="P76" s="268"/>
      <c r="Q76" s="268"/>
      <c r="R76" s="268"/>
      <c r="S76" s="268"/>
      <c r="T76" s="268"/>
      <c r="U76" s="268"/>
      <c r="V76" s="268"/>
      <c r="W76" s="268"/>
      <c r="X76" s="268"/>
      <c r="Y76" s="268"/>
      <c r="Z76" s="268"/>
      <c r="AA76" s="268"/>
      <c r="AB76" s="268"/>
      <c r="AC76" s="268"/>
      <c r="AD76" s="268"/>
    </row>
    <row r="77">
      <c r="A77" s="22"/>
      <c r="D77" s="573"/>
      <c r="E77" s="268"/>
      <c r="F77" s="268"/>
      <c r="H77" s="405"/>
      <c r="I77" s="268"/>
      <c r="L77" s="573"/>
      <c r="O77" s="268"/>
      <c r="P77" s="268"/>
      <c r="Q77" s="268"/>
      <c r="R77" s="268"/>
      <c r="S77" s="268"/>
      <c r="T77" s="268"/>
      <c r="U77" s="268"/>
      <c r="V77" s="268"/>
      <c r="W77" s="268"/>
      <c r="X77" s="268"/>
      <c r="Y77" s="268"/>
      <c r="Z77" s="268"/>
      <c r="AA77" s="268"/>
      <c r="AB77" s="268"/>
      <c r="AC77" s="268"/>
      <c r="AD77" s="268"/>
    </row>
    <row r="78">
      <c r="A78" s="22"/>
      <c r="D78" s="573"/>
      <c r="E78" s="268"/>
      <c r="F78" s="268"/>
      <c r="H78" s="405"/>
      <c r="I78" s="268"/>
      <c r="L78" s="573"/>
      <c r="O78" s="268"/>
      <c r="P78" s="268"/>
      <c r="Q78" s="268"/>
      <c r="R78" s="268"/>
      <c r="S78" s="268"/>
      <c r="T78" s="268"/>
      <c r="U78" s="268"/>
      <c r="V78" s="268"/>
      <c r="W78" s="268"/>
      <c r="X78" s="268"/>
      <c r="Y78" s="268"/>
      <c r="Z78" s="268"/>
      <c r="AA78" s="268"/>
      <c r="AB78" s="268"/>
      <c r="AC78" s="268"/>
      <c r="AD78" s="268"/>
    </row>
    <row r="79">
      <c r="A79" s="22"/>
      <c r="D79" s="573"/>
      <c r="E79" s="268"/>
      <c r="F79" s="268"/>
      <c r="H79" s="405"/>
      <c r="I79" s="268"/>
      <c r="L79" s="573"/>
      <c r="O79" s="268"/>
      <c r="P79" s="268"/>
      <c r="Q79" s="268"/>
      <c r="R79" s="268"/>
      <c r="S79" s="268"/>
      <c r="T79" s="268"/>
      <c r="U79" s="268"/>
      <c r="V79" s="268"/>
      <c r="W79" s="268"/>
      <c r="X79" s="268"/>
      <c r="Y79" s="268"/>
      <c r="Z79" s="268"/>
      <c r="AA79" s="268"/>
      <c r="AB79" s="268"/>
      <c r="AC79" s="268"/>
      <c r="AD79" s="268"/>
    </row>
    <row r="80">
      <c r="A80" s="22"/>
      <c r="D80" s="573"/>
      <c r="E80" s="268"/>
      <c r="F80" s="268"/>
      <c r="H80" s="405"/>
      <c r="I80" s="268"/>
      <c r="L80" s="573"/>
      <c r="O80" s="268"/>
      <c r="P80" s="268"/>
      <c r="Q80" s="268"/>
      <c r="R80" s="268"/>
      <c r="S80" s="268"/>
      <c r="T80" s="268"/>
      <c r="U80" s="268"/>
      <c r="V80" s="268"/>
      <c r="W80" s="268"/>
      <c r="X80" s="268"/>
      <c r="Y80" s="268"/>
      <c r="Z80" s="268"/>
      <c r="AA80" s="268"/>
      <c r="AB80" s="268"/>
      <c r="AC80" s="268"/>
      <c r="AD80" s="268"/>
    </row>
    <row r="81">
      <c r="A81" s="22"/>
      <c r="D81" s="573"/>
      <c r="E81" s="268"/>
      <c r="F81" s="268"/>
      <c r="H81" s="405"/>
      <c r="I81" s="268"/>
      <c r="L81" s="573"/>
      <c r="O81" s="268"/>
      <c r="P81" s="268"/>
      <c r="Q81" s="268"/>
      <c r="R81" s="268"/>
      <c r="S81" s="268"/>
      <c r="T81" s="268"/>
      <c r="U81" s="268"/>
      <c r="V81" s="268"/>
      <c r="W81" s="268"/>
      <c r="X81" s="268"/>
      <c r="Y81" s="268"/>
      <c r="Z81" s="268"/>
      <c r="AA81" s="268"/>
      <c r="AB81" s="268"/>
      <c r="AC81" s="268"/>
      <c r="AD81" s="268"/>
    </row>
    <row r="82">
      <c r="A82" s="22"/>
      <c r="D82" s="573"/>
      <c r="E82" s="268"/>
      <c r="F82" s="268"/>
      <c r="H82" s="405"/>
      <c r="I82" s="268"/>
      <c r="L82" s="573"/>
      <c r="O82" s="268"/>
      <c r="P82" s="268"/>
      <c r="Q82" s="268"/>
      <c r="R82" s="268"/>
      <c r="S82" s="268"/>
      <c r="T82" s="268"/>
      <c r="U82" s="268"/>
      <c r="V82" s="268"/>
      <c r="W82" s="268"/>
      <c r="X82" s="268"/>
      <c r="Y82" s="268"/>
      <c r="Z82" s="268"/>
      <c r="AA82" s="268"/>
      <c r="AB82" s="268"/>
      <c r="AC82" s="268"/>
      <c r="AD82" s="268"/>
    </row>
    <row r="83">
      <c r="A83" s="22"/>
      <c r="D83" s="573"/>
      <c r="E83" s="268"/>
      <c r="F83" s="268"/>
      <c r="H83" s="405"/>
      <c r="I83" s="268"/>
      <c r="L83" s="573"/>
      <c r="O83" s="268"/>
      <c r="P83" s="268"/>
      <c r="Q83" s="268"/>
      <c r="R83" s="268"/>
      <c r="S83" s="268"/>
      <c r="T83" s="268"/>
      <c r="U83" s="268"/>
      <c r="V83" s="268"/>
      <c r="W83" s="268"/>
      <c r="X83" s="268"/>
      <c r="Y83" s="268"/>
      <c r="Z83" s="268"/>
      <c r="AA83" s="268"/>
      <c r="AB83" s="268"/>
      <c r="AC83" s="268"/>
      <c r="AD83" s="268"/>
    </row>
    <row r="84">
      <c r="A84" s="22"/>
      <c r="D84" s="573"/>
      <c r="E84" s="268"/>
      <c r="F84" s="268"/>
      <c r="H84" s="405"/>
      <c r="I84" s="268"/>
      <c r="L84" s="573"/>
      <c r="O84" s="268"/>
      <c r="P84" s="268"/>
      <c r="Q84" s="268"/>
      <c r="R84" s="268"/>
      <c r="S84" s="268"/>
      <c r="T84" s="268"/>
      <c r="U84" s="268"/>
      <c r="V84" s="268"/>
      <c r="W84" s="268"/>
      <c r="X84" s="268"/>
      <c r="Y84" s="268"/>
      <c r="Z84" s="268"/>
      <c r="AA84" s="268"/>
      <c r="AB84" s="268"/>
      <c r="AC84" s="268"/>
      <c r="AD84" s="268"/>
    </row>
    <row r="85">
      <c r="A85" s="22"/>
      <c r="D85" s="573"/>
      <c r="E85" s="268"/>
      <c r="F85" s="268"/>
      <c r="H85" s="405"/>
      <c r="I85" s="268"/>
      <c r="L85" s="573"/>
      <c r="O85" s="268"/>
      <c r="P85" s="268"/>
      <c r="Q85" s="268"/>
      <c r="R85" s="268"/>
      <c r="S85" s="268"/>
      <c r="T85" s="268"/>
      <c r="U85" s="268"/>
      <c r="V85" s="268"/>
      <c r="W85" s="268"/>
      <c r="X85" s="268"/>
      <c r="Y85" s="268"/>
      <c r="Z85" s="268"/>
      <c r="AA85" s="268"/>
      <c r="AB85" s="268"/>
      <c r="AC85" s="268"/>
      <c r="AD85" s="268"/>
    </row>
    <row r="86">
      <c r="A86" s="22"/>
      <c r="D86" s="573"/>
      <c r="E86" s="268"/>
      <c r="F86" s="268"/>
      <c r="H86" s="405"/>
      <c r="I86" s="268"/>
      <c r="L86" s="573"/>
      <c r="O86" s="268"/>
      <c r="P86" s="268"/>
      <c r="Q86" s="268"/>
      <c r="R86" s="268"/>
      <c r="S86" s="268"/>
      <c r="T86" s="268"/>
      <c r="U86" s="268"/>
      <c r="V86" s="268"/>
      <c r="W86" s="268"/>
      <c r="X86" s="268"/>
      <c r="Y86" s="268"/>
      <c r="Z86" s="268"/>
      <c r="AA86" s="268"/>
      <c r="AB86" s="268"/>
      <c r="AC86" s="268"/>
      <c r="AD86" s="268"/>
    </row>
    <row r="87">
      <c r="A87" s="22"/>
      <c r="D87" s="573"/>
      <c r="E87" s="268"/>
      <c r="F87" s="268"/>
      <c r="H87" s="405"/>
      <c r="I87" s="268"/>
      <c r="L87" s="573"/>
      <c r="O87" s="268"/>
      <c r="P87" s="268"/>
      <c r="Q87" s="268"/>
      <c r="R87" s="268"/>
      <c r="S87" s="268"/>
      <c r="T87" s="268"/>
      <c r="U87" s="268"/>
      <c r="V87" s="268"/>
      <c r="W87" s="268"/>
      <c r="X87" s="268"/>
      <c r="Y87" s="268"/>
      <c r="Z87" s="268"/>
      <c r="AA87" s="268"/>
      <c r="AB87" s="268"/>
      <c r="AC87" s="268"/>
      <c r="AD87" s="268"/>
    </row>
    <row r="88">
      <c r="A88" s="22"/>
      <c r="D88" s="573"/>
      <c r="E88" s="268"/>
      <c r="F88" s="268"/>
      <c r="H88" s="405"/>
      <c r="I88" s="268"/>
      <c r="L88" s="573"/>
      <c r="O88" s="268"/>
      <c r="P88" s="268"/>
      <c r="Q88" s="268"/>
      <c r="R88" s="268"/>
      <c r="S88" s="268"/>
      <c r="T88" s="268"/>
      <c r="U88" s="268"/>
      <c r="V88" s="268"/>
      <c r="W88" s="268"/>
      <c r="X88" s="268"/>
      <c r="Y88" s="268"/>
      <c r="Z88" s="268"/>
      <c r="AA88" s="268"/>
      <c r="AB88" s="268"/>
      <c r="AC88" s="268"/>
      <c r="AD88" s="268"/>
    </row>
    <row r="89">
      <c r="A89" s="22"/>
      <c r="D89" s="573"/>
      <c r="E89" s="268"/>
      <c r="F89" s="268"/>
      <c r="H89" s="405"/>
      <c r="I89" s="268"/>
      <c r="L89" s="573"/>
      <c r="O89" s="268"/>
      <c r="P89" s="268"/>
      <c r="Q89" s="268"/>
      <c r="R89" s="268"/>
      <c r="S89" s="268"/>
      <c r="T89" s="268"/>
      <c r="U89" s="268"/>
      <c r="V89" s="268"/>
      <c r="W89" s="268"/>
      <c r="X89" s="268"/>
      <c r="Y89" s="268"/>
      <c r="Z89" s="268"/>
      <c r="AA89" s="268"/>
      <c r="AB89" s="268"/>
      <c r="AC89" s="268"/>
      <c r="AD89" s="268"/>
    </row>
    <row r="90">
      <c r="A90" s="22"/>
      <c r="D90" s="573"/>
      <c r="E90" s="268"/>
      <c r="F90" s="268"/>
      <c r="H90" s="405"/>
      <c r="I90" s="268"/>
      <c r="L90" s="573"/>
      <c r="O90" s="268"/>
      <c r="P90" s="268"/>
      <c r="Q90" s="268"/>
      <c r="R90" s="268"/>
      <c r="S90" s="268"/>
      <c r="T90" s="268"/>
      <c r="U90" s="268"/>
      <c r="V90" s="268"/>
      <c r="W90" s="268"/>
      <c r="X90" s="268"/>
      <c r="Y90" s="268"/>
      <c r="Z90" s="268"/>
      <c r="AA90" s="268"/>
      <c r="AB90" s="268"/>
      <c r="AC90" s="268"/>
      <c r="AD90" s="268"/>
    </row>
    <row r="91">
      <c r="A91" s="22"/>
      <c r="D91" s="573"/>
      <c r="E91" s="268"/>
      <c r="F91" s="268"/>
      <c r="H91" s="405"/>
      <c r="I91" s="268"/>
      <c r="L91" s="573"/>
      <c r="O91" s="268"/>
      <c r="P91" s="268"/>
      <c r="Q91" s="268"/>
      <c r="R91" s="268"/>
      <c r="S91" s="268"/>
      <c r="T91" s="268"/>
      <c r="U91" s="268"/>
      <c r="V91" s="268"/>
      <c r="W91" s="268"/>
      <c r="X91" s="268"/>
      <c r="Y91" s="268"/>
      <c r="Z91" s="268"/>
      <c r="AA91" s="268"/>
      <c r="AB91" s="268"/>
      <c r="AC91" s="268"/>
      <c r="AD91" s="268"/>
    </row>
    <row r="92">
      <c r="A92" s="22"/>
      <c r="D92" s="573"/>
      <c r="E92" s="268"/>
      <c r="F92" s="268"/>
      <c r="H92" s="405"/>
      <c r="I92" s="268"/>
      <c r="L92" s="573"/>
      <c r="O92" s="268"/>
      <c r="P92" s="268"/>
      <c r="Q92" s="268"/>
      <c r="R92" s="268"/>
      <c r="S92" s="268"/>
      <c r="T92" s="268"/>
      <c r="U92" s="268"/>
      <c r="V92" s="268"/>
      <c r="W92" s="268"/>
      <c r="X92" s="268"/>
      <c r="Y92" s="268"/>
      <c r="Z92" s="268"/>
      <c r="AA92" s="268"/>
      <c r="AB92" s="268"/>
      <c r="AC92" s="268"/>
      <c r="AD92" s="268"/>
    </row>
    <row r="93">
      <c r="A93" s="22"/>
      <c r="D93" s="573"/>
      <c r="E93" s="268"/>
      <c r="F93" s="268"/>
      <c r="H93" s="405"/>
      <c r="I93" s="268"/>
      <c r="L93" s="573"/>
      <c r="O93" s="268"/>
      <c r="P93" s="268"/>
      <c r="Q93" s="268"/>
      <c r="R93" s="268"/>
      <c r="S93" s="268"/>
      <c r="T93" s="268"/>
      <c r="U93" s="268"/>
      <c r="V93" s="268"/>
      <c r="W93" s="268"/>
      <c r="X93" s="268"/>
      <c r="Y93" s="268"/>
      <c r="Z93" s="268"/>
      <c r="AA93" s="268"/>
      <c r="AB93" s="268"/>
      <c r="AC93" s="268"/>
      <c r="AD93" s="268"/>
    </row>
    <row r="94">
      <c r="A94" s="22"/>
      <c r="D94" s="573"/>
      <c r="E94" s="268"/>
      <c r="F94" s="268"/>
      <c r="H94" s="405"/>
      <c r="I94" s="268"/>
      <c r="L94" s="573"/>
      <c r="O94" s="268"/>
      <c r="P94" s="268"/>
      <c r="Q94" s="268"/>
      <c r="R94" s="268"/>
      <c r="S94" s="268"/>
      <c r="T94" s="268"/>
      <c r="U94" s="268"/>
      <c r="V94" s="268"/>
      <c r="W94" s="268"/>
      <c r="X94" s="268"/>
      <c r="Y94" s="268"/>
      <c r="Z94" s="268"/>
      <c r="AA94" s="268"/>
      <c r="AB94" s="268"/>
      <c r="AC94" s="268"/>
      <c r="AD94" s="268"/>
    </row>
    <row r="95">
      <c r="A95" s="22"/>
      <c r="D95" s="573"/>
      <c r="E95" s="268"/>
      <c r="F95" s="268"/>
      <c r="H95" s="405"/>
      <c r="I95" s="268"/>
      <c r="L95" s="573"/>
      <c r="O95" s="268"/>
      <c r="P95" s="268"/>
      <c r="Q95" s="268"/>
      <c r="R95" s="268"/>
      <c r="S95" s="268"/>
      <c r="T95" s="268"/>
      <c r="U95" s="268"/>
      <c r="V95" s="268"/>
      <c r="W95" s="268"/>
      <c r="X95" s="268"/>
      <c r="Y95" s="268"/>
      <c r="Z95" s="268"/>
      <c r="AA95" s="268"/>
      <c r="AB95" s="268"/>
      <c r="AC95" s="268"/>
      <c r="AD95" s="268"/>
    </row>
    <row r="96">
      <c r="A96" s="22"/>
      <c r="D96" s="573"/>
      <c r="E96" s="268"/>
      <c r="F96" s="268"/>
      <c r="H96" s="405"/>
      <c r="I96" s="268"/>
      <c r="L96" s="573"/>
      <c r="O96" s="268"/>
      <c r="P96" s="268"/>
      <c r="Q96" s="268"/>
      <c r="R96" s="268"/>
      <c r="S96" s="268"/>
      <c r="T96" s="268"/>
      <c r="U96" s="268"/>
      <c r="V96" s="268"/>
      <c r="W96" s="268"/>
      <c r="X96" s="268"/>
      <c r="Y96" s="268"/>
      <c r="Z96" s="268"/>
      <c r="AA96" s="268"/>
      <c r="AB96" s="268"/>
      <c r="AC96" s="268"/>
      <c r="AD96" s="268"/>
    </row>
    <row r="97">
      <c r="A97" s="22"/>
      <c r="D97" s="573"/>
      <c r="E97" s="268"/>
      <c r="F97" s="268"/>
      <c r="H97" s="405"/>
      <c r="I97" s="268"/>
      <c r="L97" s="573"/>
      <c r="O97" s="268"/>
      <c r="P97" s="268"/>
      <c r="Q97" s="268"/>
      <c r="R97" s="268"/>
      <c r="S97" s="268"/>
      <c r="T97" s="268"/>
      <c r="U97" s="268"/>
      <c r="V97" s="268"/>
      <c r="W97" s="268"/>
      <c r="X97" s="268"/>
      <c r="Y97" s="268"/>
      <c r="Z97" s="268"/>
      <c r="AA97" s="268"/>
      <c r="AB97" s="268"/>
      <c r="AC97" s="268"/>
      <c r="AD97" s="268"/>
    </row>
    <row r="98">
      <c r="A98" s="22"/>
      <c r="D98" s="573"/>
      <c r="E98" s="268"/>
      <c r="F98" s="268"/>
      <c r="H98" s="405"/>
      <c r="I98" s="268"/>
      <c r="L98" s="573"/>
      <c r="O98" s="268"/>
      <c r="P98" s="268"/>
      <c r="Q98" s="268"/>
      <c r="R98" s="268"/>
      <c r="S98" s="268"/>
      <c r="T98" s="268"/>
      <c r="U98" s="268"/>
      <c r="V98" s="268"/>
      <c r="W98" s="268"/>
      <c r="X98" s="268"/>
      <c r="Y98" s="268"/>
      <c r="Z98" s="268"/>
      <c r="AA98" s="268"/>
      <c r="AB98" s="268"/>
      <c r="AC98" s="268"/>
      <c r="AD98" s="268"/>
    </row>
    <row r="99">
      <c r="A99" s="22"/>
      <c r="D99" s="573"/>
      <c r="E99" s="268"/>
      <c r="F99" s="268"/>
      <c r="H99" s="405"/>
      <c r="I99" s="268"/>
      <c r="L99" s="573"/>
      <c r="O99" s="268"/>
      <c r="P99" s="268"/>
      <c r="Q99" s="268"/>
      <c r="R99" s="268"/>
      <c r="S99" s="268"/>
      <c r="T99" s="268"/>
      <c r="U99" s="268"/>
      <c r="V99" s="268"/>
      <c r="W99" s="268"/>
      <c r="X99" s="268"/>
      <c r="Y99" s="268"/>
      <c r="Z99" s="268"/>
      <c r="AA99" s="268"/>
      <c r="AB99" s="268"/>
      <c r="AC99" s="268"/>
      <c r="AD99" s="268"/>
    </row>
    <row r="100">
      <c r="A100" s="22"/>
      <c r="D100" s="573"/>
      <c r="E100" s="268"/>
      <c r="F100" s="268"/>
      <c r="H100" s="405"/>
      <c r="I100" s="268"/>
      <c r="L100" s="573"/>
      <c r="O100" s="268"/>
      <c r="P100" s="268"/>
      <c r="Q100" s="268"/>
      <c r="R100" s="268"/>
      <c r="S100" s="268"/>
      <c r="T100" s="268"/>
      <c r="U100" s="268"/>
      <c r="V100" s="268"/>
      <c r="W100" s="268"/>
      <c r="X100" s="268"/>
      <c r="Y100" s="268"/>
      <c r="Z100" s="268"/>
      <c r="AA100" s="268"/>
      <c r="AB100" s="268"/>
      <c r="AC100" s="268"/>
      <c r="AD100" s="268"/>
    </row>
  </sheetData>
  <mergeCells count="10">
    <mergeCell ref="J2:K2"/>
    <mergeCell ref="L2:M2"/>
    <mergeCell ref="A1:A3"/>
    <mergeCell ref="B1:K1"/>
    <mergeCell ref="L1:R1"/>
    <mergeCell ref="B2:C2"/>
    <mergeCell ref="D2:E2"/>
    <mergeCell ref="F2:G2"/>
    <mergeCell ref="H2:I2"/>
    <mergeCell ref="O2:Q2"/>
  </mergeCells>
  <conditionalFormatting sqref="B4:D100 F4:F100 M4:M100 O4:O100 P4:P20 Q4:Q100 R4:AD20 R22:AD49 P23:P100 R51:AD100 E58:E100 G58:L100 N58:N100">
    <cfRule type="containsText" dxfId="3" priority="1" operator="containsText" text="Yes">
      <formula>NOT(ISERROR(SEARCH(("Yes"),(B4))))</formula>
    </cfRule>
  </conditionalFormatting>
  <conditionalFormatting sqref="B1:D100 E1:E3 F1:F100 G1:L3 M1:M100 N1:N3 O1:Q1 R1:AD20 O3:O100 P3:P20 Q3:Q100 R22:AD49 P23:P100 R51:AD100 E58:E100 G58:L100 N58:N100">
    <cfRule type="containsText" dxfId="5" priority="2" operator="containsText" text="No">
      <formula>NOT(ISERROR(SEARCH(("No"),(B1))))</formula>
    </cfRule>
  </conditionalFormatting>
  <conditionalFormatting sqref="H3 H58:H100">
    <cfRule type="cellIs" dxfId="3" priority="3" operator="greaterThan">
      <formula>0.8</formula>
    </cfRule>
  </conditionalFormatting>
  <conditionalFormatting sqref="H58:H100">
    <cfRule type="cellIs" dxfId="2" priority="4" operator="between">
      <formula>0.6</formula>
      <formula>0.8</formula>
    </cfRule>
  </conditionalFormatting>
  <conditionalFormatting sqref="H58:H100">
    <cfRule type="cellIs" dxfId="7" priority="5" operator="between">
      <formula>0.5</formula>
      <formula>0.59999</formula>
    </cfRule>
  </conditionalFormatting>
  <conditionalFormatting sqref="H58:H100">
    <cfRule type="cellIs" dxfId="8" priority="6" operator="lessThan">
      <formula>0.5</formula>
    </cfRule>
  </conditionalFormatting>
  <conditionalFormatting sqref="L1:L3 L58:L100">
    <cfRule type="cellIs" dxfId="3" priority="7" operator="greaterThan">
      <formula>0.5</formula>
    </cfRule>
  </conditionalFormatting>
  <conditionalFormatting sqref="L1:L3 L58:L100">
    <cfRule type="cellIs" dxfId="2" priority="8" operator="greaterThan">
      <formula>0.25</formula>
    </cfRule>
  </conditionalFormatting>
  <conditionalFormatting sqref="L1:L3 L58:L100">
    <cfRule type="cellIs" dxfId="7" priority="9" operator="greaterThan">
      <formula>0.1</formula>
    </cfRule>
  </conditionalFormatting>
  <conditionalFormatting sqref="L1:L3 L58:L100">
    <cfRule type="cellIs" dxfId="8" priority="10" operator="lessThan">
      <formula>0.1</formula>
    </cfRule>
  </conditionalFormatting>
  <conditionalFormatting sqref="A1:D100 E1:E3 F1:F100 G1:L3 M1:M100 N1:N3 O1:Q1 R1:AD20 O3:O100 P3:P20 Q3:Q100 R22:AD49 P23:P100 R51:AD100 E58:E100 G58:L100 N58:N100">
    <cfRule type="cellIs" dxfId="4" priority="11" operator="equal">
      <formula>"Not Found"</formula>
    </cfRule>
  </conditionalFormatting>
  <hyperlinks>
    <hyperlink display="National Target (2023)" location="'EV National Targets'!A1" ref="B3"/>
    <hyperlink display="EV Incentives (2023)" location="'EV Incentives'!A1" ref="C3"/>
    <hyperlink display="Additional Generation for 30% EVs (multiplication factor) (2016-2022)" location="'Additional Generation For 30% E'!A1" ref="D3"/>
    <hyperlink display="Reliability (yearly average time without electricity, hours, various dates. SAIDI scores in yellow highlight. WBES scores w/o hightlight) (2010-2023)" location="'Grid Reliability'!A1" ref="E3"/>
    <hyperlink display="Current Rate of Motorization (2016)" location="'Current Rate of Motorization'!A1" ref="F3"/>
    <hyperlink display="EV Charging Infrastructure (2024)" location="'EV Charging Infrastructure'!A1" ref="G3"/>
    <hyperlink display="ERI Score (2022)" location="'Electricity Regulatory Index'!A1" ref="H3"/>
    <hyperlink display="Utility Cost Recovery (Operating cost and debt service recovery, including subsidies) (2019)" location="' Utility Cost Recovery'!A1" ref="I3"/>
    <hyperlink display="Borrowed any money from a formal financial institution or using a mobile money account (% age 15+) (2014-2022)" location="'Access to Finance'!A1" ref="K3"/>
    <hyperlink display="% Electricity generated from clean energy (2021)" location="'Electricity Generated from Clea'!A1" ref="L3"/>
    <hyperlink display="% CO2 Emissions from Transport (2020)" location="'CO2 from Transportation'!A1" ref="M3"/>
    <hyperlink display="Urban Air Quality (Custom AQI) (2019)" location="'Urban Air Quality'!A1" ref="N3"/>
    <hyperlink display="Fossil Fuel Subsidy Burden (% of GDP, gasoline &amp; diesel, explicit subsidies) (2023)" location="'Fossil Fuel Subsidy Burden'!A1" ref="P3"/>
    <hyperlink display="Utility Revenue Potential ($, 30% EVs) (2021)" location="'Utility Revenue Potential'!A1" ref="Q3"/>
    <hyperlink display="Projected rate of motorization (2050)" location="'Projected Rate of Motorization '!A1" ref="R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25"/>
    <col customWidth="1" min="4" max="4" width="82.88"/>
    <col customWidth="1" min="5" max="5" width="16.5"/>
    <col customWidth="1" min="6" max="6" width="9.75"/>
    <col customWidth="1" min="7" max="7" width="22.88"/>
  </cols>
  <sheetData>
    <row r="1">
      <c r="A1" s="156" t="s">
        <v>161</v>
      </c>
      <c r="B1" s="158" t="s">
        <v>195</v>
      </c>
      <c r="C1" s="158" t="s">
        <v>197</v>
      </c>
      <c r="D1" s="156" t="s">
        <v>199</v>
      </c>
      <c r="E1" s="158" t="s">
        <v>200</v>
      </c>
      <c r="F1" s="158" t="s">
        <v>201</v>
      </c>
      <c r="G1" s="161" t="s">
        <v>203</v>
      </c>
      <c r="H1" s="162" t="s">
        <v>205</v>
      </c>
      <c r="I1" s="163"/>
      <c r="J1" s="163"/>
      <c r="K1" s="163"/>
      <c r="L1" s="163"/>
      <c r="M1" s="163"/>
      <c r="N1" s="163"/>
      <c r="O1" s="163"/>
      <c r="P1" s="163"/>
      <c r="Q1" s="163"/>
      <c r="R1" s="163"/>
      <c r="S1" s="163"/>
      <c r="T1" s="163"/>
      <c r="U1" s="163"/>
      <c r="V1" s="163"/>
      <c r="W1" s="163"/>
      <c r="X1" s="163"/>
      <c r="Y1" s="163"/>
    </row>
    <row r="2">
      <c r="A2" s="165" t="s">
        <v>207</v>
      </c>
      <c r="B2" s="167" t="s">
        <v>208</v>
      </c>
      <c r="C2" s="168" t="s">
        <v>210</v>
      </c>
      <c r="D2" s="167" t="s">
        <v>212</v>
      </c>
      <c r="E2" s="167">
        <v>2023.0</v>
      </c>
      <c r="F2" s="167"/>
      <c r="G2" s="173" t="s">
        <v>203</v>
      </c>
      <c r="H2" s="176" t="s">
        <v>222</v>
      </c>
    </row>
    <row r="3">
      <c r="A3" s="177" t="s">
        <v>225</v>
      </c>
      <c r="B3" s="178" t="s">
        <v>226</v>
      </c>
      <c r="C3" s="179" t="s">
        <v>228</v>
      </c>
      <c r="D3" s="178" t="s">
        <v>229</v>
      </c>
      <c r="E3" s="178">
        <v>2022.0</v>
      </c>
      <c r="F3" s="178" t="s">
        <v>230</v>
      </c>
      <c r="G3" s="182" t="s">
        <v>231</v>
      </c>
      <c r="H3" s="184" t="s">
        <v>234</v>
      </c>
    </row>
    <row r="4">
      <c r="A4" s="177" t="s">
        <v>225</v>
      </c>
      <c r="B4" s="178" t="s">
        <v>208</v>
      </c>
      <c r="C4" s="186" t="s">
        <v>210</v>
      </c>
      <c r="D4" s="178" t="s">
        <v>237</v>
      </c>
      <c r="E4" s="178">
        <v>2019.0</v>
      </c>
      <c r="F4" s="178" t="s">
        <v>238</v>
      </c>
      <c r="G4" s="182" t="s">
        <v>239</v>
      </c>
      <c r="H4" s="184" t="s">
        <v>234</v>
      </c>
    </row>
    <row r="5">
      <c r="A5" s="177" t="s">
        <v>225</v>
      </c>
      <c r="B5" s="178" t="s">
        <v>208</v>
      </c>
      <c r="C5" s="186" t="s">
        <v>210</v>
      </c>
      <c r="D5" s="178" t="s">
        <v>247</v>
      </c>
      <c r="E5" s="178">
        <v>2019.0</v>
      </c>
      <c r="F5" s="178" t="s">
        <v>230</v>
      </c>
      <c r="G5" s="182" t="s">
        <v>239</v>
      </c>
      <c r="H5" s="184" t="s">
        <v>234</v>
      </c>
    </row>
    <row r="6">
      <c r="A6" s="177" t="s">
        <v>225</v>
      </c>
      <c r="B6" s="178" t="s">
        <v>208</v>
      </c>
      <c r="C6" s="186" t="s">
        <v>210</v>
      </c>
      <c r="D6" s="178" t="s">
        <v>248</v>
      </c>
      <c r="E6" s="178">
        <v>2019.0</v>
      </c>
      <c r="F6" s="178" t="s">
        <v>249</v>
      </c>
      <c r="G6" s="182" t="s">
        <v>239</v>
      </c>
      <c r="H6" s="184" t="s">
        <v>234</v>
      </c>
    </row>
    <row r="7">
      <c r="A7" s="177" t="s">
        <v>225</v>
      </c>
      <c r="B7" s="178" t="s">
        <v>208</v>
      </c>
      <c r="C7" s="186" t="s">
        <v>210</v>
      </c>
      <c r="D7" s="178" t="s">
        <v>250</v>
      </c>
      <c r="E7" s="178">
        <v>2019.0</v>
      </c>
      <c r="F7" s="178" t="s">
        <v>249</v>
      </c>
      <c r="G7" s="182" t="s">
        <v>239</v>
      </c>
      <c r="H7" s="184" t="s">
        <v>234</v>
      </c>
    </row>
    <row r="8">
      <c r="A8" s="177" t="s">
        <v>225</v>
      </c>
      <c r="B8" s="178" t="s">
        <v>208</v>
      </c>
      <c r="C8" s="186" t="s">
        <v>210</v>
      </c>
      <c r="D8" s="178" t="s">
        <v>252</v>
      </c>
      <c r="E8" s="178">
        <v>2019.0</v>
      </c>
      <c r="F8" s="178" t="s">
        <v>230</v>
      </c>
      <c r="G8" s="194" t="s">
        <v>253</v>
      </c>
      <c r="H8" s="184" t="s">
        <v>234</v>
      </c>
    </row>
    <row r="9">
      <c r="A9" s="177" t="s">
        <v>255</v>
      </c>
      <c r="B9" s="178" t="s">
        <v>208</v>
      </c>
      <c r="C9" s="186" t="s">
        <v>210</v>
      </c>
      <c r="D9" s="178" t="s">
        <v>256</v>
      </c>
      <c r="E9" s="178">
        <v>2024.0</v>
      </c>
      <c r="F9" s="178"/>
      <c r="G9" s="194" t="s">
        <v>257</v>
      </c>
      <c r="H9" s="203"/>
    </row>
    <row r="10">
      <c r="A10" s="177" t="s">
        <v>263</v>
      </c>
      <c r="B10" s="178" t="s">
        <v>208</v>
      </c>
      <c r="C10" s="186" t="s">
        <v>210</v>
      </c>
      <c r="D10" s="178" t="s">
        <v>264</v>
      </c>
      <c r="E10" s="178">
        <v>2022.0</v>
      </c>
      <c r="F10" s="178" t="s">
        <v>230</v>
      </c>
      <c r="G10" s="182" t="s">
        <v>265</v>
      </c>
      <c r="H10" s="184" t="s">
        <v>234</v>
      </c>
    </row>
    <row r="11">
      <c r="A11" s="177" t="s">
        <v>266</v>
      </c>
      <c r="B11" s="178" t="s">
        <v>208</v>
      </c>
      <c r="C11" s="186" t="s">
        <v>210</v>
      </c>
      <c r="D11" s="178" t="s">
        <v>267</v>
      </c>
      <c r="E11" s="178">
        <v>2023.0</v>
      </c>
      <c r="F11" s="178"/>
      <c r="G11" s="194" t="s">
        <v>203</v>
      </c>
      <c r="H11" s="184" t="s">
        <v>222</v>
      </c>
    </row>
    <row r="12">
      <c r="A12" s="177" t="s">
        <v>266</v>
      </c>
      <c r="B12" s="178" t="s">
        <v>208</v>
      </c>
      <c r="C12" s="179" t="s">
        <v>228</v>
      </c>
      <c r="D12" s="178" t="s">
        <v>271</v>
      </c>
      <c r="E12" s="178">
        <v>2022.0</v>
      </c>
      <c r="F12" s="178" t="s">
        <v>230</v>
      </c>
      <c r="G12" s="182" t="s">
        <v>274</v>
      </c>
      <c r="H12" s="184" t="s">
        <v>234</v>
      </c>
    </row>
    <row r="13">
      <c r="A13" s="177" t="s">
        <v>266</v>
      </c>
      <c r="B13" s="178" t="s">
        <v>208</v>
      </c>
      <c r="C13" s="179" t="s">
        <v>228</v>
      </c>
      <c r="D13" s="178" t="s">
        <v>275</v>
      </c>
      <c r="E13" s="178">
        <v>2022.0</v>
      </c>
      <c r="F13" s="178" t="s">
        <v>238</v>
      </c>
      <c r="G13" s="182" t="s">
        <v>274</v>
      </c>
      <c r="H13" s="184" t="s">
        <v>234</v>
      </c>
    </row>
    <row r="14">
      <c r="A14" s="177" t="s">
        <v>266</v>
      </c>
      <c r="B14" s="178" t="s">
        <v>226</v>
      </c>
      <c r="C14" s="179" t="s">
        <v>228</v>
      </c>
      <c r="D14" s="178" t="s">
        <v>279</v>
      </c>
      <c r="E14" s="178">
        <v>2022.0</v>
      </c>
      <c r="F14" s="178" t="s">
        <v>230</v>
      </c>
      <c r="G14" s="182" t="s">
        <v>231</v>
      </c>
      <c r="H14" s="184" t="s">
        <v>234</v>
      </c>
    </row>
    <row r="15">
      <c r="A15" s="177" t="s">
        <v>280</v>
      </c>
      <c r="B15" s="178" t="s">
        <v>226</v>
      </c>
      <c r="C15" s="179" t="s">
        <v>228</v>
      </c>
      <c r="D15" s="178" t="s">
        <v>279</v>
      </c>
      <c r="E15" s="178">
        <v>2022.0</v>
      </c>
      <c r="F15" s="178" t="s">
        <v>230</v>
      </c>
      <c r="G15" s="182" t="s">
        <v>231</v>
      </c>
      <c r="H15" s="184" t="s">
        <v>234</v>
      </c>
    </row>
    <row r="16">
      <c r="A16" s="177" t="s">
        <v>280</v>
      </c>
      <c r="B16" s="178" t="s">
        <v>281</v>
      </c>
      <c r="C16" s="186" t="s">
        <v>210</v>
      </c>
      <c r="D16" s="178" t="s">
        <v>282</v>
      </c>
      <c r="E16" s="178">
        <v>2023.0</v>
      </c>
      <c r="F16" s="178"/>
      <c r="G16" s="194" t="s">
        <v>283</v>
      </c>
      <c r="H16" s="203" t="s">
        <v>284</v>
      </c>
    </row>
    <row r="17">
      <c r="A17" s="177" t="s">
        <v>280</v>
      </c>
      <c r="B17" s="178" t="s">
        <v>208</v>
      </c>
      <c r="C17" s="179" t="s">
        <v>228</v>
      </c>
      <c r="D17" s="178" t="s">
        <v>287</v>
      </c>
      <c r="E17" s="178">
        <v>2020.0</v>
      </c>
      <c r="F17" s="178" t="s">
        <v>244</v>
      </c>
      <c r="G17" s="182" t="s">
        <v>289</v>
      </c>
      <c r="H17" s="184" t="s">
        <v>234</v>
      </c>
    </row>
    <row r="18">
      <c r="A18" s="177" t="s">
        <v>290</v>
      </c>
      <c r="B18" s="178" t="s">
        <v>226</v>
      </c>
      <c r="C18" s="179" t="s">
        <v>228</v>
      </c>
      <c r="D18" s="178" t="s">
        <v>279</v>
      </c>
      <c r="E18" s="178">
        <v>2022.0</v>
      </c>
      <c r="F18" s="178" t="s">
        <v>230</v>
      </c>
      <c r="G18" s="182" t="s">
        <v>231</v>
      </c>
      <c r="H18" s="184" t="s">
        <v>234</v>
      </c>
    </row>
    <row r="19">
      <c r="A19" s="211" t="s">
        <v>291</v>
      </c>
      <c r="B19" s="212" t="s">
        <v>208</v>
      </c>
      <c r="C19" s="179" t="s">
        <v>228</v>
      </c>
      <c r="D19" s="212" t="s">
        <v>292</v>
      </c>
      <c r="E19" s="212">
        <v>2023.0</v>
      </c>
      <c r="F19" s="124"/>
      <c r="G19" s="214" t="s">
        <v>203</v>
      </c>
      <c r="H19" s="216" t="s">
        <v>222</v>
      </c>
    </row>
    <row r="20">
      <c r="A20" s="177" t="s">
        <v>296</v>
      </c>
      <c r="B20" s="178" t="s">
        <v>208</v>
      </c>
      <c r="C20" s="186" t="s">
        <v>210</v>
      </c>
      <c r="D20" s="178" t="s">
        <v>298</v>
      </c>
      <c r="E20" s="178">
        <v>2024.0</v>
      </c>
      <c r="F20" s="178"/>
      <c r="G20" s="194" t="s">
        <v>203</v>
      </c>
      <c r="H20" s="203"/>
    </row>
    <row r="21">
      <c r="A21" s="177" t="s">
        <v>299</v>
      </c>
      <c r="B21" s="178" t="s">
        <v>208</v>
      </c>
      <c r="C21" s="179" t="s">
        <v>228</v>
      </c>
      <c r="D21" s="178" t="s">
        <v>300</v>
      </c>
      <c r="E21" s="178">
        <v>2020.0</v>
      </c>
      <c r="F21" s="178" t="s">
        <v>230</v>
      </c>
      <c r="G21" s="194" t="s">
        <v>301</v>
      </c>
      <c r="H21" s="184" t="s">
        <v>234</v>
      </c>
    </row>
    <row r="22">
      <c r="A22" s="177" t="s">
        <v>302</v>
      </c>
      <c r="B22" s="178" t="s">
        <v>226</v>
      </c>
      <c r="C22" s="179" t="s">
        <v>228</v>
      </c>
      <c r="D22" s="178" t="s">
        <v>279</v>
      </c>
      <c r="E22" s="178">
        <v>2022.0</v>
      </c>
      <c r="F22" s="178" t="s">
        <v>230</v>
      </c>
      <c r="G22" s="182" t="s">
        <v>231</v>
      </c>
      <c r="H22" s="184" t="s">
        <v>234</v>
      </c>
    </row>
    <row r="23">
      <c r="A23" s="177" t="s">
        <v>309</v>
      </c>
      <c r="B23" s="178" t="s">
        <v>208</v>
      </c>
      <c r="C23" s="186" t="s">
        <v>210</v>
      </c>
      <c r="D23" s="178" t="s">
        <v>310</v>
      </c>
      <c r="E23" s="178">
        <v>2022.0</v>
      </c>
      <c r="F23" s="178" t="s">
        <v>230</v>
      </c>
      <c r="G23" s="182" t="s">
        <v>311</v>
      </c>
      <c r="H23" s="184" t="s">
        <v>234</v>
      </c>
    </row>
    <row r="24">
      <c r="A24" s="177" t="s">
        <v>309</v>
      </c>
      <c r="B24" s="178" t="s">
        <v>208</v>
      </c>
      <c r="C24" s="186" t="s">
        <v>210</v>
      </c>
      <c r="D24" s="178" t="s">
        <v>312</v>
      </c>
      <c r="E24" s="178">
        <v>2022.0</v>
      </c>
      <c r="F24" s="178" t="s">
        <v>238</v>
      </c>
      <c r="G24" s="182" t="s">
        <v>311</v>
      </c>
      <c r="H24" s="184" t="s">
        <v>234</v>
      </c>
    </row>
    <row r="25">
      <c r="A25" s="177" t="s">
        <v>313</v>
      </c>
      <c r="B25" s="178" t="s">
        <v>208</v>
      </c>
      <c r="C25" s="186" t="s">
        <v>210</v>
      </c>
      <c r="D25" s="178" t="s">
        <v>314</v>
      </c>
      <c r="E25" s="178">
        <v>2018.0</v>
      </c>
      <c r="F25" s="178" t="s">
        <v>244</v>
      </c>
      <c r="G25" s="182" t="s">
        <v>315</v>
      </c>
      <c r="H25" s="184" t="s">
        <v>234</v>
      </c>
    </row>
    <row r="26">
      <c r="A26" s="177" t="s">
        <v>313</v>
      </c>
      <c r="B26" s="178" t="s">
        <v>208</v>
      </c>
      <c r="C26" s="186" t="s">
        <v>210</v>
      </c>
      <c r="D26" s="178" t="s">
        <v>316</v>
      </c>
      <c r="E26" s="178">
        <v>2018.0</v>
      </c>
      <c r="F26" s="178" t="s">
        <v>272</v>
      </c>
      <c r="G26" s="182" t="s">
        <v>315</v>
      </c>
      <c r="H26" s="207"/>
    </row>
    <row r="27">
      <c r="A27" s="236" t="s">
        <v>318</v>
      </c>
      <c r="B27" s="22" t="s">
        <v>208</v>
      </c>
      <c r="C27" s="239" t="s">
        <v>210</v>
      </c>
      <c r="D27" s="22" t="s">
        <v>319</v>
      </c>
      <c r="E27" s="22">
        <v>2023.0</v>
      </c>
      <c r="G27" s="214" t="s">
        <v>203</v>
      </c>
      <c r="H27" s="241"/>
    </row>
    <row r="28">
      <c r="A28" s="242" t="s">
        <v>320</v>
      </c>
      <c r="B28" s="244" t="s">
        <v>208</v>
      </c>
      <c r="C28" s="245" t="s">
        <v>321</v>
      </c>
      <c r="D28" s="244" t="s">
        <v>323</v>
      </c>
      <c r="E28" s="244">
        <v>2022.0</v>
      </c>
      <c r="F28" s="248"/>
      <c r="G28" s="251" t="s">
        <v>203</v>
      </c>
      <c r="H28" s="252"/>
    </row>
    <row r="29">
      <c r="A29" s="253"/>
    </row>
    <row r="30">
      <c r="A30" s="253"/>
      <c r="C30" s="181" t="s">
        <v>325</v>
      </c>
      <c r="E30" s="258"/>
      <c r="F30" s="258"/>
    </row>
    <row r="31">
      <c r="A31" s="253"/>
      <c r="C31" s="271" t="str">
        <f t="array" ref="C31:C48">{"INDICATOR INFORMATION";
  "Index Category: "&amp;CHAR(10)&amp;
  "EV Readiness Index - Measures country preparedness to adopt EVs at large scale";
  "";
  "Sub-Category: "&amp;CHAR(10)&amp;
  "Enabling Policies";
  "";
  "Indicator Name: "&amp;CHAR(10)&amp;
  "EV National Targets";
  "";
  "Description: "&amp;CHAR(10)&amp;
  "Records key ambitions and targets that support the deployment of electric vehicles (EVs) in Africa.";
  "";
  "Scoring Categories: "&amp;CHAR(10)&amp;
  "• No EV-specific targets = Low Readiness (1/3)"&amp;CHAR(10)&amp;
  "• Has EV-specific targets = High Readiness (3/3)";
  "";
  "Focus: "&amp;CHAR(10)&amp;
  "• EV-specific ambitions and penetration targets";
  "";
  "Data Categories: "&amp;CHAR(10)&amp;
  "• National Targets"&amp;CHAR(10)&amp;
  "• National Ambitions"&amp;CHAR(10)&amp;
  "• Multi-national Commitments";
  "";
  "Last Updated: 2022";
  "";
  "Primary Sources: "&amp;CHAR(10)&amp;
  "• IEA"&amp;CHAR(10)&amp;
  "• Government Documents"&amp;CHAR(10)&amp;
  "• Climatescope"}</f>
        <v>INDICATOR INFORMATION</v>
      </c>
      <c r="D31" s="272"/>
      <c r="E31" s="273"/>
      <c r="F31" s="274"/>
    </row>
    <row r="32">
      <c r="C32" s="275" t="s">
        <v>339</v>
      </c>
      <c r="E32" s="275"/>
    </row>
    <row r="33">
      <c r="C33" s="275" t="s">
        <v>126</v>
      </c>
      <c r="E33" s="275"/>
    </row>
    <row r="34">
      <c r="C34" s="275" t="s">
        <v>341</v>
      </c>
      <c r="E34" s="275"/>
    </row>
    <row r="35">
      <c r="A35" s="12"/>
      <c r="C35" s="275" t="s">
        <v>126</v>
      </c>
      <c r="E35" s="275"/>
    </row>
    <row r="36">
      <c r="A36" s="276"/>
      <c r="B36" s="276"/>
      <c r="C36" s="275" t="s">
        <v>344</v>
      </c>
      <c r="D36" s="276"/>
      <c r="E36" s="277"/>
      <c r="F36" s="278"/>
      <c r="G36" s="280"/>
    </row>
    <row r="37">
      <c r="C37" s="275" t="s">
        <v>126</v>
      </c>
      <c r="E37" s="275"/>
    </row>
    <row r="38">
      <c r="C38" s="275" t="s">
        <v>347</v>
      </c>
      <c r="E38" s="275"/>
    </row>
    <row r="39">
      <c r="C39" s="275" t="s">
        <v>126</v>
      </c>
      <c r="E39" s="275"/>
    </row>
    <row r="40">
      <c r="C40" s="275" t="s">
        <v>348</v>
      </c>
      <c r="E40" s="275"/>
    </row>
    <row r="41">
      <c r="C41" s="275" t="s">
        <v>126</v>
      </c>
      <c r="E41" s="275"/>
    </row>
    <row r="42">
      <c r="C42" s="275" t="s">
        <v>349</v>
      </c>
      <c r="E42" s="275"/>
    </row>
    <row r="43">
      <c r="C43" s="275" t="s">
        <v>126</v>
      </c>
      <c r="E43" s="275"/>
    </row>
    <row r="44">
      <c r="C44" s="275" t="s">
        <v>350</v>
      </c>
      <c r="E44" s="275"/>
    </row>
    <row r="45">
      <c r="C45" s="275" t="s">
        <v>126</v>
      </c>
      <c r="E45" s="275"/>
    </row>
    <row r="46">
      <c r="C46" s="275" t="s">
        <v>352</v>
      </c>
      <c r="E46" s="275"/>
    </row>
    <row r="47">
      <c r="C47" s="275" t="s">
        <v>126</v>
      </c>
      <c r="E47" s="275"/>
    </row>
    <row r="48">
      <c r="C48" s="275" t="s">
        <v>353</v>
      </c>
      <c r="E48" s="275"/>
    </row>
    <row r="49">
      <c r="C49" s="282"/>
      <c r="D49" s="283"/>
      <c r="E49" s="275"/>
    </row>
  </sheetData>
  <mergeCells count="1">
    <mergeCell ref="C30:D30"/>
  </mergeCells>
  <hyperlinks>
    <hyperlink r:id="rId1" location=":~:text=This%20marks%20the%20beginning%20of,the%20EV%20landscape%20in%20Algeria."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G10"/>
    <hyperlink r:id="rId17" ref="H10"/>
    <hyperlink r:id="rId18" ref="G11"/>
    <hyperlink r:id="rId19" ref="H11"/>
    <hyperlink r:id="rId20" ref="G12"/>
    <hyperlink r:id="rId21" ref="H12"/>
    <hyperlink r:id="rId22" ref="G13"/>
    <hyperlink r:id="rId23" ref="H13"/>
    <hyperlink r:id="rId24" ref="G14"/>
    <hyperlink r:id="rId25" ref="H14"/>
    <hyperlink r:id="rId26" ref="G15"/>
    <hyperlink r:id="rId27" ref="H15"/>
    <hyperlink r:id="rId28" ref="G16"/>
    <hyperlink r:id="rId29" ref="G17"/>
    <hyperlink r:id="rId30" ref="H17"/>
    <hyperlink r:id="rId31" ref="G18"/>
    <hyperlink r:id="rId32" ref="H18"/>
    <hyperlink r:id="rId33" ref="G19"/>
    <hyperlink r:id="rId34" ref="H19"/>
    <hyperlink r:id="rId35" ref="G20"/>
    <hyperlink r:id="rId36" ref="G21"/>
    <hyperlink r:id="rId37" ref="H21"/>
    <hyperlink r:id="rId38" ref="G22"/>
    <hyperlink r:id="rId39" ref="H22"/>
    <hyperlink r:id="rId40" ref="G23"/>
    <hyperlink r:id="rId41" ref="H23"/>
    <hyperlink r:id="rId42" ref="G24"/>
    <hyperlink r:id="rId43" ref="H24"/>
    <hyperlink r:id="rId44" location=":~:text=The%20Department%20of%20Transport%20is,the%20transport%20sector%20by%202050." ref="G25"/>
    <hyperlink r:id="rId45" ref="H25"/>
    <hyperlink r:id="rId46" location=":~:text=The%20Department%20of%20Transport%20is,the%20transport%20sector%20by%202050." ref="G26"/>
    <hyperlink r:id="rId47" ref="G27"/>
    <hyperlink r:id="rId48" ref="G28"/>
    <hyperlink r:id="rId49" location="slide=id.g2edd551b383_0_682" ref="C30"/>
  </hyperlinks>
  <drawing r:id="rId5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88"/>
    <col customWidth="1" min="3" max="3" width="18.75"/>
    <col customWidth="1" min="4" max="4" width="137.38"/>
    <col customWidth="1" min="5" max="5" width="16.5"/>
    <col customWidth="1" min="7" max="7" width="15.25"/>
  </cols>
  <sheetData>
    <row r="1">
      <c r="A1" s="156" t="s">
        <v>161</v>
      </c>
      <c r="B1" s="156" t="s">
        <v>195</v>
      </c>
      <c r="C1" s="156" t="s">
        <v>197</v>
      </c>
      <c r="D1" s="156" t="s">
        <v>199</v>
      </c>
      <c r="E1" s="158" t="s">
        <v>200</v>
      </c>
      <c r="F1" s="156" t="s">
        <v>201</v>
      </c>
      <c r="G1" s="185" t="s">
        <v>203</v>
      </c>
      <c r="H1" s="162" t="s">
        <v>203</v>
      </c>
      <c r="I1" s="163"/>
      <c r="J1" s="163"/>
      <c r="K1" s="163"/>
      <c r="L1" s="163"/>
      <c r="M1" s="163"/>
      <c r="N1" s="163"/>
      <c r="O1" s="163"/>
      <c r="P1" s="163"/>
      <c r="Q1" s="163"/>
      <c r="R1" s="163"/>
      <c r="S1" s="163"/>
      <c r="T1" s="163"/>
      <c r="U1" s="163"/>
      <c r="V1" s="163"/>
      <c r="W1" s="163"/>
      <c r="X1" s="163"/>
      <c r="Y1" s="163"/>
      <c r="Z1" s="163"/>
    </row>
    <row r="2">
      <c r="A2" s="188" t="s">
        <v>240</v>
      </c>
      <c r="B2" s="189" t="s">
        <v>208</v>
      </c>
      <c r="C2" s="189" t="s">
        <v>242</v>
      </c>
      <c r="D2" s="189" t="s">
        <v>243</v>
      </c>
      <c r="E2" s="189">
        <v>2022.0</v>
      </c>
      <c r="F2" s="189" t="s">
        <v>244</v>
      </c>
      <c r="G2" s="193" t="s">
        <v>245</v>
      </c>
      <c r="H2" s="195" t="s">
        <v>234</v>
      </c>
    </row>
    <row r="3">
      <c r="A3" s="197" t="s">
        <v>240</v>
      </c>
      <c r="B3" s="198" t="s">
        <v>208</v>
      </c>
      <c r="C3" s="198" t="s">
        <v>242</v>
      </c>
      <c r="D3" s="198" t="s">
        <v>259</v>
      </c>
      <c r="E3" s="198">
        <v>2022.0</v>
      </c>
      <c r="F3" s="198"/>
      <c r="G3" s="205" t="s">
        <v>203</v>
      </c>
      <c r="H3" s="184" t="s">
        <v>222</v>
      </c>
    </row>
    <row r="4">
      <c r="A4" s="177" t="s">
        <v>268</v>
      </c>
      <c r="B4" s="178" t="s">
        <v>208</v>
      </c>
      <c r="C4" s="178" t="s">
        <v>242</v>
      </c>
      <c r="D4" s="178" t="s">
        <v>269</v>
      </c>
      <c r="E4" s="178">
        <v>2023.0</v>
      </c>
      <c r="F4" s="198"/>
      <c r="G4" s="205" t="s">
        <v>203</v>
      </c>
      <c r="H4" s="207"/>
    </row>
    <row r="5">
      <c r="A5" s="177" t="s">
        <v>225</v>
      </c>
      <c r="B5" s="178" t="s">
        <v>208</v>
      </c>
      <c r="C5" s="178" t="s">
        <v>242</v>
      </c>
      <c r="D5" s="178" t="s">
        <v>270</v>
      </c>
      <c r="E5" s="178">
        <v>2022.0</v>
      </c>
      <c r="F5" s="198" t="s">
        <v>272</v>
      </c>
      <c r="G5" s="205" t="s">
        <v>273</v>
      </c>
      <c r="H5" s="207"/>
    </row>
    <row r="6">
      <c r="A6" s="197" t="s">
        <v>276</v>
      </c>
      <c r="B6" s="198" t="s">
        <v>226</v>
      </c>
      <c r="C6" s="198" t="s">
        <v>277</v>
      </c>
      <c r="D6" s="198" t="s">
        <v>278</v>
      </c>
      <c r="E6" s="198">
        <v>2023.0</v>
      </c>
      <c r="F6" s="198"/>
      <c r="G6" s="205" t="s">
        <v>203</v>
      </c>
      <c r="H6" s="203"/>
    </row>
    <row r="7">
      <c r="A7" s="197" t="s">
        <v>285</v>
      </c>
      <c r="B7" s="198" t="s">
        <v>208</v>
      </c>
      <c r="C7" s="198" t="s">
        <v>242</v>
      </c>
      <c r="D7" s="198" t="s">
        <v>286</v>
      </c>
      <c r="E7" s="198">
        <v>2018.0</v>
      </c>
      <c r="F7" s="198"/>
      <c r="G7" s="205" t="s">
        <v>288</v>
      </c>
      <c r="H7" s="184" t="s">
        <v>222</v>
      </c>
    </row>
    <row r="8">
      <c r="A8" s="197" t="s">
        <v>285</v>
      </c>
      <c r="B8" s="198" t="s">
        <v>208</v>
      </c>
      <c r="C8" s="198" t="s">
        <v>293</v>
      </c>
      <c r="D8" s="198" t="s">
        <v>294</v>
      </c>
      <c r="E8" s="198">
        <v>2021.0</v>
      </c>
      <c r="F8" s="198"/>
      <c r="G8" s="205" t="s">
        <v>203</v>
      </c>
      <c r="H8" s="184" t="s">
        <v>222</v>
      </c>
    </row>
    <row r="9">
      <c r="A9" s="177" t="s">
        <v>255</v>
      </c>
      <c r="B9" s="178" t="s">
        <v>208</v>
      </c>
      <c r="C9" s="178" t="s">
        <v>242</v>
      </c>
      <c r="D9" s="178" t="s">
        <v>295</v>
      </c>
      <c r="E9" s="178">
        <v>2022.0</v>
      </c>
      <c r="F9" s="178" t="s">
        <v>244</v>
      </c>
      <c r="G9" s="231" t="s">
        <v>297</v>
      </c>
      <c r="H9" s="184" t="s">
        <v>234</v>
      </c>
      <c r="I9" s="16"/>
    </row>
    <row r="10">
      <c r="A10" s="197" t="s">
        <v>255</v>
      </c>
      <c r="B10" s="198" t="s">
        <v>208</v>
      </c>
      <c r="C10" s="198" t="s">
        <v>242</v>
      </c>
      <c r="D10" s="198" t="s">
        <v>317</v>
      </c>
      <c r="E10" s="198">
        <v>2022.0</v>
      </c>
      <c r="F10" s="198"/>
      <c r="G10" s="205" t="s">
        <v>203</v>
      </c>
      <c r="H10" s="243" t="s">
        <v>222</v>
      </c>
    </row>
    <row r="11">
      <c r="A11" s="197" t="s">
        <v>255</v>
      </c>
      <c r="B11" s="198" t="s">
        <v>208</v>
      </c>
      <c r="C11" s="198" t="s">
        <v>293</v>
      </c>
      <c r="D11" s="198" t="s">
        <v>322</v>
      </c>
      <c r="E11" s="198">
        <v>2024.0</v>
      </c>
      <c r="F11" s="246"/>
      <c r="G11" s="205" t="s">
        <v>203</v>
      </c>
      <c r="H11" s="207"/>
    </row>
    <row r="12">
      <c r="A12" s="197" t="s">
        <v>255</v>
      </c>
      <c r="B12" s="198" t="s">
        <v>208</v>
      </c>
      <c r="C12" s="198" t="s">
        <v>242</v>
      </c>
      <c r="D12" s="198" t="s">
        <v>326</v>
      </c>
      <c r="E12" s="198">
        <v>2020.0</v>
      </c>
      <c r="F12" s="246"/>
      <c r="G12" s="205" t="s">
        <v>203</v>
      </c>
      <c r="H12" s="207"/>
    </row>
    <row r="13">
      <c r="A13" s="197" t="s">
        <v>266</v>
      </c>
      <c r="B13" s="198" t="s">
        <v>208</v>
      </c>
      <c r="C13" s="198" t="s">
        <v>242</v>
      </c>
      <c r="D13" s="198" t="s">
        <v>327</v>
      </c>
      <c r="E13" s="198">
        <v>2023.0</v>
      </c>
      <c r="F13" s="198" t="s">
        <v>272</v>
      </c>
      <c r="G13" s="205" t="s">
        <v>328</v>
      </c>
      <c r="H13" s="184" t="s">
        <v>330</v>
      </c>
    </row>
    <row r="14">
      <c r="A14" s="197" t="s">
        <v>280</v>
      </c>
      <c r="B14" s="198" t="s">
        <v>208</v>
      </c>
      <c r="C14" s="198" t="s">
        <v>242</v>
      </c>
      <c r="D14" s="198" t="s">
        <v>332</v>
      </c>
      <c r="E14" s="198">
        <v>2019.0</v>
      </c>
      <c r="F14" s="198"/>
      <c r="G14" s="205" t="s">
        <v>203</v>
      </c>
      <c r="H14" s="203"/>
    </row>
    <row r="15">
      <c r="A15" s="197" t="s">
        <v>280</v>
      </c>
      <c r="B15" s="198" t="s">
        <v>208</v>
      </c>
      <c r="C15" s="198" t="s">
        <v>242</v>
      </c>
      <c r="D15" s="198" t="s">
        <v>334</v>
      </c>
      <c r="E15" s="198">
        <v>2024.0</v>
      </c>
      <c r="F15" s="198"/>
      <c r="G15" s="205" t="s">
        <v>203</v>
      </c>
      <c r="H15" s="184" t="s">
        <v>335</v>
      </c>
    </row>
    <row r="16">
      <c r="A16" s="197" t="s">
        <v>336</v>
      </c>
      <c r="B16" s="198" t="s">
        <v>208</v>
      </c>
      <c r="C16" s="198" t="s">
        <v>242</v>
      </c>
      <c r="D16" s="198" t="s">
        <v>337</v>
      </c>
      <c r="E16" s="198">
        <v>2024.0</v>
      </c>
      <c r="F16" s="198"/>
      <c r="G16" s="205" t="s">
        <v>203</v>
      </c>
      <c r="H16" s="203"/>
    </row>
    <row r="17">
      <c r="A17" s="197" t="s">
        <v>343</v>
      </c>
      <c r="B17" s="198" t="s">
        <v>208</v>
      </c>
      <c r="C17" s="198" t="s">
        <v>242</v>
      </c>
      <c r="D17" s="198" t="s">
        <v>345</v>
      </c>
      <c r="E17" s="198">
        <v>2024.0</v>
      </c>
      <c r="F17" s="198"/>
      <c r="G17" s="279"/>
      <c r="H17" s="184" t="s">
        <v>335</v>
      </c>
    </row>
    <row r="18">
      <c r="A18" s="197" t="s">
        <v>354</v>
      </c>
      <c r="B18" s="198" t="s">
        <v>208</v>
      </c>
      <c r="C18" s="198" t="s">
        <v>242</v>
      </c>
      <c r="D18" s="198" t="s">
        <v>355</v>
      </c>
      <c r="E18" s="198">
        <v>2022.0</v>
      </c>
      <c r="F18" s="198"/>
      <c r="G18" s="205" t="s">
        <v>203</v>
      </c>
      <c r="H18" s="203"/>
    </row>
    <row r="19">
      <c r="A19" s="197" t="s">
        <v>354</v>
      </c>
      <c r="B19" s="198" t="s">
        <v>208</v>
      </c>
      <c r="C19" s="198" t="s">
        <v>242</v>
      </c>
      <c r="D19" s="198" t="s">
        <v>358</v>
      </c>
      <c r="E19" s="198">
        <v>2023.0</v>
      </c>
      <c r="F19" s="198"/>
      <c r="G19" s="205" t="s">
        <v>359</v>
      </c>
      <c r="H19" s="203"/>
    </row>
    <row r="20">
      <c r="A20" s="197" t="s">
        <v>290</v>
      </c>
      <c r="B20" s="198" t="s">
        <v>208</v>
      </c>
      <c r="C20" s="198" t="s">
        <v>242</v>
      </c>
      <c r="D20" s="198" t="s">
        <v>361</v>
      </c>
      <c r="E20" s="198">
        <v>2017.0</v>
      </c>
      <c r="F20" s="198"/>
      <c r="G20" s="205" t="s">
        <v>203</v>
      </c>
      <c r="H20" s="184" t="s">
        <v>234</v>
      </c>
    </row>
    <row r="21">
      <c r="A21" s="177" t="s">
        <v>299</v>
      </c>
      <c r="B21" s="178" t="s">
        <v>208</v>
      </c>
      <c r="C21" s="178" t="s">
        <v>242</v>
      </c>
      <c r="D21" s="178" t="s">
        <v>367</v>
      </c>
      <c r="E21" s="178">
        <v>2023.0</v>
      </c>
      <c r="F21" s="178"/>
      <c r="G21" s="205" t="s">
        <v>203</v>
      </c>
      <c r="H21" s="203"/>
    </row>
    <row r="22">
      <c r="A22" s="177" t="s">
        <v>302</v>
      </c>
      <c r="B22" s="178" t="s">
        <v>208</v>
      </c>
      <c r="C22" s="178" t="s">
        <v>242</v>
      </c>
      <c r="D22" s="178" t="s">
        <v>383</v>
      </c>
      <c r="E22" s="178">
        <v>2021.0</v>
      </c>
      <c r="F22" s="178" t="s">
        <v>244</v>
      </c>
      <c r="G22" s="231" t="s">
        <v>384</v>
      </c>
      <c r="H22" s="184" t="s">
        <v>234</v>
      </c>
    </row>
    <row r="23">
      <c r="A23" s="177" t="s">
        <v>302</v>
      </c>
      <c r="B23" s="178" t="s">
        <v>208</v>
      </c>
      <c r="C23" s="178" t="s">
        <v>242</v>
      </c>
      <c r="D23" s="178" t="s">
        <v>388</v>
      </c>
      <c r="E23" s="178">
        <v>2021.0</v>
      </c>
      <c r="F23" s="178" t="s">
        <v>272</v>
      </c>
      <c r="G23" s="231" t="s">
        <v>384</v>
      </c>
      <c r="H23" s="184" t="s">
        <v>234</v>
      </c>
    </row>
    <row r="24">
      <c r="A24" s="177" t="s">
        <v>302</v>
      </c>
      <c r="B24" s="178" t="s">
        <v>208</v>
      </c>
      <c r="C24" s="178" t="s">
        <v>242</v>
      </c>
      <c r="D24" s="178" t="s">
        <v>389</v>
      </c>
      <c r="E24" s="178">
        <v>2021.0</v>
      </c>
      <c r="F24" s="178" t="s">
        <v>244</v>
      </c>
      <c r="G24" s="205" t="s">
        <v>384</v>
      </c>
      <c r="H24" s="184" t="s">
        <v>234</v>
      </c>
    </row>
    <row r="25">
      <c r="A25" s="197" t="s">
        <v>302</v>
      </c>
      <c r="B25" s="198" t="s">
        <v>208</v>
      </c>
      <c r="C25" s="198" t="s">
        <v>242</v>
      </c>
      <c r="D25" s="198" t="s">
        <v>390</v>
      </c>
      <c r="E25" s="198">
        <v>2023.0</v>
      </c>
      <c r="F25" s="198"/>
      <c r="G25" s="205" t="s">
        <v>391</v>
      </c>
      <c r="H25" s="184" t="s">
        <v>222</v>
      </c>
    </row>
    <row r="26">
      <c r="A26" s="197" t="s">
        <v>309</v>
      </c>
      <c r="B26" s="198" t="s">
        <v>208</v>
      </c>
      <c r="C26" s="198" t="s">
        <v>242</v>
      </c>
      <c r="D26" s="198" t="s">
        <v>395</v>
      </c>
      <c r="E26" s="198">
        <v>2015.0</v>
      </c>
      <c r="F26" s="198"/>
      <c r="G26" s="205" t="s">
        <v>203</v>
      </c>
      <c r="H26" s="203"/>
    </row>
    <row r="27">
      <c r="A27" s="197" t="s">
        <v>313</v>
      </c>
      <c r="B27" s="198" t="s">
        <v>208</v>
      </c>
      <c r="C27" s="198" t="s">
        <v>242</v>
      </c>
      <c r="D27" s="198" t="s">
        <v>397</v>
      </c>
      <c r="E27" s="198">
        <v>2024.0</v>
      </c>
      <c r="F27" s="198"/>
      <c r="G27" s="205" t="s">
        <v>203</v>
      </c>
      <c r="H27" s="203"/>
    </row>
    <row r="28">
      <c r="A28" s="197" t="s">
        <v>398</v>
      </c>
      <c r="B28" s="198" t="s">
        <v>208</v>
      </c>
      <c r="C28" s="198" t="s">
        <v>242</v>
      </c>
      <c r="D28" s="198" t="s">
        <v>400</v>
      </c>
      <c r="E28" s="198">
        <v>2022.0</v>
      </c>
      <c r="F28" s="198"/>
      <c r="G28" s="205" t="s">
        <v>203</v>
      </c>
      <c r="H28" s="184" t="s">
        <v>222</v>
      </c>
    </row>
    <row r="29">
      <c r="A29" s="177" t="s">
        <v>318</v>
      </c>
      <c r="B29" s="178" t="s">
        <v>208</v>
      </c>
      <c r="C29" s="178" t="s">
        <v>242</v>
      </c>
      <c r="D29" s="178" t="s">
        <v>402</v>
      </c>
      <c r="E29" s="178">
        <v>2022.0</v>
      </c>
      <c r="F29" s="178" t="s">
        <v>272</v>
      </c>
      <c r="G29" s="231" t="s">
        <v>403</v>
      </c>
      <c r="H29" s="184" t="s">
        <v>234</v>
      </c>
    </row>
    <row r="30">
      <c r="A30" s="197" t="s">
        <v>318</v>
      </c>
      <c r="B30" s="198" t="s">
        <v>208</v>
      </c>
      <c r="C30" s="198" t="s">
        <v>242</v>
      </c>
      <c r="D30" s="198" t="s">
        <v>404</v>
      </c>
      <c r="E30" s="198">
        <v>2023.0</v>
      </c>
      <c r="F30" s="198"/>
      <c r="G30" s="205" t="s">
        <v>203</v>
      </c>
      <c r="H30" s="203"/>
    </row>
    <row r="31">
      <c r="A31" s="197" t="s">
        <v>405</v>
      </c>
      <c r="B31" s="198" t="s">
        <v>208</v>
      </c>
      <c r="C31" s="198" t="s">
        <v>242</v>
      </c>
      <c r="D31" s="198" t="s">
        <v>406</v>
      </c>
      <c r="E31" s="198">
        <v>2023.0</v>
      </c>
      <c r="F31" s="198"/>
      <c r="G31" s="205" t="s">
        <v>203</v>
      </c>
      <c r="H31" s="203"/>
    </row>
    <row r="32">
      <c r="A32" s="197" t="s">
        <v>408</v>
      </c>
      <c r="B32" s="198" t="s">
        <v>208</v>
      </c>
      <c r="C32" s="198" t="s">
        <v>242</v>
      </c>
      <c r="D32" s="198" t="s">
        <v>409</v>
      </c>
      <c r="E32" s="198">
        <v>2023.0</v>
      </c>
      <c r="F32" s="198"/>
      <c r="G32" s="205" t="s">
        <v>203</v>
      </c>
      <c r="H32" s="184" t="s">
        <v>222</v>
      </c>
    </row>
    <row r="33">
      <c r="A33" s="331" t="s">
        <v>320</v>
      </c>
      <c r="B33" s="332" t="s">
        <v>208</v>
      </c>
      <c r="C33" s="332" t="s">
        <v>413</v>
      </c>
      <c r="D33" s="334" t="s">
        <v>414</v>
      </c>
      <c r="E33" s="334">
        <v>2022.0</v>
      </c>
      <c r="F33" s="335"/>
      <c r="G33" s="336" t="s">
        <v>203</v>
      </c>
      <c r="H33" s="252"/>
    </row>
    <row r="34">
      <c r="A34" s="124"/>
      <c r="B34" s="124"/>
      <c r="C34" s="124"/>
      <c r="D34" s="124"/>
      <c r="E34" s="124"/>
      <c r="F34" s="124"/>
      <c r="G34" s="124"/>
      <c r="H34" s="124"/>
    </row>
    <row r="35">
      <c r="A35" s="124"/>
      <c r="B35" s="124"/>
      <c r="C35" s="181" t="s">
        <v>325</v>
      </c>
      <c r="E35" s="124"/>
      <c r="F35" s="124"/>
      <c r="G35" s="124"/>
      <c r="H35" s="124"/>
    </row>
    <row r="36">
      <c r="A36" s="124"/>
      <c r="B36" s="124"/>
      <c r="C36" s="368" t="str">
        <f t="array" ref="C36:C51">{"INDICATOR INFORMATION";
  "Index Category: "&amp;CHAR(10)&amp;
  "EV Readiness Index - Measures country preparedness to adopt EVs at large scale";
  "";
  "Sub-Category: "&amp;CHAR(10)&amp;
  "Enabling Policies";
  "";
  "Indicator Name: "&amp;CHAR(10)&amp;
  "EV Incentives";
  "";
  "Description: "&amp;CHAR(10)&amp;
  "Records legislation that supports the deployment of electric vehicles (EVs) and zero-emission vehicles (ZEVs) in Africa.";
  "";
  "Scoring Categories: "&amp;CHAR(10)&amp;
  "• No EV incentives = Low Readiness (1/3)"&amp;CHAR(10)&amp;
  "• Has EV incentives = High Readiness (3/3)";
  "";
  "Data Categories: "&amp;CHAR(10)&amp;
  "• Tax Incentives"&amp;CHAR(10)&amp;
  "• Import Duties"&amp;CHAR(10)&amp;
  "• Financial Support"&amp;CHAR(10)&amp;
  "• Manufacturing Incentives";
  "";
  "Last Updated: 2023";
  "";
  "Primary Sources: "&amp;CHAR(10)&amp;
  "• IEA"&amp;CHAR(10)&amp;
  "• Government Documents"&amp;CHAR(10)&amp;
  "• Climatescope"}</f>
        <v>INDICATOR INFORMATION</v>
      </c>
      <c r="D36" s="370"/>
      <c r="E36" s="124"/>
      <c r="F36" s="124"/>
      <c r="G36" s="124"/>
      <c r="H36" s="124"/>
    </row>
    <row r="37">
      <c r="A37" s="124"/>
      <c r="B37" s="124"/>
      <c r="C37" s="371" t="s">
        <v>339</v>
      </c>
      <c r="D37" s="372"/>
      <c r="E37" s="124"/>
      <c r="F37" s="124"/>
      <c r="G37" s="124"/>
      <c r="H37" s="124"/>
    </row>
    <row r="38">
      <c r="C38" s="275" t="s">
        <v>126</v>
      </c>
      <c r="D38" s="373"/>
    </row>
    <row r="39">
      <c r="C39" s="275" t="s">
        <v>341</v>
      </c>
      <c r="D39" s="373"/>
    </row>
    <row r="40">
      <c r="C40" s="275" t="s">
        <v>126</v>
      </c>
      <c r="D40" s="373"/>
    </row>
    <row r="41">
      <c r="C41" s="275" t="s">
        <v>426</v>
      </c>
      <c r="D41" s="373"/>
    </row>
    <row r="42">
      <c r="C42" s="275" t="s">
        <v>126</v>
      </c>
      <c r="D42" s="373"/>
    </row>
    <row r="43">
      <c r="C43" s="275" t="s">
        <v>427</v>
      </c>
      <c r="D43" s="373"/>
    </row>
    <row r="44">
      <c r="C44" s="275" t="s">
        <v>126</v>
      </c>
      <c r="D44" s="373"/>
    </row>
    <row r="45">
      <c r="C45" s="275" t="s">
        <v>428</v>
      </c>
      <c r="D45" s="373"/>
    </row>
    <row r="46">
      <c r="C46" s="275" t="s">
        <v>126</v>
      </c>
      <c r="D46" s="373"/>
    </row>
    <row r="47">
      <c r="C47" s="275" t="s">
        <v>429</v>
      </c>
      <c r="D47" s="373"/>
    </row>
    <row r="48">
      <c r="C48" s="275" t="s">
        <v>126</v>
      </c>
      <c r="D48" s="373"/>
    </row>
    <row r="49">
      <c r="C49" s="275" t="s">
        <v>430</v>
      </c>
      <c r="D49" s="373"/>
    </row>
    <row r="50">
      <c r="C50" s="275" t="s">
        <v>126</v>
      </c>
      <c r="D50" s="373"/>
    </row>
    <row r="51">
      <c r="C51" s="275" t="s">
        <v>353</v>
      </c>
      <c r="D51" s="373"/>
    </row>
    <row r="52">
      <c r="C52" s="282"/>
      <c r="D52" s="374"/>
    </row>
    <row r="77">
      <c r="A77" s="375"/>
      <c r="B77" s="375"/>
      <c r="C77" s="375"/>
      <c r="D77" s="375"/>
      <c r="E77" s="375"/>
      <c r="F77" s="375"/>
      <c r="G77" s="375"/>
    </row>
    <row r="78">
      <c r="A78" s="376"/>
      <c r="B78" s="376"/>
      <c r="C78" s="376"/>
      <c r="D78" s="376"/>
      <c r="E78" s="376"/>
    </row>
  </sheetData>
  <mergeCells count="1">
    <mergeCell ref="C35:D35"/>
  </mergeCells>
  <hyperlinks>
    <hyperlink r:id="rId1" ref="G2"/>
    <hyperlink r:id="rId2" ref="G3"/>
    <hyperlink r:id="rId3" ref="H3"/>
    <hyperlink r:id="rId4" ref="G4"/>
    <hyperlink r:id="rId5" ref="G5"/>
    <hyperlink r:id="rId6" ref="G6"/>
    <hyperlink r:id="rId7" ref="G7"/>
    <hyperlink r:id="rId8" ref="H7"/>
    <hyperlink r:id="rId9" ref="G8"/>
    <hyperlink r:id="rId10" ref="H8"/>
    <hyperlink r:id="rId11" ref="G9"/>
    <hyperlink r:id="rId12" ref="H9"/>
    <hyperlink r:id="rId13" ref="G10"/>
    <hyperlink r:id="rId14" ref="G11"/>
    <hyperlink r:id="rId15" ref="G12"/>
    <hyperlink r:id="rId16" ref="G13"/>
    <hyperlink r:id="rId17" location=":~:text=In%20early%20November%2C%20as%20a,a%20period%20of%20eight%20years." ref="H13"/>
    <hyperlink r:id="rId18" ref="G14"/>
    <hyperlink r:id="rId19" ref="G15"/>
    <hyperlink r:id="rId20" ref="H15"/>
    <hyperlink r:id="rId21" ref="G16"/>
    <hyperlink r:id="rId22" location=":~:text=The%20Malawi%20Government%20has%20announced,(VAT)%20and%20Administrative%20Measures.&amp;text=Removal%20of%2030%25%20Import%20Duty,19." ref="H17"/>
    <hyperlink r:id="rId23" ref="G18"/>
    <hyperlink r:id="rId24" location=":~:text=During%20his%20recent%20finance%20speech,%2C%20vans%2C%20trucks%20and%20pickups." ref="G19"/>
    <hyperlink r:id="rId25" ref="G20"/>
    <hyperlink r:id="rId26" ref="H20"/>
    <hyperlink r:id="rId27" ref="G21"/>
    <hyperlink r:id="rId28" ref="G22"/>
    <hyperlink r:id="rId29" ref="H22"/>
    <hyperlink r:id="rId30" ref="G23"/>
    <hyperlink r:id="rId31" ref="H23"/>
    <hyperlink r:id="rId32" ref="G24"/>
    <hyperlink r:id="rId33" ref="H24"/>
    <hyperlink r:id="rId34" ref="G25"/>
    <hyperlink r:id="rId35" ref="H25"/>
    <hyperlink r:id="rId36" ref="G26"/>
    <hyperlink r:id="rId37" ref="G27"/>
    <hyperlink r:id="rId38" ref="G28"/>
    <hyperlink r:id="rId39" ref="H28"/>
    <hyperlink r:id="rId40" ref="G29"/>
    <hyperlink r:id="rId41" ref="H29"/>
    <hyperlink r:id="rId42" ref="G30"/>
    <hyperlink r:id="rId43" ref="G31"/>
    <hyperlink r:id="rId44" ref="G32"/>
    <hyperlink r:id="rId45" ref="H32"/>
    <hyperlink r:id="rId46" location=":~:text=It%20shows%20that%20Zimbabwe%20has,4.5%25%20for%202022%2D2030." ref="G33"/>
    <hyperlink r:id="rId47" location="slide=id.g2edd551b383_0_690" ref="C35"/>
  </hyperlinks>
  <drawing r:id="rId4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56.13"/>
    <col customWidth="1" min="3" max="3" width="88.13"/>
    <col customWidth="1" min="4" max="4" width="34.63"/>
    <col customWidth="1" min="5" max="5" width="77.25"/>
    <col customWidth="1" min="6" max="6" width="9.13"/>
    <col customWidth="1" hidden="1" min="7" max="7" width="44.75"/>
    <col customWidth="1" min="8" max="8" width="47.0"/>
    <col customWidth="1" min="10" max="10" width="26.0"/>
  </cols>
  <sheetData>
    <row r="1">
      <c r="A1" s="219" t="s">
        <v>161</v>
      </c>
      <c r="B1" s="220" t="s">
        <v>303</v>
      </c>
      <c r="C1" s="221" t="s">
        <v>304</v>
      </c>
      <c r="D1" s="222" t="s">
        <v>305</v>
      </c>
      <c r="E1" s="223" t="s">
        <v>306</v>
      </c>
      <c r="F1" s="223" t="s">
        <v>307</v>
      </c>
      <c r="G1" s="225" t="s">
        <v>308</v>
      </c>
      <c r="H1" s="226" t="s">
        <v>203</v>
      </c>
      <c r="I1" s="227"/>
      <c r="J1" s="228"/>
      <c r="K1" s="228"/>
      <c r="L1" s="229"/>
      <c r="M1" s="229"/>
      <c r="N1" s="229"/>
      <c r="O1" s="229"/>
      <c r="P1" s="229"/>
      <c r="Q1" s="229"/>
      <c r="R1" s="229"/>
      <c r="S1" s="229"/>
      <c r="T1" s="229"/>
      <c r="U1" s="229"/>
      <c r="V1" s="229"/>
      <c r="W1" s="229"/>
      <c r="X1" s="229"/>
      <c r="Y1" s="229"/>
      <c r="Z1" s="229"/>
      <c r="AA1" s="229"/>
      <c r="AB1" s="229"/>
    </row>
    <row r="2">
      <c r="A2" s="230" t="s">
        <v>207</v>
      </c>
      <c r="B2" s="233">
        <f t="shared" ref="B2:B55" si="1">(G2/30)*100</f>
        <v>55.48027407</v>
      </c>
      <c r="C2" s="235">
        <f t="shared" ref="C2:C55" si="2">(B2/100)*0.3</f>
        <v>0.1664408222</v>
      </c>
      <c r="D2" s="238">
        <f t="shared" ref="D2:D55" si="3">1+C2</f>
        <v>1.166440822</v>
      </c>
      <c r="E2" s="240" t="str">
        <f t="shared" ref="E2:E55" si="4">IF(D2&lt;1.1, "Modest Expansion (high readiness)", IF(D2&lt;=1.25, "Medium Expansion (medium readiness)", "Large expansion (low readiness)"))</f>
        <v>Medium Expansion (medium readiness)</v>
      </c>
      <c r="F2" s="247">
        <f t="shared" ref="F2:F55" si="5">IF(D2&lt;1.1, 1, IF(D2&lt;=1.25, (2/3), (1/3)))</f>
        <v>0.6666666667</v>
      </c>
      <c r="G2" s="249">
        <v>16.6440822221048</v>
      </c>
      <c r="H2" s="254" t="s">
        <v>324</v>
      </c>
      <c r="I2" s="255"/>
      <c r="J2" s="256"/>
      <c r="K2" s="257"/>
      <c r="L2" s="255"/>
      <c r="M2" s="255"/>
      <c r="N2" s="255"/>
      <c r="O2" s="255"/>
      <c r="P2" s="255"/>
      <c r="Q2" s="255"/>
      <c r="R2" s="255"/>
      <c r="S2" s="255"/>
      <c r="T2" s="255"/>
      <c r="U2" s="255"/>
      <c r="V2" s="255"/>
      <c r="W2" s="255"/>
      <c r="X2" s="255"/>
      <c r="Y2" s="255"/>
      <c r="Z2" s="255"/>
      <c r="AA2" s="255"/>
      <c r="AB2" s="255"/>
    </row>
    <row r="3">
      <c r="A3" s="259" t="s">
        <v>240</v>
      </c>
      <c r="B3" s="260">
        <f t="shared" si="1"/>
        <v>33.85971242</v>
      </c>
      <c r="C3" s="261">
        <f t="shared" si="2"/>
        <v>0.1015791372</v>
      </c>
      <c r="D3" s="262">
        <f t="shared" si="3"/>
        <v>1.101579137</v>
      </c>
      <c r="E3" s="263" t="str">
        <f t="shared" si="4"/>
        <v>Medium Expansion (medium readiness)</v>
      </c>
      <c r="F3" s="264">
        <f t="shared" si="5"/>
        <v>0.6666666667</v>
      </c>
      <c r="G3" s="265">
        <v>10.1579137246254</v>
      </c>
      <c r="H3" s="266"/>
      <c r="I3" s="255"/>
      <c r="K3" s="255"/>
      <c r="L3" s="255"/>
      <c r="M3" s="255"/>
      <c r="N3" s="255"/>
      <c r="O3" s="255"/>
      <c r="P3" s="255"/>
      <c r="Q3" s="255"/>
      <c r="R3" s="255"/>
      <c r="S3" s="255"/>
      <c r="T3" s="255"/>
      <c r="U3" s="255"/>
      <c r="V3" s="255"/>
      <c r="W3" s="255"/>
      <c r="X3" s="255"/>
      <c r="Y3" s="255"/>
      <c r="Z3" s="255"/>
      <c r="AA3" s="255"/>
      <c r="AB3" s="255"/>
    </row>
    <row r="4">
      <c r="A4" s="259" t="s">
        <v>268</v>
      </c>
      <c r="B4" s="260">
        <f t="shared" si="1"/>
        <v>2999.094415</v>
      </c>
      <c r="C4" s="261">
        <f t="shared" si="2"/>
        <v>8.997283246</v>
      </c>
      <c r="D4" s="262">
        <f t="shared" si="3"/>
        <v>9.997283246</v>
      </c>
      <c r="E4" s="263" t="str">
        <f t="shared" si="4"/>
        <v>Large expansion (low readiness)</v>
      </c>
      <c r="F4" s="264">
        <f t="shared" si="5"/>
        <v>0.3333333333</v>
      </c>
      <c r="G4" s="265">
        <v>899.728324618086</v>
      </c>
      <c r="H4" s="266"/>
      <c r="I4" s="255"/>
      <c r="J4" s="255"/>
      <c r="K4" s="255"/>
      <c r="L4" s="255"/>
      <c r="M4" s="255"/>
      <c r="N4" s="255"/>
      <c r="O4" s="255"/>
      <c r="P4" s="255"/>
      <c r="Q4" s="255"/>
      <c r="R4" s="255"/>
      <c r="S4" s="255"/>
      <c r="T4" s="255"/>
      <c r="U4" s="255"/>
      <c r="V4" s="255"/>
      <c r="W4" s="255"/>
      <c r="X4" s="255"/>
      <c r="Y4" s="255"/>
      <c r="Z4" s="255"/>
      <c r="AA4" s="255"/>
      <c r="AB4" s="255"/>
    </row>
    <row r="5">
      <c r="A5" s="259" t="s">
        <v>329</v>
      </c>
      <c r="B5" s="260">
        <f t="shared" si="1"/>
        <v>130.1549838</v>
      </c>
      <c r="C5" s="261">
        <f t="shared" si="2"/>
        <v>0.3904649515</v>
      </c>
      <c r="D5" s="262">
        <f t="shared" si="3"/>
        <v>1.390464952</v>
      </c>
      <c r="E5" s="263" t="str">
        <f t="shared" si="4"/>
        <v>Large expansion (low readiness)</v>
      </c>
      <c r="F5" s="264">
        <f t="shared" si="5"/>
        <v>0.3333333333</v>
      </c>
      <c r="G5" s="265">
        <v>39.0464951504519</v>
      </c>
      <c r="H5" s="269"/>
      <c r="I5" s="255"/>
      <c r="J5" s="255"/>
      <c r="K5" s="255"/>
      <c r="L5" s="255"/>
      <c r="M5" s="255"/>
      <c r="N5" s="255"/>
      <c r="O5" s="255"/>
      <c r="P5" s="255"/>
      <c r="Q5" s="255"/>
      <c r="R5" s="255"/>
      <c r="S5" s="255"/>
      <c r="T5" s="255"/>
      <c r="U5" s="255"/>
      <c r="V5" s="255"/>
      <c r="W5" s="255"/>
      <c r="X5" s="255"/>
      <c r="Y5" s="255"/>
      <c r="Z5" s="255"/>
      <c r="AA5" s="255"/>
      <c r="AB5" s="255"/>
    </row>
    <row r="6">
      <c r="A6" s="259" t="s">
        <v>331</v>
      </c>
      <c r="B6" s="260">
        <f t="shared" si="1"/>
        <v>185.0005256</v>
      </c>
      <c r="C6" s="261">
        <f t="shared" si="2"/>
        <v>0.5550015768</v>
      </c>
      <c r="D6" s="262">
        <f t="shared" si="3"/>
        <v>1.555001577</v>
      </c>
      <c r="E6" s="263" t="str">
        <f t="shared" si="4"/>
        <v>Large expansion (low readiness)</v>
      </c>
      <c r="F6" s="264">
        <f t="shared" si="5"/>
        <v>0.3333333333</v>
      </c>
      <c r="G6" s="265">
        <v>55.5001576815259</v>
      </c>
      <c r="H6" s="269"/>
      <c r="I6" s="255"/>
      <c r="J6" s="255"/>
      <c r="K6" s="255"/>
      <c r="L6" s="255"/>
      <c r="M6" s="255"/>
      <c r="N6" s="255"/>
      <c r="O6" s="255"/>
      <c r="P6" s="255"/>
      <c r="Q6" s="255"/>
      <c r="R6" s="255"/>
      <c r="S6" s="255"/>
      <c r="T6" s="255"/>
      <c r="U6" s="255"/>
      <c r="V6" s="255"/>
      <c r="W6" s="255"/>
      <c r="X6" s="255"/>
      <c r="Y6" s="255"/>
      <c r="Z6" s="255"/>
      <c r="AA6" s="255"/>
      <c r="AB6" s="255"/>
    </row>
    <row r="7">
      <c r="A7" s="259" t="s">
        <v>333</v>
      </c>
      <c r="B7" s="260">
        <f t="shared" si="1"/>
        <v>50.82536373</v>
      </c>
      <c r="C7" s="261">
        <f t="shared" si="2"/>
        <v>0.1524760912</v>
      </c>
      <c r="D7" s="262">
        <f t="shared" si="3"/>
        <v>1.152476091</v>
      </c>
      <c r="E7" s="263" t="str">
        <f t="shared" si="4"/>
        <v>Medium Expansion (medium readiness)</v>
      </c>
      <c r="F7" s="264">
        <f t="shared" si="5"/>
        <v>0.6666666667</v>
      </c>
      <c r="G7" s="265">
        <v>15.247609119766</v>
      </c>
      <c r="H7" s="269"/>
      <c r="I7" s="255"/>
      <c r="J7" s="255"/>
      <c r="K7" s="255"/>
      <c r="L7" s="255"/>
      <c r="M7" s="255"/>
      <c r="N7" s="255"/>
      <c r="O7" s="255"/>
      <c r="P7" s="255"/>
      <c r="Q7" s="255"/>
      <c r="R7" s="255"/>
      <c r="S7" s="255"/>
      <c r="T7" s="255"/>
      <c r="U7" s="255"/>
      <c r="V7" s="255"/>
      <c r="W7" s="255"/>
      <c r="X7" s="255"/>
      <c r="Y7" s="255"/>
      <c r="Z7" s="255"/>
      <c r="AA7" s="255"/>
      <c r="AB7" s="255"/>
    </row>
    <row r="8">
      <c r="A8" s="259" t="s">
        <v>225</v>
      </c>
      <c r="B8" s="260">
        <f t="shared" si="1"/>
        <v>1134.970564</v>
      </c>
      <c r="C8" s="261">
        <f t="shared" si="2"/>
        <v>3.404911692</v>
      </c>
      <c r="D8" s="262">
        <f t="shared" si="3"/>
        <v>4.404911692</v>
      </c>
      <c r="E8" s="263" t="str">
        <f t="shared" si="4"/>
        <v>Large expansion (low readiness)</v>
      </c>
      <c r="F8" s="264">
        <f t="shared" si="5"/>
        <v>0.3333333333</v>
      </c>
      <c r="G8" s="265">
        <v>340.491169166262</v>
      </c>
      <c r="H8" s="269"/>
      <c r="I8" s="255"/>
      <c r="J8" s="255"/>
      <c r="K8" s="255"/>
      <c r="L8" s="255"/>
      <c r="M8" s="255"/>
      <c r="N8" s="255"/>
      <c r="O8" s="255"/>
      <c r="P8" s="255"/>
      <c r="Q8" s="255"/>
      <c r="R8" s="255"/>
      <c r="S8" s="255"/>
      <c r="T8" s="255"/>
      <c r="U8" s="255"/>
      <c r="V8" s="255"/>
      <c r="W8" s="255"/>
      <c r="X8" s="255"/>
      <c r="Y8" s="255"/>
      <c r="Z8" s="255"/>
      <c r="AA8" s="255"/>
      <c r="AB8" s="255"/>
    </row>
    <row r="9">
      <c r="A9" s="259" t="s">
        <v>338</v>
      </c>
      <c r="B9" s="260">
        <f t="shared" si="1"/>
        <v>2.931596882</v>
      </c>
      <c r="C9" s="261">
        <f t="shared" si="2"/>
        <v>0.008794790646</v>
      </c>
      <c r="D9" s="262">
        <f t="shared" si="3"/>
        <v>1.008794791</v>
      </c>
      <c r="E9" s="263" t="str">
        <f t="shared" si="4"/>
        <v>Modest Expansion (high readiness)</v>
      </c>
      <c r="F9" s="264">
        <f t="shared" si="5"/>
        <v>1</v>
      </c>
      <c r="G9" s="265">
        <v>0.879479064604872</v>
      </c>
      <c r="H9" s="269"/>
      <c r="I9" s="255"/>
      <c r="J9" s="255"/>
      <c r="K9" s="255"/>
      <c r="L9" s="255"/>
      <c r="M9" s="255"/>
      <c r="N9" s="255"/>
      <c r="O9" s="255"/>
      <c r="P9" s="255"/>
      <c r="Q9" s="255"/>
      <c r="R9" s="255"/>
      <c r="S9" s="255"/>
      <c r="T9" s="255"/>
      <c r="U9" s="255"/>
      <c r="V9" s="255"/>
      <c r="W9" s="255"/>
      <c r="X9" s="255"/>
      <c r="Y9" s="255"/>
      <c r="Z9" s="255"/>
      <c r="AA9" s="255"/>
      <c r="AB9" s="255"/>
    </row>
    <row r="10">
      <c r="A10" s="259" t="s">
        <v>340</v>
      </c>
      <c r="B10" s="260">
        <f t="shared" si="1"/>
        <v>165.0592511</v>
      </c>
      <c r="C10" s="261">
        <f t="shared" si="2"/>
        <v>0.4951777532</v>
      </c>
      <c r="D10" s="262">
        <f t="shared" si="3"/>
        <v>1.495177753</v>
      </c>
      <c r="E10" s="263" t="str">
        <f t="shared" si="4"/>
        <v>Large expansion (low readiness)</v>
      </c>
      <c r="F10" s="264">
        <f t="shared" si="5"/>
        <v>0.3333333333</v>
      </c>
      <c r="G10" s="265">
        <v>49.5177753223018</v>
      </c>
      <c r="H10" s="269"/>
      <c r="I10" s="255"/>
      <c r="J10" s="255"/>
      <c r="K10" s="255"/>
      <c r="L10" s="255"/>
      <c r="M10" s="255"/>
      <c r="N10" s="255"/>
      <c r="O10" s="255"/>
      <c r="P10" s="255"/>
      <c r="Q10" s="255"/>
      <c r="R10" s="255"/>
      <c r="S10" s="255"/>
      <c r="T10" s="255"/>
      <c r="U10" s="255"/>
      <c r="V10" s="255"/>
      <c r="W10" s="255"/>
      <c r="X10" s="255"/>
      <c r="Y10" s="255"/>
      <c r="Z10" s="255"/>
      <c r="AA10" s="255"/>
      <c r="AB10" s="255"/>
    </row>
    <row r="11">
      <c r="A11" s="259" t="s">
        <v>342</v>
      </c>
      <c r="B11" s="260">
        <f t="shared" si="1"/>
        <v>422.7571574</v>
      </c>
      <c r="C11" s="261">
        <f t="shared" si="2"/>
        <v>1.268271472</v>
      </c>
      <c r="D11" s="262">
        <f t="shared" si="3"/>
        <v>2.268271472</v>
      </c>
      <c r="E11" s="263" t="str">
        <f t="shared" si="4"/>
        <v>Large expansion (low readiness)</v>
      </c>
      <c r="F11" s="264">
        <f t="shared" si="5"/>
        <v>0.3333333333</v>
      </c>
      <c r="G11" s="265">
        <v>126.827147224903</v>
      </c>
      <c r="H11" s="269"/>
      <c r="I11" s="255"/>
      <c r="J11" s="255"/>
      <c r="K11" s="255"/>
      <c r="L11" s="255"/>
      <c r="M11" s="255"/>
      <c r="N11" s="255"/>
      <c r="O11" s="255"/>
      <c r="P11" s="255"/>
      <c r="Q11" s="255"/>
      <c r="R11" s="255"/>
      <c r="S11" s="255"/>
      <c r="T11" s="255"/>
      <c r="U11" s="255"/>
      <c r="V11" s="255"/>
      <c r="W11" s="255"/>
      <c r="X11" s="255"/>
      <c r="Y11" s="255"/>
      <c r="Z11" s="255"/>
      <c r="AA11" s="255"/>
      <c r="AB11" s="255"/>
    </row>
    <row r="12">
      <c r="A12" s="259" t="s">
        <v>346</v>
      </c>
      <c r="B12" s="260">
        <f t="shared" si="1"/>
        <v>60.16855808</v>
      </c>
      <c r="C12" s="261">
        <f t="shared" si="2"/>
        <v>0.1805056742</v>
      </c>
      <c r="D12" s="262">
        <f t="shared" si="3"/>
        <v>1.180505674</v>
      </c>
      <c r="E12" s="263" t="str">
        <f t="shared" si="4"/>
        <v>Medium Expansion (medium readiness)</v>
      </c>
      <c r="F12" s="264">
        <f t="shared" si="5"/>
        <v>0.6666666667</v>
      </c>
      <c r="G12" s="265">
        <v>18.0505674232309</v>
      </c>
      <c r="H12" s="269"/>
      <c r="I12" s="255"/>
      <c r="J12" s="255"/>
      <c r="K12" s="255"/>
      <c r="L12" s="255"/>
      <c r="M12" s="255"/>
      <c r="N12" s="255"/>
      <c r="O12" s="255"/>
      <c r="P12" s="255"/>
      <c r="Q12" s="255"/>
      <c r="R12" s="255"/>
      <c r="S12" s="255"/>
      <c r="T12" s="255"/>
      <c r="U12" s="255"/>
      <c r="V12" s="255"/>
      <c r="W12" s="255"/>
      <c r="X12" s="255"/>
      <c r="Y12" s="255"/>
      <c r="Z12" s="255"/>
      <c r="AA12" s="255"/>
      <c r="AB12" s="255"/>
    </row>
    <row r="13">
      <c r="A13" s="259" t="s">
        <v>351</v>
      </c>
      <c r="B13" s="260">
        <f t="shared" si="1"/>
        <v>35.20082</v>
      </c>
      <c r="C13" s="261">
        <f t="shared" si="2"/>
        <v>0.10560246</v>
      </c>
      <c r="D13" s="262">
        <f t="shared" si="3"/>
        <v>1.10560246</v>
      </c>
      <c r="E13" s="263" t="str">
        <f t="shared" si="4"/>
        <v>Medium Expansion (medium readiness)</v>
      </c>
      <c r="F13" s="264">
        <f t="shared" si="5"/>
        <v>0.6666666667</v>
      </c>
      <c r="G13" s="265">
        <v>10.5602459988755</v>
      </c>
      <c r="H13" s="269"/>
      <c r="I13" s="255"/>
      <c r="J13" s="255"/>
      <c r="K13" s="255"/>
      <c r="L13" s="255"/>
      <c r="M13" s="255"/>
      <c r="N13" s="255"/>
      <c r="O13" s="255"/>
      <c r="P13" s="255"/>
      <c r="Q13" s="255"/>
      <c r="R13" s="255"/>
      <c r="S13" s="255"/>
      <c r="T13" s="255"/>
      <c r="U13" s="255"/>
      <c r="V13" s="255"/>
      <c r="W13" s="255"/>
      <c r="X13" s="255"/>
      <c r="Y13" s="255"/>
      <c r="Z13" s="255"/>
      <c r="AA13" s="255"/>
      <c r="AB13" s="255"/>
    </row>
    <row r="14">
      <c r="A14" s="259" t="s">
        <v>356</v>
      </c>
      <c r="B14" s="260">
        <f t="shared" si="1"/>
        <v>482.9529595</v>
      </c>
      <c r="C14" s="261">
        <f t="shared" si="2"/>
        <v>1.448858879</v>
      </c>
      <c r="D14" s="262">
        <f t="shared" si="3"/>
        <v>2.448858879</v>
      </c>
      <c r="E14" s="263" t="str">
        <f t="shared" si="4"/>
        <v>Large expansion (low readiness)</v>
      </c>
      <c r="F14" s="264">
        <f t="shared" si="5"/>
        <v>0.3333333333</v>
      </c>
      <c r="G14" s="265">
        <v>144.885887850467</v>
      </c>
      <c r="H14" s="269"/>
      <c r="I14" s="255"/>
      <c r="J14" s="255"/>
      <c r="K14" s="255"/>
      <c r="L14" s="255"/>
      <c r="M14" s="255"/>
      <c r="N14" s="255"/>
      <c r="O14" s="255"/>
      <c r="P14" s="255"/>
      <c r="Q14" s="255"/>
      <c r="R14" s="255"/>
      <c r="S14" s="255"/>
      <c r="T14" s="255"/>
      <c r="U14" s="255"/>
      <c r="V14" s="255"/>
      <c r="W14" s="255"/>
      <c r="X14" s="255"/>
      <c r="Y14" s="255"/>
      <c r="Z14" s="255"/>
      <c r="AA14" s="255"/>
      <c r="AB14" s="255"/>
    </row>
    <row r="15">
      <c r="A15" s="259" t="s">
        <v>357</v>
      </c>
      <c r="B15" s="260">
        <f t="shared" si="1"/>
        <v>20.08300115</v>
      </c>
      <c r="C15" s="261">
        <f t="shared" si="2"/>
        <v>0.06024900345</v>
      </c>
      <c r="D15" s="262">
        <f t="shared" si="3"/>
        <v>1.060249003</v>
      </c>
      <c r="E15" s="263" t="str">
        <f t="shared" si="4"/>
        <v>Modest Expansion (high readiness)</v>
      </c>
      <c r="F15" s="264">
        <f t="shared" si="5"/>
        <v>1</v>
      </c>
      <c r="G15" s="265">
        <v>6.02490034467803</v>
      </c>
      <c r="H15" s="269"/>
      <c r="I15" s="255"/>
      <c r="J15" s="255"/>
      <c r="K15" s="255"/>
      <c r="L15" s="255"/>
      <c r="M15" s="255"/>
      <c r="N15" s="255"/>
      <c r="O15" s="255"/>
      <c r="P15" s="255"/>
      <c r="Q15" s="255"/>
      <c r="R15" s="255"/>
      <c r="S15" s="255"/>
      <c r="T15" s="255"/>
      <c r="U15" s="255"/>
      <c r="V15" s="255"/>
      <c r="W15" s="255"/>
      <c r="X15" s="255"/>
      <c r="Y15" s="255"/>
      <c r="Z15" s="255"/>
      <c r="AA15" s="255"/>
      <c r="AB15" s="255"/>
    </row>
    <row r="16">
      <c r="A16" s="259" t="s">
        <v>276</v>
      </c>
      <c r="B16" s="260">
        <f t="shared" si="1"/>
        <v>50.19383692</v>
      </c>
      <c r="C16" s="261">
        <f t="shared" si="2"/>
        <v>0.1505815108</v>
      </c>
      <c r="D16" s="262">
        <f t="shared" si="3"/>
        <v>1.150581511</v>
      </c>
      <c r="E16" s="263" t="str">
        <f t="shared" si="4"/>
        <v>Medium Expansion (medium readiness)</v>
      </c>
      <c r="F16" s="264">
        <f t="shared" si="5"/>
        <v>0.6666666667</v>
      </c>
      <c r="G16" s="265">
        <v>15.0581510772104</v>
      </c>
      <c r="H16" s="269"/>
      <c r="I16" s="255"/>
      <c r="J16" s="255"/>
      <c r="K16" s="255"/>
      <c r="L16" s="255"/>
      <c r="M16" s="255"/>
      <c r="N16" s="255"/>
      <c r="O16" s="255"/>
      <c r="P16" s="255"/>
      <c r="Q16" s="255"/>
      <c r="R16" s="255"/>
      <c r="S16" s="255"/>
      <c r="T16" s="255"/>
      <c r="U16" s="255"/>
      <c r="V16" s="255"/>
      <c r="W16" s="255"/>
      <c r="X16" s="255"/>
      <c r="Y16" s="255"/>
      <c r="Z16" s="255"/>
      <c r="AA16" s="255"/>
      <c r="AB16" s="255"/>
    </row>
    <row r="17">
      <c r="A17" s="259" t="s">
        <v>285</v>
      </c>
      <c r="B17" s="260">
        <f t="shared" si="1"/>
        <v>24.77409797</v>
      </c>
      <c r="C17" s="261">
        <f t="shared" si="2"/>
        <v>0.0743222939</v>
      </c>
      <c r="D17" s="262">
        <f t="shared" si="3"/>
        <v>1.074322294</v>
      </c>
      <c r="E17" s="263" t="str">
        <f t="shared" si="4"/>
        <v>Modest Expansion (high readiness)</v>
      </c>
      <c r="F17" s="264">
        <f t="shared" si="5"/>
        <v>1</v>
      </c>
      <c r="G17" s="265">
        <v>7.43222939028184</v>
      </c>
      <c r="H17" s="269"/>
      <c r="I17" s="255"/>
      <c r="J17" s="255"/>
      <c r="K17" s="255"/>
      <c r="L17" s="255"/>
      <c r="M17" s="255"/>
      <c r="N17" s="255"/>
      <c r="O17" s="255"/>
      <c r="P17" s="255"/>
      <c r="Q17" s="255"/>
      <c r="R17" s="255"/>
      <c r="S17" s="255"/>
      <c r="T17" s="255"/>
      <c r="U17" s="255"/>
      <c r="V17" s="255"/>
      <c r="W17" s="255"/>
      <c r="X17" s="255"/>
      <c r="Y17" s="255"/>
      <c r="Z17" s="255"/>
      <c r="AA17" s="255"/>
      <c r="AB17" s="255"/>
    </row>
    <row r="18">
      <c r="A18" s="259" t="s">
        <v>360</v>
      </c>
      <c r="B18" s="260">
        <f t="shared" si="1"/>
        <v>6.177574575</v>
      </c>
      <c r="C18" s="261">
        <f t="shared" si="2"/>
        <v>0.01853272372</v>
      </c>
      <c r="D18" s="262">
        <f t="shared" si="3"/>
        <v>1.018532724</v>
      </c>
      <c r="E18" s="263" t="str">
        <f t="shared" si="4"/>
        <v>Modest Expansion (high readiness)</v>
      </c>
      <c r="F18" s="264">
        <f t="shared" si="5"/>
        <v>1</v>
      </c>
      <c r="G18" s="265">
        <v>1.85327237245255</v>
      </c>
      <c r="H18" s="269"/>
      <c r="I18" s="255"/>
      <c r="J18" s="255"/>
      <c r="K18" s="255"/>
      <c r="L18" s="255"/>
      <c r="M18" s="255"/>
      <c r="N18" s="255"/>
      <c r="O18" s="255"/>
      <c r="P18" s="255"/>
      <c r="Q18" s="255"/>
      <c r="R18" s="255"/>
      <c r="S18" s="255"/>
      <c r="T18" s="255"/>
      <c r="U18" s="255"/>
      <c r="V18" s="255"/>
      <c r="W18" s="255"/>
      <c r="X18" s="255"/>
      <c r="Y18" s="255"/>
      <c r="Z18" s="255"/>
      <c r="AA18" s="255"/>
      <c r="AB18" s="255"/>
    </row>
    <row r="19">
      <c r="A19" s="259" t="s">
        <v>362</v>
      </c>
      <c r="B19" s="260">
        <f t="shared" si="1"/>
        <v>71.42583263</v>
      </c>
      <c r="C19" s="261">
        <f t="shared" si="2"/>
        <v>0.2142774979</v>
      </c>
      <c r="D19" s="262">
        <f t="shared" si="3"/>
        <v>1.214277498</v>
      </c>
      <c r="E19" s="263" t="str">
        <f t="shared" si="4"/>
        <v>Medium Expansion (medium readiness)</v>
      </c>
      <c r="F19" s="264">
        <f t="shared" si="5"/>
        <v>0.6666666667</v>
      </c>
      <c r="G19" s="265">
        <v>21.4277497885242</v>
      </c>
      <c r="H19" s="269"/>
      <c r="I19" s="255"/>
      <c r="J19" s="255"/>
      <c r="K19" s="255"/>
      <c r="L19" s="255"/>
      <c r="M19" s="255"/>
      <c r="N19" s="255"/>
      <c r="O19" s="255"/>
      <c r="P19" s="255"/>
      <c r="Q19" s="255"/>
      <c r="R19" s="255"/>
      <c r="S19" s="255"/>
      <c r="T19" s="255"/>
      <c r="U19" s="255"/>
      <c r="V19" s="255"/>
      <c r="W19" s="255"/>
      <c r="X19" s="255"/>
      <c r="Y19" s="255"/>
      <c r="Z19" s="255"/>
      <c r="AA19" s="255"/>
      <c r="AB19" s="255"/>
    </row>
    <row r="20">
      <c r="A20" s="259" t="s">
        <v>363</v>
      </c>
      <c r="B20" s="260">
        <f t="shared" si="1"/>
        <v>104.9570895</v>
      </c>
      <c r="C20" s="261">
        <f t="shared" si="2"/>
        <v>0.3148712684</v>
      </c>
      <c r="D20" s="262">
        <f t="shared" si="3"/>
        <v>1.314871268</v>
      </c>
      <c r="E20" s="263" t="str">
        <f t="shared" si="4"/>
        <v>Large expansion (low readiness)</v>
      </c>
      <c r="F20" s="264">
        <f t="shared" si="5"/>
        <v>0.3333333333</v>
      </c>
      <c r="G20" s="265">
        <v>31.4871268361037</v>
      </c>
      <c r="H20" s="269"/>
      <c r="I20" s="255"/>
      <c r="J20" s="255"/>
      <c r="K20" s="255"/>
      <c r="L20" s="255"/>
      <c r="M20" s="255"/>
      <c r="N20" s="255"/>
      <c r="O20" s="255"/>
      <c r="P20" s="255"/>
      <c r="Q20" s="255"/>
      <c r="R20" s="255"/>
      <c r="S20" s="255"/>
      <c r="T20" s="255"/>
      <c r="U20" s="255"/>
      <c r="V20" s="255"/>
      <c r="W20" s="255"/>
      <c r="X20" s="255"/>
      <c r="Y20" s="255"/>
      <c r="Z20" s="255"/>
      <c r="AA20" s="255"/>
      <c r="AB20" s="255"/>
    </row>
    <row r="21">
      <c r="A21" s="259" t="s">
        <v>255</v>
      </c>
      <c r="B21" s="260">
        <f t="shared" si="1"/>
        <v>48.78038725</v>
      </c>
      <c r="C21" s="261">
        <f t="shared" si="2"/>
        <v>0.1463411618</v>
      </c>
      <c r="D21" s="262">
        <f t="shared" si="3"/>
        <v>1.146341162</v>
      </c>
      <c r="E21" s="263" t="str">
        <f t="shared" si="4"/>
        <v>Medium Expansion (medium readiness)</v>
      </c>
      <c r="F21" s="264">
        <f t="shared" si="5"/>
        <v>0.6666666667</v>
      </c>
      <c r="G21" s="265">
        <v>14.6341161751616</v>
      </c>
      <c r="H21" s="269"/>
      <c r="I21" s="255"/>
      <c r="J21" s="255"/>
      <c r="K21" s="255"/>
      <c r="L21" s="255"/>
      <c r="M21" s="255"/>
      <c r="N21" s="255"/>
      <c r="O21" s="255"/>
      <c r="P21" s="255"/>
      <c r="Q21" s="255"/>
      <c r="R21" s="255"/>
      <c r="S21" s="255"/>
      <c r="T21" s="255"/>
      <c r="U21" s="255"/>
      <c r="V21" s="255"/>
      <c r="W21" s="255"/>
      <c r="X21" s="255"/>
      <c r="Y21" s="255"/>
      <c r="Z21" s="255"/>
      <c r="AA21" s="255"/>
      <c r="AB21" s="255"/>
    </row>
    <row r="22">
      <c r="A22" s="259" t="s">
        <v>374</v>
      </c>
      <c r="B22" s="260">
        <f t="shared" si="1"/>
        <v>49.07529845</v>
      </c>
      <c r="C22" s="261">
        <f t="shared" si="2"/>
        <v>0.1472258953</v>
      </c>
      <c r="D22" s="262">
        <f t="shared" si="3"/>
        <v>1.147225895</v>
      </c>
      <c r="E22" s="263" t="str">
        <f t="shared" si="4"/>
        <v>Medium Expansion (medium readiness)</v>
      </c>
      <c r="F22" s="264">
        <f t="shared" si="5"/>
        <v>0.6666666667</v>
      </c>
      <c r="G22" s="265">
        <v>14.722589534687</v>
      </c>
      <c r="H22" s="269"/>
      <c r="I22" s="255"/>
      <c r="J22" s="255"/>
      <c r="K22" s="255"/>
      <c r="L22" s="255"/>
      <c r="M22" s="255"/>
      <c r="N22" s="255"/>
      <c r="O22" s="255"/>
      <c r="P22" s="255"/>
      <c r="Q22" s="255"/>
      <c r="R22" s="255"/>
      <c r="S22" s="255"/>
      <c r="T22" s="255"/>
      <c r="U22" s="255"/>
      <c r="V22" s="255"/>
      <c r="W22" s="255"/>
      <c r="X22" s="255"/>
      <c r="Y22" s="255"/>
      <c r="Z22" s="255"/>
      <c r="AA22" s="255"/>
      <c r="AB22" s="255"/>
    </row>
    <row r="23">
      <c r="A23" s="259" t="s">
        <v>263</v>
      </c>
      <c r="B23" s="260">
        <f t="shared" si="1"/>
        <v>73.31528641</v>
      </c>
      <c r="C23" s="261">
        <f t="shared" si="2"/>
        <v>0.2199458592</v>
      </c>
      <c r="D23" s="262">
        <f t="shared" si="3"/>
        <v>1.219945859</v>
      </c>
      <c r="E23" s="263" t="str">
        <f t="shared" si="4"/>
        <v>Medium Expansion (medium readiness)</v>
      </c>
      <c r="F23" s="264">
        <f t="shared" si="5"/>
        <v>0.6666666667</v>
      </c>
      <c r="G23" s="265">
        <v>21.9945859223053</v>
      </c>
      <c r="H23" s="269"/>
      <c r="I23" s="255"/>
      <c r="J23" s="255"/>
      <c r="K23" s="255"/>
      <c r="L23" s="255"/>
      <c r="M23" s="255"/>
      <c r="N23" s="255"/>
      <c r="O23" s="255"/>
      <c r="P23" s="255"/>
      <c r="Q23" s="255"/>
      <c r="R23" s="255"/>
      <c r="S23" s="255"/>
      <c r="T23" s="255"/>
      <c r="U23" s="255"/>
      <c r="V23" s="255"/>
      <c r="W23" s="255"/>
      <c r="X23" s="255"/>
      <c r="Y23" s="255"/>
      <c r="Z23" s="255"/>
      <c r="AA23" s="255"/>
      <c r="AB23" s="255"/>
    </row>
    <row r="24">
      <c r="A24" s="259" t="s">
        <v>266</v>
      </c>
      <c r="B24" s="260">
        <f t="shared" si="1"/>
        <v>40.92131974</v>
      </c>
      <c r="C24" s="261">
        <f t="shared" si="2"/>
        <v>0.1227639592</v>
      </c>
      <c r="D24" s="262">
        <f t="shared" si="3"/>
        <v>1.122763959</v>
      </c>
      <c r="E24" s="263" t="str">
        <f t="shared" si="4"/>
        <v>Medium Expansion (medium readiness)</v>
      </c>
      <c r="F24" s="264">
        <f t="shared" si="5"/>
        <v>0.6666666667</v>
      </c>
      <c r="G24" s="265">
        <v>12.2763959230764</v>
      </c>
      <c r="H24" s="269"/>
      <c r="I24" s="255"/>
      <c r="J24" s="255"/>
      <c r="K24" s="255"/>
      <c r="L24" s="255"/>
      <c r="M24" s="255"/>
      <c r="N24" s="255"/>
      <c r="O24" s="255"/>
      <c r="P24" s="255"/>
      <c r="Q24" s="255"/>
      <c r="R24" s="255"/>
      <c r="S24" s="255"/>
      <c r="T24" s="255"/>
      <c r="U24" s="255"/>
      <c r="V24" s="255"/>
      <c r="W24" s="255"/>
      <c r="X24" s="255"/>
      <c r="Y24" s="255"/>
      <c r="Z24" s="255"/>
      <c r="AA24" s="255"/>
      <c r="AB24" s="255"/>
    </row>
    <row r="25">
      <c r="A25" s="259" t="s">
        <v>385</v>
      </c>
      <c r="B25" s="260">
        <f t="shared" si="1"/>
        <v>55.29495403</v>
      </c>
      <c r="C25" s="261">
        <f t="shared" si="2"/>
        <v>0.1658848621</v>
      </c>
      <c r="D25" s="262">
        <f t="shared" si="3"/>
        <v>1.165884862</v>
      </c>
      <c r="E25" s="263" t="str">
        <f t="shared" si="4"/>
        <v>Medium Expansion (medium readiness)</v>
      </c>
      <c r="F25" s="264">
        <f t="shared" si="5"/>
        <v>0.6666666667</v>
      </c>
      <c r="G25" s="265">
        <v>16.5884862081364</v>
      </c>
      <c r="H25" s="269"/>
      <c r="I25" s="255"/>
      <c r="J25" s="255"/>
      <c r="K25" s="255"/>
      <c r="L25" s="255"/>
      <c r="M25" s="255"/>
      <c r="N25" s="255"/>
      <c r="O25" s="255"/>
      <c r="P25" s="255"/>
      <c r="Q25" s="255"/>
      <c r="R25" s="255"/>
      <c r="S25" s="255"/>
      <c r="T25" s="255"/>
      <c r="U25" s="255"/>
      <c r="V25" s="255"/>
      <c r="W25" s="255"/>
      <c r="X25" s="255"/>
      <c r="Y25" s="255"/>
      <c r="Z25" s="255"/>
      <c r="AA25" s="255"/>
      <c r="AB25" s="255"/>
    </row>
    <row r="26">
      <c r="A26" s="259" t="s">
        <v>386</v>
      </c>
      <c r="B26" s="260">
        <f t="shared" si="1"/>
        <v>163.3865561</v>
      </c>
      <c r="C26" s="261">
        <f t="shared" si="2"/>
        <v>0.4901596682</v>
      </c>
      <c r="D26" s="262">
        <f t="shared" si="3"/>
        <v>1.490159668</v>
      </c>
      <c r="E26" s="263" t="str">
        <f t="shared" si="4"/>
        <v>Large expansion (low readiness)</v>
      </c>
      <c r="F26" s="264">
        <f t="shared" si="5"/>
        <v>0.3333333333</v>
      </c>
      <c r="G26" s="265">
        <v>49.0159668178414</v>
      </c>
      <c r="H26" s="269"/>
      <c r="I26" s="255"/>
      <c r="J26" s="255"/>
      <c r="K26" s="255"/>
      <c r="L26" s="255"/>
      <c r="M26" s="255"/>
      <c r="N26" s="255"/>
      <c r="O26" s="255"/>
      <c r="P26" s="255"/>
      <c r="Q26" s="255"/>
      <c r="R26" s="255"/>
      <c r="S26" s="255"/>
      <c r="T26" s="255"/>
      <c r="U26" s="255"/>
      <c r="V26" s="255"/>
      <c r="W26" s="255"/>
      <c r="X26" s="255"/>
      <c r="Y26" s="255"/>
      <c r="Z26" s="255"/>
      <c r="AA26" s="255"/>
      <c r="AB26" s="255"/>
    </row>
    <row r="27">
      <c r="A27" s="259" t="s">
        <v>280</v>
      </c>
      <c r="B27" s="260">
        <f t="shared" si="1"/>
        <v>84.00454168</v>
      </c>
      <c r="C27" s="261">
        <f t="shared" si="2"/>
        <v>0.252013625</v>
      </c>
      <c r="D27" s="262">
        <f t="shared" si="3"/>
        <v>1.252013625</v>
      </c>
      <c r="E27" s="263" t="str">
        <f t="shared" si="4"/>
        <v>Large expansion (low readiness)</v>
      </c>
      <c r="F27" s="264">
        <f t="shared" si="5"/>
        <v>0.3333333333</v>
      </c>
      <c r="G27" s="265">
        <v>25.2013625031185</v>
      </c>
      <c r="H27" s="269"/>
      <c r="I27" s="255"/>
      <c r="J27" s="255"/>
      <c r="K27" s="255"/>
      <c r="L27" s="255"/>
      <c r="M27" s="255"/>
      <c r="N27" s="255"/>
      <c r="O27" s="255"/>
      <c r="P27" s="255"/>
      <c r="Q27" s="255"/>
      <c r="R27" s="255"/>
      <c r="S27" s="255"/>
      <c r="T27" s="255"/>
      <c r="U27" s="255"/>
      <c r="V27" s="255"/>
      <c r="W27" s="255"/>
      <c r="X27" s="255"/>
      <c r="Y27" s="255"/>
      <c r="Z27" s="255"/>
      <c r="AA27" s="255"/>
      <c r="AB27" s="255"/>
    </row>
    <row r="28">
      <c r="A28" s="259" t="s">
        <v>392</v>
      </c>
      <c r="B28" s="260">
        <f t="shared" si="1"/>
        <v>105.5428679</v>
      </c>
      <c r="C28" s="261">
        <f t="shared" si="2"/>
        <v>0.3166286038</v>
      </c>
      <c r="D28" s="262">
        <f t="shared" si="3"/>
        <v>1.316628604</v>
      </c>
      <c r="E28" s="263" t="str">
        <f t="shared" si="4"/>
        <v>Large expansion (low readiness)</v>
      </c>
      <c r="F28" s="264">
        <f t="shared" si="5"/>
        <v>0.3333333333</v>
      </c>
      <c r="G28" s="265">
        <v>31.6628603776877</v>
      </c>
      <c r="H28" s="269"/>
      <c r="I28" s="255"/>
      <c r="J28" s="255"/>
      <c r="K28" s="255"/>
      <c r="L28" s="255"/>
      <c r="M28" s="255"/>
      <c r="N28" s="255"/>
      <c r="O28" s="255"/>
      <c r="P28" s="255"/>
      <c r="Q28" s="255"/>
      <c r="R28" s="255"/>
      <c r="S28" s="255"/>
      <c r="T28" s="255"/>
      <c r="U28" s="255"/>
      <c r="V28" s="255"/>
      <c r="W28" s="255"/>
      <c r="X28" s="255"/>
      <c r="Y28" s="255"/>
      <c r="Z28" s="255"/>
      <c r="AA28" s="255"/>
      <c r="AB28" s="255"/>
    </row>
    <row r="29">
      <c r="A29" s="259" t="s">
        <v>394</v>
      </c>
      <c r="B29" s="260">
        <f t="shared" si="1"/>
        <v>32.58751545</v>
      </c>
      <c r="C29" s="261">
        <f t="shared" si="2"/>
        <v>0.09776254636</v>
      </c>
      <c r="D29" s="262">
        <f t="shared" si="3"/>
        <v>1.097762546</v>
      </c>
      <c r="E29" s="263" t="str">
        <f t="shared" si="4"/>
        <v>Modest Expansion (high readiness)</v>
      </c>
      <c r="F29" s="264">
        <f t="shared" si="5"/>
        <v>1</v>
      </c>
      <c r="G29" s="265">
        <v>9.77625463605655</v>
      </c>
      <c r="H29" s="269"/>
      <c r="I29" s="255"/>
      <c r="J29" s="255"/>
      <c r="K29" s="255"/>
      <c r="L29" s="255"/>
      <c r="M29" s="255"/>
      <c r="N29" s="255"/>
      <c r="O29" s="255"/>
      <c r="P29" s="255"/>
      <c r="Q29" s="255"/>
      <c r="R29" s="255"/>
      <c r="S29" s="255"/>
      <c r="T29" s="255"/>
      <c r="U29" s="255"/>
      <c r="V29" s="255"/>
      <c r="W29" s="255"/>
      <c r="X29" s="255"/>
      <c r="Y29" s="255"/>
      <c r="Z29" s="255"/>
      <c r="AA29" s="255"/>
      <c r="AB29" s="255"/>
    </row>
    <row r="30">
      <c r="A30" s="259" t="s">
        <v>396</v>
      </c>
      <c r="B30" s="260">
        <f t="shared" si="1"/>
        <v>144.1933777</v>
      </c>
      <c r="C30" s="261">
        <f t="shared" si="2"/>
        <v>0.432580133</v>
      </c>
      <c r="D30" s="262">
        <f t="shared" si="3"/>
        <v>1.432580133</v>
      </c>
      <c r="E30" s="263" t="str">
        <f t="shared" si="4"/>
        <v>Large expansion (low readiness)</v>
      </c>
      <c r="F30" s="264">
        <f t="shared" si="5"/>
        <v>0.3333333333</v>
      </c>
      <c r="G30" s="265">
        <v>43.2580132984533</v>
      </c>
      <c r="H30" s="269"/>
      <c r="I30" s="255"/>
      <c r="J30" s="255"/>
      <c r="K30" s="255"/>
      <c r="L30" s="255"/>
      <c r="M30" s="255"/>
      <c r="N30" s="255"/>
      <c r="O30" s="255"/>
      <c r="P30" s="255"/>
      <c r="Q30" s="255"/>
      <c r="R30" s="255"/>
      <c r="S30" s="255"/>
      <c r="T30" s="255"/>
      <c r="U30" s="255"/>
      <c r="V30" s="255"/>
      <c r="W30" s="255"/>
      <c r="X30" s="255"/>
      <c r="Y30" s="255"/>
      <c r="Z30" s="255"/>
      <c r="AA30" s="255"/>
      <c r="AB30" s="255"/>
    </row>
    <row r="31">
      <c r="A31" s="259" t="s">
        <v>336</v>
      </c>
      <c r="B31" s="260">
        <f t="shared" si="1"/>
        <v>111.7174204</v>
      </c>
      <c r="C31" s="261">
        <f t="shared" si="2"/>
        <v>0.3351522611</v>
      </c>
      <c r="D31" s="262">
        <f t="shared" si="3"/>
        <v>1.335152261</v>
      </c>
      <c r="E31" s="263" t="str">
        <f t="shared" si="4"/>
        <v>Large expansion (low readiness)</v>
      </c>
      <c r="F31" s="264">
        <f t="shared" si="5"/>
        <v>0.3333333333</v>
      </c>
      <c r="G31" s="265">
        <v>33.5152261128763</v>
      </c>
      <c r="H31" s="269"/>
      <c r="I31" s="255"/>
      <c r="J31" s="255"/>
      <c r="K31" s="255"/>
      <c r="L31" s="255"/>
      <c r="M31" s="255"/>
      <c r="N31" s="255"/>
      <c r="O31" s="255"/>
      <c r="P31" s="255"/>
      <c r="Q31" s="255"/>
      <c r="R31" s="255"/>
      <c r="S31" s="255"/>
      <c r="T31" s="255"/>
      <c r="U31" s="255"/>
      <c r="V31" s="255"/>
      <c r="W31" s="255"/>
      <c r="X31" s="255"/>
      <c r="Y31" s="255"/>
      <c r="Z31" s="255"/>
      <c r="AA31" s="255"/>
      <c r="AB31" s="255"/>
    </row>
    <row r="32">
      <c r="A32" s="259" t="s">
        <v>343</v>
      </c>
      <c r="B32" s="260">
        <f t="shared" si="1"/>
        <v>52.27567463</v>
      </c>
      <c r="C32" s="261">
        <f t="shared" si="2"/>
        <v>0.1568270239</v>
      </c>
      <c r="D32" s="262">
        <f t="shared" si="3"/>
        <v>1.156827024</v>
      </c>
      <c r="E32" s="263" t="str">
        <f t="shared" si="4"/>
        <v>Medium Expansion (medium readiness)</v>
      </c>
      <c r="F32" s="264">
        <f t="shared" si="5"/>
        <v>0.6666666667</v>
      </c>
      <c r="G32" s="265">
        <v>15.6827023875648</v>
      </c>
      <c r="H32" s="269"/>
      <c r="I32" s="255"/>
      <c r="J32" s="255"/>
      <c r="K32" s="255"/>
      <c r="L32" s="255"/>
      <c r="M32" s="255"/>
      <c r="N32" s="255"/>
      <c r="O32" s="255"/>
      <c r="P32" s="255"/>
      <c r="Q32" s="255"/>
      <c r="R32" s="255"/>
      <c r="S32" s="255"/>
      <c r="T32" s="255"/>
      <c r="U32" s="255"/>
      <c r="V32" s="255"/>
      <c r="W32" s="255"/>
      <c r="X32" s="255"/>
      <c r="Y32" s="255"/>
      <c r="Z32" s="255"/>
      <c r="AA32" s="255"/>
      <c r="AB32" s="255"/>
    </row>
    <row r="33">
      <c r="A33" s="259" t="s">
        <v>399</v>
      </c>
      <c r="B33" s="260">
        <f t="shared" si="1"/>
        <v>74.38538704</v>
      </c>
      <c r="C33" s="261">
        <f t="shared" si="2"/>
        <v>0.2231561611</v>
      </c>
      <c r="D33" s="262">
        <f t="shared" si="3"/>
        <v>1.223156161</v>
      </c>
      <c r="E33" s="263" t="str">
        <f t="shared" si="4"/>
        <v>Medium Expansion (medium readiness)</v>
      </c>
      <c r="F33" s="264">
        <f t="shared" si="5"/>
        <v>0.6666666667</v>
      </c>
      <c r="G33" s="265">
        <v>22.3156161118315</v>
      </c>
      <c r="H33" s="269"/>
      <c r="I33" s="255"/>
      <c r="J33" s="255"/>
      <c r="K33" s="255"/>
      <c r="L33" s="255"/>
      <c r="M33" s="255"/>
      <c r="N33" s="255"/>
      <c r="O33" s="255"/>
      <c r="P33" s="255"/>
      <c r="Q33" s="255"/>
      <c r="R33" s="255"/>
      <c r="S33" s="255"/>
      <c r="T33" s="255"/>
      <c r="U33" s="255"/>
      <c r="V33" s="255"/>
      <c r="W33" s="255"/>
      <c r="X33" s="255"/>
      <c r="Y33" s="255"/>
      <c r="Z33" s="255"/>
      <c r="AA33" s="255"/>
      <c r="AB33" s="255"/>
    </row>
    <row r="34">
      <c r="A34" s="259" t="s">
        <v>401</v>
      </c>
      <c r="B34" s="260">
        <f t="shared" si="1"/>
        <v>57.47873299</v>
      </c>
      <c r="C34" s="261">
        <f t="shared" si="2"/>
        <v>0.172436199</v>
      </c>
      <c r="D34" s="262">
        <f t="shared" si="3"/>
        <v>1.172436199</v>
      </c>
      <c r="E34" s="263" t="str">
        <f t="shared" si="4"/>
        <v>Medium Expansion (medium readiness)</v>
      </c>
      <c r="F34" s="264">
        <f t="shared" si="5"/>
        <v>0.6666666667</v>
      </c>
      <c r="G34" s="265">
        <v>17.2436198983026</v>
      </c>
      <c r="H34" s="269"/>
      <c r="I34" s="255"/>
      <c r="J34" s="255"/>
      <c r="K34" s="255"/>
      <c r="L34" s="255"/>
      <c r="M34" s="255"/>
      <c r="N34" s="255"/>
      <c r="O34" s="255"/>
      <c r="P34" s="255"/>
      <c r="Q34" s="255"/>
      <c r="R34" s="255"/>
      <c r="S34" s="255"/>
      <c r="T34" s="255"/>
      <c r="U34" s="255"/>
      <c r="V34" s="255"/>
      <c r="W34" s="255"/>
      <c r="X34" s="255"/>
      <c r="Y34" s="255"/>
      <c r="Z34" s="255"/>
      <c r="AA34" s="255"/>
      <c r="AB34" s="255"/>
    </row>
    <row r="35">
      <c r="A35" s="259" t="s">
        <v>354</v>
      </c>
      <c r="B35" s="260">
        <f t="shared" si="1"/>
        <v>41.56903995</v>
      </c>
      <c r="C35" s="261">
        <f t="shared" si="2"/>
        <v>0.1247071199</v>
      </c>
      <c r="D35" s="262">
        <f t="shared" si="3"/>
        <v>1.12470712</v>
      </c>
      <c r="E35" s="263" t="str">
        <f t="shared" si="4"/>
        <v>Medium Expansion (medium readiness)</v>
      </c>
      <c r="F35" s="264">
        <f t="shared" si="5"/>
        <v>0.6666666667</v>
      </c>
      <c r="G35" s="265">
        <v>12.4707119863575</v>
      </c>
      <c r="H35" s="269"/>
      <c r="I35" s="255"/>
      <c r="J35" s="255"/>
      <c r="K35" s="255"/>
      <c r="L35" s="255"/>
      <c r="M35" s="255"/>
      <c r="N35" s="255"/>
      <c r="O35" s="255"/>
      <c r="P35" s="255"/>
      <c r="Q35" s="255"/>
      <c r="R35" s="255"/>
      <c r="S35" s="255"/>
      <c r="T35" s="255"/>
      <c r="U35" s="255"/>
      <c r="V35" s="255"/>
      <c r="W35" s="255"/>
      <c r="X35" s="255"/>
      <c r="Y35" s="255"/>
      <c r="Z35" s="255"/>
      <c r="AA35" s="255"/>
      <c r="AB35" s="255"/>
    </row>
    <row r="36">
      <c r="A36" s="259" t="s">
        <v>290</v>
      </c>
      <c r="B36" s="260">
        <f t="shared" si="1"/>
        <v>46.57338189</v>
      </c>
      <c r="C36" s="261">
        <f t="shared" si="2"/>
        <v>0.1397201457</v>
      </c>
      <c r="D36" s="262">
        <f t="shared" si="3"/>
        <v>1.139720146</v>
      </c>
      <c r="E36" s="263" t="str">
        <f t="shared" si="4"/>
        <v>Medium Expansion (medium readiness)</v>
      </c>
      <c r="F36" s="264">
        <f t="shared" si="5"/>
        <v>0.6666666667</v>
      </c>
      <c r="G36" s="265">
        <v>13.9720145682973</v>
      </c>
      <c r="H36" s="269"/>
      <c r="I36" s="255"/>
      <c r="J36" s="255"/>
      <c r="K36" s="255"/>
      <c r="L36" s="255"/>
      <c r="M36" s="255"/>
      <c r="N36" s="255"/>
      <c r="O36" s="255"/>
      <c r="P36" s="255"/>
      <c r="Q36" s="255"/>
      <c r="R36" s="255"/>
      <c r="S36" s="255"/>
      <c r="T36" s="255"/>
      <c r="U36" s="255"/>
      <c r="V36" s="255"/>
      <c r="W36" s="255"/>
      <c r="X36" s="255"/>
      <c r="Y36" s="255"/>
      <c r="Z36" s="255"/>
      <c r="AA36" s="255"/>
      <c r="AB36" s="255"/>
    </row>
    <row r="37">
      <c r="A37" s="259" t="s">
        <v>291</v>
      </c>
      <c r="B37" s="260">
        <f t="shared" si="1"/>
        <v>22.69679048</v>
      </c>
      <c r="C37" s="261">
        <f t="shared" si="2"/>
        <v>0.06809037144</v>
      </c>
      <c r="D37" s="262">
        <f t="shared" si="3"/>
        <v>1.068090371</v>
      </c>
      <c r="E37" s="263" t="str">
        <f t="shared" si="4"/>
        <v>Modest Expansion (high readiness)</v>
      </c>
      <c r="F37" s="264">
        <f t="shared" si="5"/>
        <v>1</v>
      </c>
      <c r="G37" s="265">
        <v>6.80903714442197</v>
      </c>
      <c r="H37" s="269"/>
      <c r="I37" s="255"/>
      <c r="J37" s="255"/>
      <c r="K37" s="255"/>
      <c r="L37" s="255"/>
      <c r="M37" s="255"/>
      <c r="N37" s="255"/>
      <c r="O37" s="255"/>
      <c r="P37" s="255"/>
      <c r="Q37" s="255"/>
      <c r="R37" s="255"/>
      <c r="S37" s="255"/>
      <c r="T37" s="255"/>
      <c r="U37" s="255"/>
      <c r="V37" s="255"/>
      <c r="W37" s="255"/>
      <c r="X37" s="255"/>
      <c r="Y37" s="255"/>
      <c r="Z37" s="255"/>
      <c r="AA37" s="255"/>
      <c r="AB37" s="255"/>
    </row>
    <row r="38">
      <c r="A38" s="259" t="s">
        <v>296</v>
      </c>
      <c r="B38" s="260">
        <f t="shared" si="1"/>
        <v>159.9621483</v>
      </c>
      <c r="C38" s="261">
        <f t="shared" si="2"/>
        <v>0.479886445</v>
      </c>
      <c r="D38" s="262">
        <f t="shared" si="3"/>
        <v>1.479886445</v>
      </c>
      <c r="E38" s="263" t="str">
        <f t="shared" si="4"/>
        <v>Large expansion (low readiness)</v>
      </c>
      <c r="F38" s="264">
        <f t="shared" si="5"/>
        <v>0.3333333333</v>
      </c>
      <c r="G38" s="265">
        <v>47.9886444984236</v>
      </c>
      <c r="H38" s="269"/>
      <c r="I38" s="255"/>
      <c r="J38" s="255"/>
      <c r="K38" s="255"/>
      <c r="L38" s="255"/>
      <c r="M38" s="255"/>
      <c r="N38" s="255"/>
      <c r="O38" s="255"/>
      <c r="P38" s="255"/>
      <c r="Q38" s="255"/>
      <c r="R38" s="255"/>
      <c r="S38" s="255"/>
      <c r="T38" s="255"/>
      <c r="U38" s="255"/>
      <c r="V38" s="255"/>
      <c r="W38" s="255"/>
      <c r="X38" s="255"/>
      <c r="Y38" s="255"/>
      <c r="Z38" s="255"/>
      <c r="AA38" s="255"/>
      <c r="AB38" s="255"/>
    </row>
    <row r="39">
      <c r="A39" s="259" t="s">
        <v>407</v>
      </c>
      <c r="B39" s="260">
        <f t="shared" si="1"/>
        <v>242.889599</v>
      </c>
      <c r="C39" s="261">
        <f t="shared" si="2"/>
        <v>0.7286687969</v>
      </c>
      <c r="D39" s="262">
        <f t="shared" si="3"/>
        <v>1.728668797</v>
      </c>
      <c r="E39" s="263" t="str">
        <f t="shared" si="4"/>
        <v>Large expansion (low readiness)</v>
      </c>
      <c r="F39" s="264">
        <f t="shared" si="5"/>
        <v>0.3333333333</v>
      </c>
      <c r="G39" s="265">
        <v>72.8668796945333</v>
      </c>
      <c r="H39" s="269"/>
      <c r="I39" s="255"/>
      <c r="J39" s="255"/>
      <c r="K39" s="255"/>
      <c r="L39" s="255"/>
      <c r="M39" s="255"/>
      <c r="N39" s="255"/>
      <c r="O39" s="255"/>
      <c r="P39" s="255"/>
      <c r="Q39" s="255"/>
      <c r="R39" s="255"/>
      <c r="S39" s="255"/>
      <c r="T39" s="255"/>
      <c r="U39" s="255"/>
      <c r="V39" s="255"/>
      <c r="W39" s="255"/>
      <c r="X39" s="255"/>
      <c r="Y39" s="255"/>
      <c r="Z39" s="255"/>
      <c r="AA39" s="255"/>
      <c r="AB39" s="255"/>
    </row>
    <row r="40">
      <c r="A40" s="259" t="s">
        <v>299</v>
      </c>
      <c r="B40" s="260">
        <f t="shared" si="1"/>
        <v>148.0896586</v>
      </c>
      <c r="C40" s="261">
        <f t="shared" si="2"/>
        <v>0.4442689759</v>
      </c>
      <c r="D40" s="262">
        <f t="shared" si="3"/>
        <v>1.444268976</v>
      </c>
      <c r="E40" s="263" t="str">
        <f t="shared" si="4"/>
        <v>Large expansion (low readiness)</v>
      </c>
      <c r="F40" s="264">
        <f t="shared" si="5"/>
        <v>0.3333333333</v>
      </c>
      <c r="G40" s="265">
        <v>44.426897587635</v>
      </c>
      <c r="H40" s="269"/>
      <c r="I40" s="255"/>
      <c r="J40" s="255"/>
      <c r="K40" s="255"/>
      <c r="L40" s="255"/>
      <c r="M40" s="255"/>
      <c r="N40" s="255"/>
      <c r="O40" s="255"/>
      <c r="P40" s="255"/>
      <c r="Q40" s="255"/>
      <c r="R40" s="255"/>
      <c r="S40" s="255"/>
      <c r="T40" s="255"/>
      <c r="U40" s="255"/>
      <c r="V40" s="255"/>
      <c r="W40" s="255"/>
      <c r="X40" s="255"/>
      <c r="Y40" s="255"/>
      <c r="Z40" s="255"/>
      <c r="AA40" s="255"/>
      <c r="AB40" s="255"/>
    </row>
    <row r="41">
      <c r="A41" s="259" t="s">
        <v>302</v>
      </c>
      <c r="B41" s="260">
        <f t="shared" si="1"/>
        <v>26.02035812</v>
      </c>
      <c r="C41" s="261">
        <f t="shared" si="2"/>
        <v>0.07806107435</v>
      </c>
      <c r="D41" s="262">
        <f t="shared" si="3"/>
        <v>1.078061074</v>
      </c>
      <c r="E41" s="263" t="str">
        <f t="shared" si="4"/>
        <v>Modest Expansion (high readiness)</v>
      </c>
      <c r="F41" s="264">
        <f t="shared" si="5"/>
        <v>1</v>
      </c>
      <c r="G41" s="265">
        <v>7.80610743535501</v>
      </c>
      <c r="H41" s="269"/>
      <c r="I41" s="255"/>
      <c r="J41" s="255"/>
      <c r="K41" s="255"/>
      <c r="L41" s="255"/>
      <c r="M41" s="255"/>
      <c r="N41" s="255"/>
      <c r="O41" s="255"/>
      <c r="P41" s="255"/>
      <c r="Q41" s="255"/>
      <c r="R41" s="255"/>
      <c r="S41" s="255"/>
      <c r="T41" s="255"/>
      <c r="U41" s="255"/>
      <c r="V41" s="255"/>
      <c r="W41" s="255"/>
      <c r="X41" s="255"/>
      <c r="Y41" s="255"/>
      <c r="Z41" s="255"/>
      <c r="AA41" s="255"/>
      <c r="AB41" s="255"/>
    </row>
    <row r="42">
      <c r="A42" s="259" t="s">
        <v>410</v>
      </c>
      <c r="B42" s="260">
        <f t="shared" si="1"/>
        <v>50.26513057</v>
      </c>
      <c r="C42" s="261">
        <f t="shared" si="2"/>
        <v>0.1507953917</v>
      </c>
      <c r="D42" s="262">
        <f t="shared" si="3"/>
        <v>1.150795392</v>
      </c>
      <c r="E42" s="263" t="str">
        <f t="shared" si="4"/>
        <v>Medium Expansion (medium readiness)</v>
      </c>
      <c r="F42" s="264">
        <f t="shared" si="5"/>
        <v>0.6666666667</v>
      </c>
      <c r="G42" s="265">
        <v>15.0795391700785</v>
      </c>
      <c r="H42" s="269"/>
      <c r="I42" s="255"/>
      <c r="J42" s="255"/>
      <c r="K42" s="255"/>
      <c r="L42" s="255"/>
      <c r="M42" s="255"/>
      <c r="N42" s="255"/>
      <c r="O42" s="255"/>
      <c r="P42" s="255"/>
      <c r="Q42" s="255"/>
      <c r="R42" s="255"/>
      <c r="S42" s="255"/>
      <c r="T42" s="255"/>
      <c r="U42" s="255"/>
      <c r="V42" s="255"/>
      <c r="W42" s="255"/>
      <c r="X42" s="255"/>
      <c r="Y42" s="255"/>
      <c r="Z42" s="255"/>
      <c r="AA42" s="255"/>
      <c r="AB42" s="255"/>
    </row>
    <row r="43">
      <c r="A43" s="259" t="s">
        <v>411</v>
      </c>
      <c r="B43" s="260">
        <f t="shared" si="1"/>
        <v>52.8602079</v>
      </c>
      <c r="C43" s="261">
        <f t="shared" si="2"/>
        <v>0.1585806237</v>
      </c>
      <c r="D43" s="262">
        <f t="shared" si="3"/>
        <v>1.158580624</v>
      </c>
      <c r="E43" s="263" t="str">
        <f t="shared" si="4"/>
        <v>Medium Expansion (medium readiness)</v>
      </c>
      <c r="F43" s="264">
        <f t="shared" si="5"/>
        <v>0.6666666667</v>
      </c>
      <c r="G43" s="265">
        <v>15.8580623713212</v>
      </c>
      <c r="H43" s="269"/>
      <c r="I43" s="255"/>
      <c r="J43" s="255"/>
      <c r="K43" s="255"/>
      <c r="L43" s="255"/>
      <c r="M43" s="255"/>
      <c r="N43" s="255"/>
      <c r="O43" s="255"/>
      <c r="P43" s="255"/>
      <c r="Q43" s="255"/>
      <c r="R43" s="255"/>
      <c r="S43" s="255"/>
      <c r="T43" s="255"/>
      <c r="U43" s="255"/>
      <c r="V43" s="255"/>
      <c r="W43" s="255"/>
      <c r="X43" s="255"/>
      <c r="Y43" s="255"/>
      <c r="Z43" s="255"/>
      <c r="AA43" s="255"/>
      <c r="AB43" s="255"/>
    </row>
    <row r="44">
      <c r="A44" s="259" t="s">
        <v>309</v>
      </c>
      <c r="B44" s="260">
        <f t="shared" si="1"/>
        <v>37.71877642</v>
      </c>
      <c r="C44" s="261">
        <f t="shared" si="2"/>
        <v>0.1131563293</v>
      </c>
      <c r="D44" s="262">
        <f t="shared" si="3"/>
        <v>1.113156329</v>
      </c>
      <c r="E44" s="263" t="str">
        <f t="shared" si="4"/>
        <v>Medium Expansion (medium readiness)</v>
      </c>
      <c r="F44" s="264">
        <f t="shared" si="5"/>
        <v>0.6666666667</v>
      </c>
      <c r="G44" s="265">
        <v>11.3156329255367</v>
      </c>
      <c r="H44" s="269"/>
      <c r="I44" s="255"/>
      <c r="J44" s="255"/>
      <c r="K44" s="255"/>
      <c r="L44" s="255"/>
      <c r="M44" s="255"/>
      <c r="N44" s="255"/>
      <c r="O44" s="255"/>
      <c r="P44" s="255"/>
      <c r="Q44" s="255"/>
      <c r="R44" s="255"/>
      <c r="S44" s="255"/>
      <c r="T44" s="255"/>
      <c r="U44" s="255"/>
      <c r="V44" s="255"/>
      <c r="W44" s="255"/>
      <c r="X44" s="255"/>
      <c r="Y44" s="255"/>
      <c r="Z44" s="255"/>
      <c r="AA44" s="255"/>
      <c r="AB44" s="255"/>
    </row>
    <row r="45">
      <c r="A45" s="259" t="s">
        <v>412</v>
      </c>
      <c r="B45" s="260">
        <f t="shared" si="1"/>
        <v>395.470286</v>
      </c>
      <c r="C45" s="261">
        <f t="shared" si="2"/>
        <v>1.186410858</v>
      </c>
      <c r="D45" s="262">
        <f t="shared" si="3"/>
        <v>2.186410858</v>
      </c>
      <c r="E45" s="263" t="str">
        <f t="shared" si="4"/>
        <v>Large expansion (low readiness)</v>
      </c>
      <c r="F45" s="264">
        <f t="shared" si="5"/>
        <v>0.3333333333</v>
      </c>
      <c r="G45" s="265">
        <v>118.641085800677</v>
      </c>
      <c r="H45" s="269"/>
      <c r="I45" s="255"/>
      <c r="J45" s="255"/>
      <c r="K45" s="255"/>
      <c r="L45" s="255"/>
      <c r="M45" s="255"/>
      <c r="N45" s="255"/>
      <c r="O45" s="255"/>
      <c r="P45" s="255"/>
      <c r="Q45" s="255"/>
      <c r="R45" s="255"/>
      <c r="S45" s="255"/>
      <c r="T45" s="255"/>
      <c r="U45" s="255"/>
      <c r="V45" s="255"/>
      <c r="W45" s="255"/>
      <c r="X45" s="255"/>
      <c r="Y45" s="255"/>
      <c r="Z45" s="255"/>
      <c r="AA45" s="255"/>
      <c r="AB45" s="255"/>
    </row>
    <row r="46">
      <c r="A46" s="259" t="s">
        <v>415</v>
      </c>
      <c r="B46" s="260">
        <f t="shared" si="1"/>
        <v>23.13040577</v>
      </c>
      <c r="C46" s="261">
        <f t="shared" si="2"/>
        <v>0.06939121732</v>
      </c>
      <c r="D46" s="262">
        <f t="shared" si="3"/>
        <v>1.069391217</v>
      </c>
      <c r="E46" s="263" t="str">
        <f t="shared" si="4"/>
        <v>Modest Expansion (high readiness)</v>
      </c>
      <c r="F46" s="264">
        <f t="shared" si="5"/>
        <v>1</v>
      </c>
      <c r="G46" s="265">
        <v>6.93912173179026</v>
      </c>
      <c r="H46" s="269"/>
      <c r="I46" s="255"/>
      <c r="J46" s="255"/>
      <c r="K46" s="255"/>
      <c r="L46" s="255"/>
      <c r="M46" s="255"/>
      <c r="N46" s="255"/>
      <c r="O46" s="255"/>
      <c r="P46" s="255"/>
      <c r="Q46" s="255"/>
      <c r="R46" s="255"/>
      <c r="S46" s="255"/>
      <c r="T46" s="255"/>
      <c r="U46" s="255"/>
      <c r="V46" s="255"/>
      <c r="W46" s="255"/>
      <c r="X46" s="255"/>
      <c r="Y46" s="255"/>
      <c r="Z46" s="255"/>
      <c r="AA46" s="255"/>
      <c r="AB46" s="255"/>
    </row>
    <row r="47" ht="15.0" customHeight="1">
      <c r="A47" s="259" t="s">
        <v>313</v>
      </c>
      <c r="B47" s="260">
        <f t="shared" si="1"/>
        <v>27.23242743</v>
      </c>
      <c r="C47" s="261">
        <f t="shared" si="2"/>
        <v>0.0816972823</v>
      </c>
      <c r="D47" s="262">
        <f t="shared" si="3"/>
        <v>1.081697282</v>
      </c>
      <c r="E47" s="263" t="str">
        <f t="shared" si="4"/>
        <v>Modest Expansion (high readiness)</v>
      </c>
      <c r="F47" s="264">
        <f t="shared" si="5"/>
        <v>1</v>
      </c>
      <c r="G47" s="265">
        <v>8.16972822995394</v>
      </c>
      <c r="H47" s="269"/>
      <c r="I47" s="255"/>
      <c r="J47" s="255"/>
      <c r="K47" s="255"/>
      <c r="L47" s="255"/>
      <c r="M47" s="255"/>
      <c r="N47" s="255"/>
      <c r="O47" s="255"/>
      <c r="P47" s="255"/>
      <c r="Q47" s="255"/>
      <c r="R47" s="255"/>
      <c r="S47" s="255"/>
      <c r="T47" s="255"/>
      <c r="U47" s="255"/>
      <c r="V47" s="255"/>
      <c r="W47" s="255"/>
      <c r="X47" s="255"/>
      <c r="Y47" s="255"/>
      <c r="Z47" s="255"/>
      <c r="AA47" s="255"/>
      <c r="AB47" s="255"/>
    </row>
    <row r="48">
      <c r="A48" s="259" t="s">
        <v>416</v>
      </c>
      <c r="B48" s="260">
        <f t="shared" si="1"/>
        <v>175.1833799</v>
      </c>
      <c r="C48" s="261">
        <f t="shared" si="2"/>
        <v>0.5255501398</v>
      </c>
      <c r="D48" s="262">
        <f t="shared" si="3"/>
        <v>1.52555014</v>
      </c>
      <c r="E48" s="263" t="str">
        <f t="shared" si="4"/>
        <v>Large expansion (low readiness)</v>
      </c>
      <c r="F48" s="264">
        <f t="shared" si="5"/>
        <v>0.3333333333</v>
      </c>
      <c r="G48" s="265">
        <v>52.5550139829053</v>
      </c>
      <c r="H48" s="269"/>
      <c r="I48" s="255"/>
      <c r="J48" s="255"/>
      <c r="K48" s="255"/>
      <c r="L48" s="255"/>
      <c r="M48" s="255"/>
      <c r="N48" s="255"/>
      <c r="O48" s="255"/>
      <c r="P48" s="255"/>
      <c r="Q48" s="255"/>
      <c r="R48" s="255"/>
      <c r="S48" s="255"/>
      <c r="T48" s="255"/>
      <c r="U48" s="255"/>
      <c r="V48" s="255"/>
      <c r="W48" s="255"/>
      <c r="X48" s="255"/>
      <c r="Y48" s="255"/>
      <c r="Z48" s="255"/>
      <c r="AA48" s="255"/>
      <c r="AB48" s="255"/>
    </row>
    <row r="49">
      <c r="A49" s="259" t="s">
        <v>417</v>
      </c>
      <c r="B49" s="260">
        <f t="shared" si="1"/>
        <v>75.99573329</v>
      </c>
      <c r="C49" s="261">
        <f t="shared" si="2"/>
        <v>0.2279871999</v>
      </c>
      <c r="D49" s="262">
        <f t="shared" si="3"/>
        <v>1.2279872</v>
      </c>
      <c r="E49" s="263" t="str">
        <f t="shared" si="4"/>
        <v>Medium Expansion (medium readiness)</v>
      </c>
      <c r="F49" s="264">
        <f t="shared" si="5"/>
        <v>0.6666666667</v>
      </c>
      <c r="G49" s="265">
        <v>22.7987199868915</v>
      </c>
      <c r="H49" s="269"/>
      <c r="I49" s="255"/>
      <c r="J49" s="255"/>
      <c r="K49" s="255"/>
      <c r="L49" s="255"/>
      <c r="M49" s="255"/>
      <c r="N49" s="255"/>
      <c r="O49" s="255"/>
      <c r="P49" s="255"/>
      <c r="Q49" s="255"/>
      <c r="R49" s="255"/>
      <c r="S49" s="255"/>
      <c r="T49" s="255"/>
      <c r="U49" s="255"/>
      <c r="V49" s="255"/>
      <c r="W49" s="255"/>
      <c r="X49" s="255"/>
      <c r="Y49" s="255"/>
      <c r="Z49" s="255"/>
      <c r="AA49" s="255"/>
      <c r="AB49" s="255"/>
    </row>
    <row r="50">
      <c r="A50" s="259" t="s">
        <v>418</v>
      </c>
      <c r="B50" s="260">
        <f t="shared" si="1"/>
        <v>111.1639539</v>
      </c>
      <c r="C50" s="261">
        <f t="shared" si="2"/>
        <v>0.3334918617</v>
      </c>
      <c r="D50" s="262">
        <f t="shared" si="3"/>
        <v>1.333491862</v>
      </c>
      <c r="E50" s="263" t="str">
        <f t="shared" si="4"/>
        <v>Large expansion (low readiness)</v>
      </c>
      <c r="F50" s="264">
        <f t="shared" si="5"/>
        <v>0.3333333333</v>
      </c>
      <c r="G50" s="265">
        <v>33.349186167109</v>
      </c>
      <c r="H50" s="269"/>
      <c r="I50" s="255"/>
      <c r="J50" s="255"/>
      <c r="K50" s="255"/>
      <c r="L50" s="255"/>
      <c r="M50" s="255"/>
      <c r="N50" s="255"/>
      <c r="O50" s="255"/>
      <c r="P50" s="255"/>
      <c r="Q50" s="255"/>
      <c r="R50" s="255"/>
      <c r="S50" s="255"/>
      <c r="T50" s="255"/>
      <c r="U50" s="255"/>
      <c r="V50" s="255"/>
      <c r="W50" s="255"/>
      <c r="X50" s="255"/>
      <c r="Y50" s="255"/>
      <c r="Z50" s="255"/>
      <c r="AA50" s="255"/>
      <c r="AB50" s="255"/>
    </row>
    <row r="51">
      <c r="A51" s="259" t="s">
        <v>398</v>
      </c>
      <c r="B51" s="260">
        <f t="shared" si="1"/>
        <v>171.9569203</v>
      </c>
      <c r="C51" s="261">
        <f t="shared" si="2"/>
        <v>0.5158707608</v>
      </c>
      <c r="D51" s="262">
        <f t="shared" si="3"/>
        <v>1.515870761</v>
      </c>
      <c r="E51" s="263" t="str">
        <f t="shared" si="4"/>
        <v>Large expansion (low readiness)</v>
      </c>
      <c r="F51" s="264">
        <f t="shared" si="5"/>
        <v>0.3333333333</v>
      </c>
      <c r="G51" s="265">
        <v>51.5870760792548</v>
      </c>
      <c r="H51" s="269"/>
      <c r="I51" s="255"/>
      <c r="J51" s="255"/>
      <c r="K51" s="255"/>
      <c r="L51" s="255"/>
      <c r="M51" s="255"/>
      <c r="N51" s="255"/>
      <c r="O51" s="255"/>
      <c r="P51" s="255"/>
      <c r="Q51" s="255"/>
      <c r="R51" s="255"/>
      <c r="S51" s="255"/>
      <c r="T51" s="255"/>
      <c r="U51" s="255"/>
      <c r="V51" s="255"/>
      <c r="W51" s="255"/>
      <c r="X51" s="255"/>
      <c r="Y51" s="255"/>
      <c r="Z51" s="255"/>
      <c r="AA51" s="255"/>
      <c r="AB51" s="255"/>
    </row>
    <row r="52">
      <c r="A52" s="259" t="s">
        <v>318</v>
      </c>
      <c r="B52" s="260">
        <f t="shared" si="1"/>
        <v>36.61966614</v>
      </c>
      <c r="C52" s="261">
        <f t="shared" si="2"/>
        <v>0.1098589984</v>
      </c>
      <c r="D52" s="262">
        <f t="shared" si="3"/>
        <v>1.109858998</v>
      </c>
      <c r="E52" s="263" t="str">
        <f t="shared" si="4"/>
        <v>Medium Expansion (medium readiness)</v>
      </c>
      <c r="F52" s="264">
        <f t="shared" si="5"/>
        <v>0.6666666667</v>
      </c>
      <c r="G52" s="265">
        <v>10.9858998433047</v>
      </c>
      <c r="H52" s="269"/>
      <c r="I52" s="255"/>
      <c r="J52" s="255"/>
      <c r="K52" s="255"/>
      <c r="L52" s="255"/>
      <c r="M52" s="255"/>
      <c r="N52" s="255"/>
      <c r="O52" s="255"/>
      <c r="P52" s="255"/>
      <c r="Q52" s="255"/>
      <c r="R52" s="255"/>
      <c r="S52" s="255"/>
      <c r="T52" s="255"/>
      <c r="U52" s="255"/>
      <c r="V52" s="255"/>
      <c r="W52" s="255"/>
      <c r="X52" s="255"/>
      <c r="Y52" s="255"/>
      <c r="Z52" s="255"/>
      <c r="AA52" s="255"/>
      <c r="AB52" s="255"/>
    </row>
    <row r="53">
      <c r="A53" s="259" t="s">
        <v>405</v>
      </c>
      <c r="B53" s="260">
        <f t="shared" si="1"/>
        <v>82.2260744</v>
      </c>
      <c r="C53" s="261">
        <f t="shared" si="2"/>
        <v>0.2466782232</v>
      </c>
      <c r="D53" s="262">
        <f t="shared" si="3"/>
        <v>1.246678223</v>
      </c>
      <c r="E53" s="263" t="str">
        <f t="shared" si="4"/>
        <v>Medium Expansion (medium readiness)</v>
      </c>
      <c r="F53" s="264">
        <f t="shared" si="5"/>
        <v>0.6666666667</v>
      </c>
      <c r="G53" s="265">
        <v>24.6678223203947</v>
      </c>
      <c r="H53" s="269"/>
      <c r="I53" s="255"/>
      <c r="J53" s="255"/>
      <c r="K53" s="255"/>
      <c r="L53" s="255"/>
      <c r="M53" s="255"/>
      <c r="N53" s="255"/>
      <c r="O53" s="255"/>
      <c r="P53" s="255"/>
      <c r="Q53" s="255"/>
      <c r="R53" s="255"/>
      <c r="S53" s="255"/>
      <c r="T53" s="255"/>
      <c r="U53" s="255"/>
      <c r="V53" s="255"/>
      <c r="W53" s="255"/>
      <c r="X53" s="255"/>
      <c r="Y53" s="255"/>
      <c r="Z53" s="255"/>
      <c r="AA53" s="255"/>
      <c r="AB53" s="255"/>
    </row>
    <row r="54">
      <c r="A54" s="259" t="s">
        <v>408</v>
      </c>
      <c r="B54" s="260">
        <f t="shared" si="1"/>
        <v>12.43977742</v>
      </c>
      <c r="C54" s="261">
        <f t="shared" si="2"/>
        <v>0.03731933225</v>
      </c>
      <c r="D54" s="262">
        <f t="shared" si="3"/>
        <v>1.037319332</v>
      </c>
      <c r="E54" s="263" t="str">
        <f t="shared" si="4"/>
        <v>Modest Expansion (high readiness)</v>
      </c>
      <c r="F54" s="264">
        <f t="shared" si="5"/>
        <v>1</v>
      </c>
      <c r="G54" s="265">
        <v>3.73193322499349</v>
      </c>
      <c r="H54" s="269"/>
      <c r="I54" s="255"/>
      <c r="J54" s="255"/>
      <c r="K54" s="255"/>
      <c r="L54" s="255"/>
      <c r="M54" s="255"/>
      <c r="N54" s="255"/>
      <c r="O54" s="255"/>
      <c r="P54" s="255"/>
      <c r="Q54" s="255"/>
      <c r="R54" s="255"/>
      <c r="S54" s="255"/>
      <c r="T54" s="255"/>
      <c r="U54" s="255"/>
      <c r="V54" s="255"/>
      <c r="W54" s="255"/>
      <c r="X54" s="255"/>
      <c r="Y54" s="255"/>
      <c r="Z54" s="255"/>
      <c r="AA54" s="255"/>
      <c r="AB54" s="255"/>
    </row>
    <row r="55">
      <c r="A55" s="341" t="s">
        <v>320</v>
      </c>
      <c r="B55" s="343">
        <f t="shared" si="1"/>
        <v>34.06826233</v>
      </c>
      <c r="C55" s="345">
        <f t="shared" si="2"/>
        <v>0.102204787</v>
      </c>
      <c r="D55" s="346">
        <f t="shared" si="3"/>
        <v>1.102204787</v>
      </c>
      <c r="E55" s="347" t="str">
        <f t="shared" si="4"/>
        <v>Medium Expansion (medium readiness)</v>
      </c>
      <c r="F55" s="349">
        <f t="shared" si="5"/>
        <v>0.6666666667</v>
      </c>
      <c r="G55" s="350">
        <v>10.2204786999841</v>
      </c>
      <c r="H55" s="351"/>
      <c r="I55" s="255"/>
      <c r="J55" s="255"/>
      <c r="K55" s="255"/>
      <c r="L55" s="255"/>
      <c r="M55" s="255"/>
      <c r="N55" s="255"/>
      <c r="O55" s="255"/>
      <c r="P55" s="255"/>
      <c r="Q55" s="255"/>
      <c r="R55" s="255"/>
      <c r="S55" s="255"/>
      <c r="T55" s="255"/>
      <c r="U55" s="255"/>
      <c r="V55" s="255"/>
      <c r="W55" s="255"/>
      <c r="X55" s="255"/>
      <c r="Y55" s="255"/>
      <c r="Z55" s="255"/>
      <c r="AA55" s="255"/>
      <c r="AB55" s="255"/>
    </row>
    <row r="56">
      <c r="A56" s="255"/>
      <c r="B56" s="255"/>
      <c r="C56" s="352"/>
      <c r="D56" s="262"/>
      <c r="E56" s="353"/>
      <c r="F56" s="354"/>
      <c r="G56" s="355"/>
      <c r="H56" s="255"/>
      <c r="I56" s="255"/>
      <c r="J56" s="255"/>
      <c r="K56" s="255"/>
      <c r="L56" s="255"/>
      <c r="M56" s="255"/>
      <c r="N56" s="255"/>
      <c r="O56" s="255"/>
      <c r="P56" s="255"/>
      <c r="Q56" s="255"/>
      <c r="R56" s="255"/>
      <c r="S56" s="255"/>
      <c r="T56" s="255"/>
      <c r="U56" s="255"/>
      <c r="V56" s="255"/>
      <c r="W56" s="255"/>
      <c r="X56" s="255"/>
      <c r="Y56" s="255"/>
      <c r="Z56" s="255"/>
      <c r="AA56" s="255"/>
      <c r="AB56" s="255"/>
    </row>
    <row r="57">
      <c r="B57" s="255"/>
      <c r="C57" s="357" t="s">
        <v>420</v>
      </c>
      <c r="D57" s="62"/>
      <c r="E57" s="359" t="s">
        <v>421</v>
      </c>
      <c r="F57" s="354"/>
      <c r="G57" s="355"/>
      <c r="H57" s="255"/>
      <c r="I57" s="255"/>
      <c r="J57" s="255"/>
      <c r="K57" s="255"/>
      <c r="L57" s="255"/>
      <c r="M57" s="255"/>
      <c r="N57" s="255"/>
      <c r="O57" s="255"/>
      <c r="P57" s="255"/>
      <c r="Q57" s="255"/>
      <c r="R57" s="255"/>
      <c r="S57" s="255"/>
      <c r="T57" s="255"/>
      <c r="U57" s="255"/>
      <c r="V57" s="255"/>
      <c r="W57" s="255"/>
      <c r="X57" s="255"/>
      <c r="Y57" s="255"/>
      <c r="Z57" s="255"/>
      <c r="AA57" s="255"/>
      <c r="AB57" s="255"/>
    </row>
    <row r="58">
      <c r="B58" s="255"/>
      <c r="C58" s="360" t="s">
        <v>422</v>
      </c>
      <c r="D58" s="361">
        <f>MAX(C2:C55)</f>
        <v>8.997283246</v>
      </c>
      <c r="E58" s="363" t="s">
        <v>268</v>
      </c>
      <c r="F58" s="364"/>
      <c r="G58" s="355"/>
      <c r="H58" s="255"/>
      <c r="I58" s="255"/>
      <c r="J58" s="255"/>
      <c r="K58" s="255"/>
      <c r="L58" s="255"/>
      <c r="M58" s="255"/>
      <c r="N58" s="255"/>
      <c r="O58" s="255"/>
      <c r="P58" s="255"/>
      <c r="Q58" s="255"/>
      <c r="R58" s="255"/>
      <c r="S58" s="255"/>
      <c r="T58" s="255"/>
      <c r="U58" s="255"/>
      <c r="V58" s="255"/>
      <c r="W58" s="255"/>
      <c r="X58" s="255"/>
      <c r="Y58" s="255"/>
      <c r="Z58" s="255"/>
      <c r="AA58" s="255"/>
      <c r="AB58" s="255"/>
    </row>
    <row r="59">
      <c r="B59" s="255"/>
      <c r="C59" s="360" t="s">
        <v>423</v>
      </c>
      <c r="D59" s="361">
        <f>MIN(C2:C55)</f>
        <v>0.008794790646</v>
      </c>
      <c r="E59" s="365" t="s">
        <v>338</v>
      </c>
      <c r="F59" s="364"/>
      <c r="G59" s="355"/>
      <c r="H59" s="255"/>
      <c r="I59" s="255"/>
      <c r="J59" s="255"/>
      <c r="K59" s="255"/>
      <c r="L59" s="255"/>
      <c r="M59" s="255"/>
      <c r="N59" s="255"/>
      <c r="O59" s="255"/>
      <c r="P59" s="255"/>
      <c r="Q59" s="255"/>
      <c r="R59" s="255"/>
      <c r="S59" s="255"/>
      <c r="T59" s="255"/>
      <c r="U59" s="255"/>
      <c r="V59" s="255"/>
      <c r="W59" s="255"/>
      <c r="X59" s="255"/>
      <c r="Y59" s="255"/>
      <c r="Z59" s="255"/>
      <c r="AA59" s="255"/>
      <c r="AB59" s="255"/>
    </row>
    <row r="60">
      <c r="B60" s="255"/>
      <c r="C60" s="360" t="s">
        <v>424</v>
      </c>
      <c r="D60" s="366">
        <f>AVERAGE(C2:C55)</f>
        <v>0.5057310507</v>
      </c>
      <c r="E60" s="262"/>
      <c r="F60" s="364"/>
      <c r="G60" s="355"/>
      <c r="H60" s="255"/>
      <c r="I60" s="255"/>
      <c r="J60" s="255"/>
      <c r="K60" s="255"/>
      <c r="L60" s="255"/>
      <c r="M60" s="255"/>
      <c r="N60" s="255"/>
      <c r="O60" s="255"/>
      <c r="P60" s="255"/>
      <c r="Q60" s="255"/>
      <c r="R60" s="255"/>
      <c r="S60" s="255"/>
      <c r="T60" s="255"/>
      <c r="U60" s="255"/>
      <c r="V60" s="255"/>
      <c r="W60" s="255"/>
      <c r="X60" s="255"/>
      <c r="Y60" s="255"/>
      <c r="Z60" s="255"/>
      <c r="AA60" s="255"/>
      <c r="AB60" s="255"/>
    </row>
    <row r="61">
      <c r="B61" s="255"/>
      <c r="C61" s="367" t="s">
        <v>425</v>
      </c>
      <c r="D61" s="369">
        <f>MEDIAN(C2:C55)</f>
        <v>0.1694385106</v>
      </c>
      <c r="E61" s="262"/>
      <c r="F61" s="364"/>
      <c r="G61" s="355"/>
      <c r="H61" s="255"/>
      <c r="I61" s="255"/>
      <c r="J61" s="255"/>
      <c r="K61" s="255"/>
      <c r="L61" s="255"/>
      <c r="M61" s="255"/>
      <c r="N61" s="255"/>
      <c r="O61" s="255"/>
      <c r="P61" s="255"/>
      <c r="Q61" s="255"/>
      <c r="R61" s="255"/>
      <c r="S61" s="255"/>
      <c r="T61" s="255"/>
      <c r="U61" s="255"/>
      <c r="V61" s="255"/>
      <c r="W61" s="255"/>
      <c r="X61" s="255"/>
      <c r="Y61" s="255"/>
      <c r="Z61" s="255"/>
      <c r="AA61" s="255"/>
      <c r="AB61" s="255"/>
    </row>
    <row r="62">
      <c r="A62" s="255"/>
      <c r="B62" s="255"/>
      <c r="C62" s="261"/>
      <c r="D62" s="262"/>
      <c r="E62" s="364"/>
      <c r="F62" s="364"/>
      <c r="G62" s="355"/>
      <c r="H62" s="255"/>
      <c r="I62" s="255"/>
      <c r="J62" s="255"/>
      <c r="K62" s="255"/>
      <c r="L62" s="255"/>
      <c r="M62" s="255"/>
      <c r="N62" s="255"/>
      <c r="O62" s="255"/>
      <c r="P62" s="255"/>
      <c r="Q62" s="255"/>
      <c r="R62" s="255"/>
      <c r="S62" s="255"/>
      <c r="T62" s="255"/>
      <c r="U62" s="255"/>
      <c r="V62" s="255"/>
      <c r="W62" s="255"/>
      <c r="X62" s="255"/>
      <c r="Y62" s="255"/>
      <c r="Z62" s="255"/>
      <c r="AA62" s="255"/>
      <c r="AB62" s="255"/>
    </row>
    <row r="63">
      <c r="A63" s="255"/>
      <c r="B63" s="255"/>
      <c r="C63" s="181" t="s">
        <v>325</v>
      </c>
      <c r="F63" s="364"/>
      <c r="G63" s="355"/>
      <c r="H63" s="255"/>
      <c r="I63" s="255"/>
      <c r="J63" s="255"/>
      <c r="K63" s="255"/>
      <c r="L63" s="255"/>
      <c r="M63" s="255"/>
      <c r="N63" s="255"/>
      <c r="O63" s="255"/>
      <c r="P63" s="255"/>
      <c r="Q63" s="255"/>
      <c r="R63" s="255"/>
      <c r="S63" s="255"/>
      <c r="T63" s="255"/>
      <c r="U63" s="255"/>
      <c r="V63" s="255"/>
      <c r="W63" s="255"/>
      <c r="X63" s="255"/>
      <c r="Y63" s="255"/>
      <c r="Z63" s="255"/>
      <c r="AA63" s="255"/>
      <c r="AB63" s="255"/>
    </row>
    <row r="64">
      <c r="A64" s="255"/>
      <c r="B64" s="255"/>
      <c r="C64" s="381" t="str">
        <f t="array" ref="C64:C79">{"INDICATOR INFORMATION";
  "Index Category: "&amp;CHAR(10)&amp;
  "EV Readiness Index - Measures country preparedness to adopt EVs at large scale";
  "";
  "Sub-Category: "&amp;CHAR(10)&amp;
  "Grid Infrastructure";
  "";
  "Indicator Name: "&amp;CHAR(10)&amp;
  "Additional Generation for 30% EVs";
  "";
  "Description: "&amp;CHAR(10)&amp;
  "Evaluates the additional electricity generation capacity needed to support 30% EV adoption relative to current capacity";
  "";
  "Calculation Method: "&amp;CHAR(10)&amp;
  "See methodology note";
  "";
  "Scoring Categories: "&amp;CHAR(10)&amp;
  "• Large expansion (&gt;25%) = Low Readiness (1/3)"&amp;CHAR(10)&amp;
  "• Medium expansion (25-10%) = Medium Readiness (2/3)"&amp;CHAR(10)&amp;
  "• Modest expansion (&lt;10%) = High Readiness (3/3)";
  "";
  "Key Statistics: "&amp;CHAR(10)&amp;
  "• Minimum value: Cameroon (0.88%)"&amp;CHAR(10)&amp;
  "• Maximum value: Benin (899.73%)"&amp;CHAR(10)&amp;
  "• Median: 16.94%";
  "";
  "Data Sources: "&amp;CHAR(10)&amp;
  "• Fuel consumption: Africa Energy Commission (2018)"&amp;CHAR(10)&amp;
  "• Electricity generation: U.S. EIA (2021)"}</f>
        <v>INDICATOR INFORMATION</v>
      </c>
      <c r="D64" s="382"/>
      <c r="E64" s="364"/>
      <c r="F64" s="364"/>
      <c r="G64" s="355"/>
      <c r="H64" s="255"/>
      <c r="I64" s="255"/>
      <c r="J64" s="255"/>
      <c r="K64" s="255"/>
      <c r="L64" s="255"/>
      <c r="M64" s="255"/>
      <c r="N64" s="255"/>
      <c r="O64" s="255"/>
      <c r="P64" s="255"/>
      <c r="Q64" s="255"/>
      <c r="R64" s="255"/>
      <c r="S64" s="255"/>
      <c r="T64" s="255"/>
      <c r="U64" s="255"/>
      <c r="V64" s="255"/>
      <c r="W64" s="255"/>
      <c r="X64" s="255"/>
      <c r="Y64" s="255"/>
      <c r="Z64" s="255"/>
      <c r="AA64" s="255"/>
      <c r="AB64" s="255"/>
    </row>
    <row r="65">
      <c r="A65" s="255"/>
      <c r="B65" s="255"/>
      <c r="C65" s="383" t="s">
        <v>339</v>
      </c>
      <c r="D65" s="382"/>
      <c r="E65" s="364"/>
      <c r="F65" s="364"/>
      <c r="G65" s="355"/>
      <c r="H65" s="255"/>
      <c r="I65" s="255"/>
      <c r="J65" s="255"/>
      <c r="K65" s="255"/>
      <c r="L65" s="255"/>
      <c r="M65" s="255"/>
      <c r="N65" s="255"/>
      <c r="O65" s="255"/>
      <c r="P65" s="255"/>
      <c r="Q65" s="255"/>
      <c r="R65" s="255"/>
      <c r="S65" s="255"/>
      <c r="T65" s="255"/>
      <c r="U65" s="255"/>
      <c r="V65" s="255"/>
      <c r="W65" s="255"/>
      <c r="X65" s="255"/>
      <c r="Y65" s="255"/>
      <c r="Z65" s="255"/>
      <c r="AA65" s="255"/>
      <c r="AB65" s="255"/>
    </row>
    <row r="66">
      <c r="A66" s="255"/>
      <c r="B66" s="255"/>
      <c r="C66" s="383" t="s">
        <v>126</v>
      </c>
      <c r="D66" s="382"/>
      <c r="E66" s="364"/>
      <c r="F66" s="364"/>
      <c r="G66" s="355"/>
      <c r="H66" s="255"/>
      <c r="I66" s="255"/>
      <c r="J66" s="255"/>
      <c r="K66" s="255"/>
      <c r="L66" s="255"/>
      <c r="M66" s="255"/>
      <c r="N66" s="255"/>
      <c r="O66" s="255"/>
      <c r="P66" s="255"/>
      <c r="Q66" s="255"/>
      <c r="R66" s="255"/>
      <c r="S66" s="255"/>
      <c r="T66" s="255"/>
      <c r="U66" s="255"/>
      <c r="V66" s="255"/>
      <c r="W66" s="255"/>
      <c r="X66" s="255"/>
      <c r="Y66" s="255"/>
      <c r="Z66" s="255"/>
      <c r="AA66" s="255"/>
      <c r="AB66" s="255"/>
    </row>
    <row r="67">
      <c r="A67" s="255"/>
      <c r="B67" s="255"/>
      <c r="C67" s="383" t="s">
        <v>431</v>
      </c>
      <c r="D67" s="382"/>
      <c r="E67" s="364"/>
      <c r="F67" s="364"/>
      <c r="G67" s="355"/>
      <c r="H67" s="255"/>
      <c r="I67" s="255"/>
      <c r="J67" s="255"/>
      <c r="K67" s="255"/>
      <c r="L67" s="255"/>
      <c r="M67" s="255"/>
      <c r="N67" s="255"/>
      <c r="O67" s="255"/>
      <c r="P67" s="255"/>
      <c r="Q67" s="255"/>
      <c r="R67" s="255"/>
      <c r="S67" s="255"/>
      <c r="T67" s="255"/>
      <c r="U67" s="255"/>
      <c r="V67" s="255"/>
      <c r="W67" s="255"/>
      <c r="X67" s="255"/>
      <c r="Y67" s="255"/>
      <c r="Z67" s="255"/>
      <c r="AA67" s="255"/>
      <c r="AB67" s="255"/>
    </row>
    <row r="68">
      <c r="A68" s="255"/>
      <c r="B68" s="255"/>
      <c r="C68" s="383" t="s">
        <v>126</v>
      </c>
      <c r="D68" s="382"/>
      <c r="E68" s="364"/>
      <c r="F68" s="364"/>
      <c r="G68" s="355"/>
      <c r="H68" s="255"/>
      <c r="I68" s="255"/>
      <c r="J68" s="255"/>
      <c r="K68" s="255"/>
      <c r="L68" s="255"/>
      <c r="M68" s="255"/>
      <c r="N68" s="255"/>
      <c r="O68" s="255"/>
      <c r="P68" s="255"/>
      <c r="Q68" s="255"/>
      <c r="R68" s="255"/>
      <c r="S68" s="255"/>
      <c r="T68" s="255"/>
      <c r="U68" s="255"/>
      <c r="V68" s="255"/>
      <c r="W68" s="255"/>
      <c r="X68" s="255"/>
      <c r="Y68" s="255"/>
      <c r="Z68" s="255"/>
      <c r="AA68" s="255"/>
      <c r="AB68" s="255"/>
    </row>
    <row r="69">
      <c r="A69" s="255"/>
      <c r="B69" s="255"/>
      <c r="C69" s="383" t="s">
        <v>432</v>
      </c>
      <c r="D69" s="382"/>
      <c r="E69" s="364"/>
      <c r="F69" s="364"/>
      <c r="G69" s="355"/>
      <c r="H69" s="255"/>
      <c r="I69" s="255"/>
      <c r="J69" s="255"/>
      <c r="K69" s="255"/>
      <c r="L69" s="255"/>
      <c r="M69" s="255"/>
      <c r="N69" s="255"/>
      <c r="O69" s="255"/>
      <c r="P69" s="255"/>
      <c r="Q69" s="255"/>
      <c r="R69" s="255"/>
      <c r="S69" s="255"/>
      <c r="T69" s="255"/>
      <c r="U69" s="255"/>
      <c r="V69" s="255"/>
      <c r="W69" s="255"/>
      <c r="X69" s="255"/>
      <c r="Y69" s="255"/>
      <c r="Z69" s="255"/>
      <c r="AA69" s="255"/>
      <c r="AB69" s="255"/>
    </row>
    <row r="70">
      <c r="A70" s="255"/>
      <c r="B70" s="255"/>
      <c r="C70" s="383" t="s">
        <v>126</v>
      </c>
      <c r="D70" s="382"/>
      <c r="E70" s="364"/>
      <c r="F70" s="364"/>
      <c r="G70" s="355"/>
      <c r="H70" s="255"/>
      <c r="I70" s="255"/>
      <c r="J70" s="255"/>
      <c r="K70" s="255"/>
      <c r="L70" s="255"/>
      <c r="M70" s="255"/>
      <c r="N70" s="255"/>
      <c r="O70" s="255"/>
      <c r="P70" s="255"/>
      <c r="Q70" s="255"/>
      <c r="R70" s="255"/>
      <c r="S70" s="255"/>
      <c r="T70" s="255"/>
      <c r="U70" s="255"/>
      <c r="V70" s="255"/>
      <c r="W70" s="255"/>
      <c r="X70" s="255"/>
      <c r="Y70" s="255"/>
      <c r="Z70" s="255"/>
      <c r="AA70" s="255"/>
      <c r="AB70" s="255"/>
    </row>
    <row r="71">
      <c r="A71" s="255"/>
      <c r="B71" s="255"/>
      <c r="C71" s="383" t="s">
        <v>433</v>
      </c>
      <c r="D71" s="382"/>
      <c r="E71" s="364"/>
      <c r="F71" s="364"/>
      <c r="G71" s="355"/>
      <c r="H71" s="255"/>
      <c r="I71" s="255"/>
      <c r="J71" s="255"/>
      <c r="K71" s="255"/>
      <c r="L71" s="255"/>
      <c r="M71" s="255"/>
      <c r="N71" s="255"/>
      <c r="O71" s="255"/>
      <c r="P71" s="255"/>
      <c r="Q71" s="255"/>
      <c r="R71" s="255"/>
      <c r="S71" s="255"/>
      <c r="T71" s="255"/>
      <c r="U71" s="255"/>
      <c r="V71" s="255"/>
      <c r="W71" s="255"/>
      <c r="X71" s="255"/>
      <c r="Y71" s="255"/>
      <c r="Z71" s="255"/>
      <c r="AA71" s="255"/>
      <c r="AB71" s="255"/>
    </row>
    <row r="72">
      <c r="A72" s="255"/>
      <c r="B72" s="255"/>
      <c r="C72" s="383" t="s">
        <v>126</v>
      </c>
      <c r="D72" s="382"/>
      <c r="E72" s="364"/>
      <c r="F72" s="364"/>
      <c r="G72" s="355"/>
      <c r="H72" s="255"/>
      <c r="I72" s="255"/>
      <c r="J72" s="255"/>
      <c r="K72" s="255"/>
      <c r="L72" s="255"/>
      <c r="M72" s="255"/>
      <c r="N72" s="255"/>
      <c r="O72" s="255"/>
      <c r="P72" s="255"/>
      <c r="Q72" s="255"/>
      <c r="R72" s="255"/>
      <c r="S72" s="255"/>
      <c r="T72" s="255"/>
      <c r="U72" s="255"/>
      <c r="V72" s="255"/>
      <c r="W72" s="255"/>
      <c r="X72" s="255"/>
      <c r="Y72" s="255"/>
      <c r="Z72" s="255"/>
      <c r="AA72" s="255"/>
      <c r="AB72" s="255"/>
    </row>
    <row r="73">
      <c r="A73" s="255"/>
      <c r="B73" s="255"/>
      <c r="C73" s="383" t="s">
        <v>434</v>
      </c>
      <c r="D73" s="382"/>
      <c r="E73" s="364"/>
      <c r="F73" s="364"/>
      <c r="G73" s="355"/>
      <c r="H73" s="255"/>
      <c r="I73" s="255"/>
      <c r="J73" s="255"/>
      <c r="K73" s="255"/>
      <c r="L73" s="255"/>
      <c r="M73" s="255"/>
      <c r="N73" s="255"/>
      <c r="O73" s="255"/>
      <c r="P73" s="255"/>
      <c r="Q73" s="255"/>
      <c r="R73" s="255"/>
      <c r="S73" s="255"/>
      <c r="T73" s="255"/>
      <c r="U73" s="255"/>
      <c r="V73" s="255"/>
      <c r="W73" s="255"/>
      <c r="X73" s="255"/>
      <c r="Y73" s="255"/>
      <c r="Z73" s="255"/>
      <c r="AA73" s="255"/>
      <c r="AB73" s="255"/>
    </row>
    <row r="74">
      <c r="A74" s="255"/>
      <c r="B74" s="255"/>
      <c r="C74" s="383" t="s">
        <v>126</v>
      </c>
      <c r="D74" s="382"/>
      <c r="E74" s="364"/>
      <c r="F74" s="364"/>
      <c r="G74" s="355"/>
      <c r="H74" s="255"/>
      <c r="I74" s="255"/>
      <c r="J74" s="255"/>
      <c r="K74" s="255"/>
      <c r="L74" s="255"/>
      <c r="M74" s="255"/>
      <c r="N74" s="255"/>
      <c r="O74" s="255"/>
      <c r="P74" s="255"/>
      <c r="Q74" s="255"/>
      <c r="R74" s="255"/>
      <c r="S74" s="255"/>
      <c r="T74" s="255"/>
      <c r="U74" s="255"/>
      <c r="V74" s="255"/>
      <c r="W74" s="255"/>
      <c r="X74" s="255"/>
      <c r="Y74" s="255"/>
      <c r="Z74" s="255"/>
      <c r="AA74" s="255"/>
      <c r="AB74" s="255"/>
    </row>
    <row r="75">
      <c r="A75" s="255"/>
      <c r="B75" s="255"/>
      <c r="C75" s="383" t="s">
        <v>435</v>
      </c>
      <c r="D75" s="382"/>
      <c r="E75" s="364"/>
      <c r="F75" s="364"/>
      <c r="G75" s="355"/>
      <c r="H75" s="255"/>
      <c r="I75" s="255"/>
      <c r="J75" s="255"/>
      <c r="K75" s="255"/>
      <c r="L75" s="255"/>
      <c r="M75" s="255"/>
      <c r="N75" s="255"/>
      <c r="O75" s="255"/>
      <c r="P75" s="255"/>
      <c r="Q75" s="255"/>
      <c r="R75" s="255"/>
      <c r="S75" s="255"/>
      <c r="T75" s="255"/>
      <c r="U75" s="255"/>
      <c r="V75" s="255"/>
      <c r="W75" s="255"/>
      <c r="X75" s="255"/>
      <c r="Y75" s="255"/>
      <c r="Z75" s="255"/>
      <c r="AA75" s="255"/>
      <c r="AB75" s="255"/>
    </row>
    <row r="76">
      <c r="A76" s="255"/>
      <c r="B76" s="255"/>
      <c r="C76" s="383" t="s">
        <v>126</v>
      </c>
      <c r="D76" s="382"/>
      <c r="E76" s="364"/>
      <c r="F76" s="364"/>
      <c r="G76" s="355"/>
      <c r="H76" s="255"/>
      <c r="I76" s="255"/>
      <c r="J76" s="255"/>
      <c r="K76" s="255"/>
      <c r="L76" s="255"/>
      <c r="M76" s="255"/>
      <c r="N76" s="255"/>
      <c r="O76" s="255"/>
      <c r="P76" s="255"/>
      <c r="Q76" s="255"/>
      <c r="R76" s="255"/>
      <c r="S76" s="255"/>
      <c r="T76" s="255"/>
      <c r="U76" s="255"/>
      <c r="V76" s="255"/>
      <c r="W76" s="255"/>
      <c r="X76" s="255"/>
      <c r="Y76" s="255"/>
      <c r="Z76" s="255"/>
      <c r="AA76" s="255"/>
      <c r="AB76" s="255"/>
    </row>
    <row r="77">
      <c r="A77" s="255"/>
      <c r="B77" s="255"/>
      <c r="C77" s="383" t="s">
        <v>436</v>
      </c>
      <c r="D77" s="382"/>
      <c r="E77" s="364"/>
      <c r="F77" s="364"/>
      <c r="G77" s="355"/>
      <c r="H77" s="255"/>
      <c r="I77" s="255"/>
      <c r="J77" s="255"/>
      <c r="K77" s="255"/>
      <c r="L77" s="255"/>
      <c r="M77" s="255"/>
      <c r="N77" s="255"/>
      <c r="O77" s="255"/>
      <c r="P77" s="255"/>
      <c r="Q77" s="255"/>
      <c r="R77" s="255"/>
      <c r="S77" s="255"/>
      <c r="T77" s="255"/>
      <c r="U77" s="255"/>
      <c r="V77" s="255"/>
      <c r="W77" s="255"/>
      <c r="X77" s="255"/>
      <c r="Y77" s="255"/>
      <c r="Z77" s="255"/>
      <c r="AA77" s="255"/>
      <c r="AB77" s="255"/>
    </row>
    <row r="78">
      <c r="A78" s="255"/>
      <c r="B78" s="255"/>
      <c r="C78" s="383" t="s">
        <v>126</v>
      </c>
      <c r="D78" s="382"/>
      <c r="E78" s="364"/>
      <c r="F78" s="364"/>
      <c r="G78" s="355"/>
      <c r="H78" s="255"/>
      <c r="I78" s="255"/>
      <c r="J78" s="255"/>
      <c r="K78" s="255"/>
      <c r="L78" s="255"/>
      <c r="M78" s="255"/>
      <c r="N78" s="255"/>
      <c r="O78" s="255"/>
      <c r="P78" s="255"/>
      <c r="Q78" s="255"/>
      <c r="R78" s="255"/>
      <c r="S78" s="255"/>
      <c r="T78" s="255"/>
      <c r="U78" s="255"/>
      <c r="V78" s="255"/>
      <c r="W78" s="255"/>
      <c r="X78" s="255"/>
      <c r="Y78" s="255"/>
      <c r="Z78" s="255"/>
      <c r="AA78" s="255"/>
      <c r="AB78" s="255"/>
    </row>
    <row r="79">
      <c r="A79" s="255"/>
      <c r="B79" s="255"/>
      <c r="C79" s="383" t="s">
        <v>437</v>
      </c>
      <c r="D79" s="382"/>
      <c r="E79" s="364"/>
      <c r="F79" s="364"/>
      <c r="G79" s="355"/>
      <c r="H79" s="255"/>
      <c r="I79" s="255"/>
      <c r="J79" s="255"/>
      <c r="K79" s="255"/>
      <c r="L79" s="255"/>
      <c r="M79" s="255"/>
      <c r="N79" s="255"/>
      <c r="O79" s="255"/>
      <c r="P79" s="255"/>
      <c r="Q79" s="255"/>
      <c r="R79" s="255"/>
      <c r="S79" s="255"/>
      <c r="T79" s="255"/>
      <c r="U79" s="255"/>
      <c r="V79" s="255"/>
      <c r="W79" s="255"/>
      <c r="X79" s="255"/>
      <c r="Y79" s="255"/>
      <c r="Z79" s="255"/>
      <c r="AA79" s="255"/>
      <c r="AB79" s="255"/>
    </row>
    <row r="80">
      <c r="A80" s="255"/>
      <c r="B80" s="255"/>
      <c r="C80" s="384"/>
      <c r="D80" s="382"/>
      <c r="E80" s="364"/>
      <c r="F80" s="364"/>
      <c r="G80" s="355"/>
      <c r="H80" s="255"/>
      <c r="I80" s="255"/>
      <c r="J80" s="255"/>
      <c r="K80" s="255"/>
      <c r="L80" s="255"/>
      <c r="M80" s="255"/>
      <c r="N80" s="255"/>
      <c r="O80" s="255"/>
      <c r="P80" s="255"/>
      <c r="Q80" s="255"/>
      <c r="R80" s="255"/>
      <c r="S80" s="255"/>
      <c r="T80" s="255"/>
      <c r="U80" s="255"/>
      <c r="V80" s="255"/>
      <c r="W80" s="255"/>
      <c r="X80" s="255"/>
      <c r="Y80" s="255"/>
      <c r="Z80" s="255"/>
      <c r="AA80" s="255"/>
      <c r="AB80" s="255"/>
    </row>
    <row r="81">
      <c r="A81" s="255"/>
      <c r="B81" s="255"/>
      <c r="C81" s="261"/>
      <c r="D81" s="262"/>
      <c r="E81" s="364"/>
      <c r="F81" s="364"/>
      <c r="G81" s="355"/>
      <c r="H81" s="255"/>
      <c r="I81" s="255"/>
      <c r="J81" s="255"/>
      <c r="K81" s="255"/>
      <c r="L81" s="255"/>
      <c r="M81" s="255"/>
      <c r="N81" s="255"/>
      <c r="O81" s="255"/>
      <c r="P81" s="255"/>
      <c r="Q81" s="255"/>
      <c r="R81" s="255"/>
      <c r="S81" s="255"/>
      <c r="T81" s="255"/>
      <c r="U81" s="255"/>
      <c r="V81" s="255"/>
      <c r="W81" s="255"/>
      <c r="X81" s="255"/>
      <c r="Y81" s="255"/>
      <c r="Z81" s="255"/>
      <c r="AA81" s="255"/>
      <c r="AB81" s="255"/>
    </row>
    <row r="82">
      <c r="A82" s="255"/>
      <c r="B82" s="255"/>
      <c r="C82" s="261"/>
      <c r="D82" s="262"/>
      <c r="E82" s="364"/>
      <c r="F82" s="364"/>
      <c r="G82" s="355"/>
      <c r="H82" s="255"/>
      <c r="I82" s="255"/>
      <c r="J82" s="255"/>
      <c r="K82" s="255"/>
      <c r="L82" s="255"/>
      <c r="M82" s="255"/>
      <c r="N82" s="255"/>
      <c r="O82" s="255"/>
      <c r="P82" s="255"/>
      <c r="Q82" s="255"/>
      <c r="R82" s="255"/>
      <c r="S82" s="255"/>
      <c r="T82" s="255"/>
      <c r="U82" s="255"/>
      <c r="V82" s="255"/>
      <c r="W82" s="255"/>
      <c r="X82" s="255"/>
      <c r="Y82" s="255"/>
      <c r="Z82" s="255"/>
      <c r="AA82" s="255"/>
      <c r="AB82" s="255"/>
    </row>
    <row r="83">
      <c r="A83" s="255"/>
      <c r="B83" s="255"/>
      <c r="C83" s="261"/>
      <c r="D83" s="262"/>
      <c r="E83" s="364"/>
      <c r="F83" s="364"/>
      <c r="G83" s="355"/>
      <c r="H83" s="255"/>
      <c r="I83" s="255"/>
      <c r="J83" s="255"/>
      <c r="K83" s="255"/>
      <c r="L83" s="255"/>
      <c r="M83" s="255"/>
      <c r="N83" s="255"/>
      <c r="O83" s="255"/>
      <c r="P83" s="255"/>
      <c r="Q83" s="255"/>
      <c r="R83" s="255"/>
      <c r="S83" s="255"/>
      <c r="T83" s="255"/>
      <c r="U83" s="255"/>
      <c r="V83" s="255"/>
      <c r="W83" s="255"/>
      <c r="X83" s="255"/>
      <c r="Y83" s="255"/>
      <c r="Z83" s="255"/>
      <c r="AA83" s="255"/>
      <c r="AB83" s="255"/>
    </row>
    <row r="84">
      <c r="A84" s="255"/>
      <c r="B84" s="255"/>
      <c r="C84" s="261"/>
      <c r="D84" s="262"/>
      <c r="E84" s="364"/>
      <c r="F84" s="364"/>
      <c r="G84" s="355"/>
      <c r="H84" s="255"/>
      <c r="I84" s="255"/>
      <c r="J84" s="255"/>
      <c r="K84" s="255"/>
      <c r="L84" s="255"/>
      <c r="M84" s="255"/>
      <c r="N84" s="255"/>
      <c r="O84" s="255"/>
      <c r="P84" s="255"/>
      <c r="Q84" s="255"/>
      <c r="R84" s="255"/>
      <c r="S84" s="255"/>
      <c r="T84" s="255"/>
      <c r="U84" s="255"/>
      <c r="V84" s="255"/>
      <c r="W84" s="255"/>
      <c r="X84" s="255"/>
      <c r="Y84" s="255"/>
      <c r="Z84" s="255"/>
      <c r="AA84" s="255"/>
      <c r="AB84" s="255"/>
    </row>
    <row r="85">
      <c r="A85" s="255"/>
      <c r="B85" s="255"/>
      <c r="C85" s="261"/>
      <c r="D85" s="262"/>
      <c r="E85" s="364"/>
      <c r="F85" s="364"/>
      <c r="G85" s="355"/>
      <c r="H85" s="255"/>
      <c r="I85" s="255"/>
      <c r="J85" s="255"/>
      <c r="K85" s="255"/>
      <c r="L85" s="255"/>
      <c r="M85" s="255"/>
      <c r="N85" s="255"/>
      <c r="O85" s="255"/>
      <c r="P85" s="255"/>
      <c r="Q85" s="255"/>
      <c r="R85" s="255"/>
      <c r="S85" s="255"/>
      <c r="T85" s="255"/>
      <c r="U85" s="255"/>
      <c r="V85" s="255"/>
      <c r="W85" s="255"/>
      <c r="X85" s="255"/>
      <c r="Y85" s="255"/>
      <c r="Z85" s="255"/>
      <c r="AA85" s="255"/>
      <c r="AB85" s="255"/>
    </row>
    <row r="86">
      <c r="A86" s="255"/>
      <c r="B86" s="255"/>
      <c r="C86" s="261"/>
      <c r="D86" s="262"/>
      <c r="E86" s="364"/>
      <c r="F86" s="364"/>
      <c r="G86" s="355"/>
      <c r="H86" s="255"/>
      <c r="I86" s="255"/>
      <c r="J86" s="255"/>
      <c r="K86" s="255"/>
      <c r="L86" s="255"/>
      <c r="M86" s="255"/>
      <c r="N86" s="255"/>
      <c r="O86" s="255"/>
      <c r="P86" s="255"/>
      <c r="Q86" s="255"/>
      <c r="R86" s="255"/>
      <c r="S86" s="255"/>
      <c r="T86" s="255"/>
      <c r="U86" s="255"/>
      <c r="V86" s="255"/>
      <c r="W86" s="255"/>
      <c r="X86" s="255"/>
      <c r="Y86" s="255"/>
      <c r="Z86" s="255"/>
      <c r="AA86" s="255"/>
      <c r="AB86" s="255"/>
    </row>
    <row r="87">
      <c r="A87" s="255"/>
      <c r="B87" s="255"/>
      <c r="C87" s="261"/>
      <c r="D87" s="262"/>
      <c r="E87" s="364"/>
      <c r="F87" s="364"/>
      <c r="G87" s="355"/>
      <c r="H87" s="255"/>
      <c r="I87" s="255"/>
      <c r="J87" s="255"/>
      <c r="K87" s="255"/>
      <c r="L87" s="255"/>
      <c r="M87" s="255"/>
      <c r="N87" s="255"/>
      <c r="O87" s="255"/>
      <c r="P87" s="255"/>
      <c r="Q87" s="255"/>
      <c r="R87" s="255"/>
      <c r="S87" s="255"/>
      <c r="T87" s="255"/>
      <c r="U87" s="255"/>
      <c r="V87" s="255"/>
      <c r="W87" s="255"/>
      <c r="X87" s="255"/>
      <c r="Y87" s="255"/>
      <c r="Z87" s="255"/>
      <c r="AA87" s="255"/>
      <c r="AB87" s="255"/>
    </row>
    <row r="88">
      <c r="A88" s="255"/>
      <c r="B88" s="255"/>
      <c r="C88" s="261"/>
      <c r="D88" s="262"/>
      <c r="E88" s="364"/>
      <c r="F88" s="364"/>
      <c r="G88" s="355"/>
      <c r="H88" s="255"/>
      <c r="I88" s="255"/>
      <c r="J88" s="255"/>
      <c r="K88" s="255"/>
      <c r="L88" s="255"/>
      <c r="M88" s="255"/>
      <c r="N88" s="255"/>
      <c r="O88" s="255"/>
      <c r="P88" s="255"/>
      <c r="Q88" s="255"/>
      <c r="R88" s="255"/>
      <c r="S88" s="255"/>
      <c r="T88" s="255"/>
      <c r="U88" s="255"/>
      <c r="V88" s="255"/>
      <c r="W88" s="255"/>
      <c r="X88" s="255"/>
      <c r="Y88" s="255"/>
      <c r="Z88" s="255"/>
      <c r="AA88" s="255"/>
      <c r="AB88" s="255"/>
    </row>
    <row r="89">
      <c r="A89" s="255"/>
      <c r="B89" s="255"/>
      <c r="C89" s="261"/>
      <c r="D89" s="262"/>
      <c r="E89" s="364"/>
      <c r="F89" s="364"/>
      <c r="G89" s="355"/>
      <c r="H89" s="255"/>
      <c r="I89" s="255"/>
      <c r="J89" s="255"/>
      <c r="K89" s="255"/>
      <c r="L89" s="255"/>
      <c r="M89" s="255"/>
      <c r="N89" s="255"/>
      <c r="O89" s="255"/>
      <c r="P89" s="255"/>
      <c r="Q89" s="255"/>
      <c r="R89" s="255"/>
      <c r="S89" s="255"/>
      <c r="T89" s="255"/>
      <c r="U89" s="255"/>
      <c r="V89" s="255"/>
      <c r="W89" s="255"/>
      <c r="X89" s="255"/>
      <c r="Y89" s="255"/>
      <c r="Z89" s="255"/>
      <c r="AA89" s="255"/>
      <c r="AB89" s="255"/>
    </row>
    <row r="90">
      <c r="A90" s="255"/>
      <c r="B90" s="255"/>
      <c r="C90" s="261"/>
      <c r="D90" s="262"/>
      <c r="E90" s="364"/>
      <c r="F90" s="364"/>
      <c r="G90" s="355"/>
      <c r="H90" s="255"/>
      <c r="I90" s="255"/>
      <c r="J90" s="255"/>
      <c r="K90" s="255"/>
      <c r="L90" s="255"/>
      <c r="M90" s="255"/>
      <c r="N90" s="255"/>
      <c r="O90" s="255"/>
      <c r="P90" s="255"/>
      <c r="Q90" s="255"/>
      <c r="R90" s="255"/>
      <c r="S90" s="255"/>
      <c r="T90" s="255"/>
      <c r="U90" s="255"/>
      <c r="V90" s="255"/>
      <c r="W90" s="255"/>
      <c r="X90" s="255"/>
      <c r="Y90" s="255"/>
      <c r="Z90" s="255"/>
      <c r="AA90" s="255"/>
      <c r="AB90" s="255"/>
    </row>
    <row r="91">
      <c r="A91" s="255"/>
      <c r="B91" s="255"/>
      <c r="C91" s="261"/>
      <c r="D91" s="262"/>
      <c r="E91" s="364"/>
      <c r="F91" s="364"/>
      <c r="G91" s="355"/>
      <c r="H91" s="255"/>
      <c r="I91" s="255"/>
      <c r="J91" s="255"/>
      <c r="K91" s="255"/>
      <c r="L91" s="255"/>
      <c r="M91" s="255"/>
      <c r="N91" s="255"/>
      <c r="O91" s="255"/>
      <c r="P91" s="255"/>
      <c r="Q91" s="255"/>
      <c r="R91" s="255"/>
      <c r="S91" s="255"/>
      <c r="T91" s="255"/>
      <c r="U91" s="255"/>
      <c r="V91" s="255"/>
      <c r="W91" s="255"/>
      <c r="X91" s="255"/>
      <c r="Y91" s="255"/>
      <c r="Z91" s="255"/>
      <c r="AA91" s="255"/>
      <c r="AB91" s="255"/>
    </row>
    <row r="92">
      <c r="A92" s="255"/>
      <c r="B92" s="255"/>
      <c r="C92" s="261"/>
      <c r="D92" s="262"/>
      <c r="E92" s="364"/>
      <c r="F92" s="364"/>
      <c r="G92" s="355"/>
      <c r="H92" s="255"/>
      <c r="I92" s="255"/>
      <c r="J92" s="255"/>
      <c r="K92" s="255"/>
      <c r="L92" s="255"/>
      <c r="M92" s="255"/>
      <c r="N92" s="255"/>
      <c r="O92" s="255"/>
      <c r="P92" s="255"/>
      <c r="Q92" s="255"/>
      <c r="R92" s="255"/>
      <c r="S92" s="255"/>
      <c r="T92" s="255"/>
      <c r="U92" s="255"/>
      <c r="V92" s="255"/>
      <c r="W92" s="255"/>
      <c r="X92" s="255"/>
      <c r="Y92" s="255"/>
      <c r="Z92" s="255"/>
      <c r="AA92" s="255"/>
      <c r="AB92" s="255"/>
    </row>
    <row r="93">
      <c r="A93" s="255"/>
      <c r="B93" s="255"/>
      <c r="C93" s="261"/>
      <c r="D93" s="262"/>
      <c r="E93" s="364"/>
      <c r="F93" s="364"/>
      <c r="G93" s="355"/>
      <c r="H93" s="255"/>
      <c r="I93" s="255"/>
      <c r="J93" s="255"/>
      <c r="K93" s="255"/>
      <c r="L93" s="255"/>
      <c r="M93" s="255"/>
      <c r="N93" s="255"/>
      <c r="O93" s="255"/>
      <c r="P93" s="255"/>
      <c r="Q93" s="255"/>
      <c r="R93" s="255"/>
      <c r="S93" s="255"/>
      <c r="T93" s="255"/>
      <c r="U93" s="255"/>
      <c r="V93" s="255"/>
      <c r="W93" s="255"/>
      <c r="X93" s="255"/>
      <c r="Y93" s="255"/>
      <c r="Z93" s="255"/>
      <c r="AA93" s="255"/>
      <c r="AB93" s="255"/>
    </row>
    <row r="94">
      <c r="A94" s="255"/>
      <c r="B94" s="255"/>
      <c r="C94" s="261"/>
      <c r="D94" s="262"/>
      <c r="E94" s="364"/>
      <c r="F94" s="364"/>
      <c r="G94" s="355"/>
      <c r="H94" s="255"/>
      <c r="I94" s="255"/>
      <c r="J94" s="255"/>
      <c r="K94" s="255"/>
      <c r="L94" s="255"/>
      <c r="M94" s="255"/>
      <c r="N94" s="255"/>
      <c r="O94" s="255"/>
      <c r="P94" s="255"/>
      <c r="Q94" s="255"/>
      <c r="R94" s="255"/>
      <c r="S94" s="255"/>
      <c r="T94" s="255"/>
      <c r="U94" s="255"/>
      <c r="V94" s="255"/>
      <c r="W94" s="255"/>
      <c r="X94" s="255"/>
      <c r="Y94" s="255"/>
      <c r="Z94" s="255"/>
      <c r="AA94" s="255"/>
      <c r="AB94" s="255"/>
    </row>
    <row r="95">
      <c r="A95" s="255"/>
      <c r="B95" s="255"/>
      <c r="C95" s="261"/>
      <c r="D95" s="262"/>
      <c r="E95" s="364"/>
      <c r="F95" s="364"/>
      <c r="G95" s="355"/>
      <c r="H95" s="255"/>
      <c r="I95" s="255"/>
      <c r="J95" s="255"/>
      <c r="K95" s="255"/>
      <c r="L95" s="255"/>
      <c r="M95" s="255"/>
      <c r="N95" s="255"/>
      <c r="O95" s="255"/>
      <c r="P95" s="255"/>
      <c r="Q95" s="255"/>
      <c r="R95" s="255"/>
      <c r="S95" s="255"/>
      <c r="T95" s="255"/>
      <c r="U95" s="255"/>
      <c r="V95" s="255"/>
      <c r="W95" s="255"/>
      <c r="X95" s="255"/>
      <c r="Y95" s="255"/>
      <c r="Z95" s="255"/>
      <c r="AA95" s="255"/>
      <c r="AB95" s="255"/>
    </row>
    <row r="96">
      <c r="A96" s="255"/>
      <c r="B96" s="255"/>
      <c r="C96" s="261"/>
      <c r="D96" s="262"/>
      <c r="E96" s="364"/>
      <c r="F96" s="364"/>
      <c r="G96" s="355"/>
      <c r="H96" s="255"/>
      <c r="I96" s="255"/>
      <c r="J96" s="255"/>
      <c r="K96" s="255"/>
      <c r="L96" s="255"/>
      <c r="M96" s="255"/>
      <c r="N96" s="255"/>
      <c r="O96" s="255"/>
      <c r="P96" s="255"/>
      <c r="Q96" s="255"/>
      <c r="R96" s="255"/>
      <c r="S96" s="255"/>
      <c r="T96" s="255"/>
      <c r="U96" s="255"/>
      <c r="V96" s="255"/>
      <c r="W96" s="255"/>
      <c r="X96" s="255"/>
      <c r="Y96" s="255"/>
      <c r="Z96" s="255"/>
      <c r="AA96" s="255"/>
      <c r="AB96" s="255"/>
    </row>
    <row r="97">
      <c r="A97" s="255"/>
      <c r="B97" s="255"/>
      <c r="C97" s="261"/>
      <c r="D97" s="262"/>
      <c r="E97" s="364"/>
      <c r="F97" s="364"/>
      <c r="G97" s="355"/>
      <c r="H97" s="255"/>
      <c r="I97" s="255"/>
      <c r="J97" s="255"/>
      <c r="K97" s="255"/>
      <c r="L97" s="255"/>
      <c r="M97" s="255"/>
      <c r="N97" s="255"/>
      <c r="O97" s="255"/>
      <c r="P97" s="255"/>
      <c r="Q97" s="255"/>
      <c r="R97" s="255"/>
      <c r="S97" s="255"/>
      <c r="T97" s="255"/>
      <c r="U97" s="255"/>
      <c r="V97" s="255"/>
      <c r="W97" s="255"/>
      <c r="X97" s="255"/>
      <c r="Y97" s="255"/>
      <c r="Z97" s="255"/>
      <c r="AA97" s="255"/>
      <c r="AB97" s="255"/>
    </row>
    <row r="98">
      <c r="A98" s="255"/>
      <c r="B98" s="255"/>
      <c r="C98" s="261"/>
      <c r="D98" s="262"/>
      <c r="E98" s="364"/>
      <c r="F98" s="364"/>
      <c r="G98" s="355"/>
      <c r="H98" s="255"/>
      <c r="I98" s="255"/>
      <c r="J98" s="255"/>
      <c r="K98" s="255"/>
      <c r="L98" s="255"/>
      <c r="M98" s="255"/>
      <c r="N98" s="255"/>
      <c r="O98" s="255"/>
      <c r="P98" s="255"/>
      <c r="Q98" s="255"/>
      <c r="R98" s="255"/>
      <c r="S98" s="255"/>
      <c r="T98" s="255"/>
      <c r="U98" s="255"/>
      <c r="V98" s="255"/>
      <c r="W98" s="255"/>
      <c r="X98" s="255"/>
      <c r="Y98" s="255"/>
      <c r="Z98" s="255"/>
      <c r="AA98" s="255"/>
      <c r="AB98" s="255"/>
    </row>
    <row r="99">
      <c r="A99" s="255"/>
      <c r="B99" s="255"/>
      <c r="C99" s="261"/>
      <c r="D99" s="262"/>
      <c r="E99" s="364"/>
      <c r="F99" s="364"/>
      <c r="G99" s="355"/>
      <c r="H99" s="255"/>
      <c r="I99" s="255"/>
      <c r="J99" s="255"/>
      <c r="K99" s="255"/>
      <c r="L99" s="255"/>
      <c r="M99" s="255"/>
      <c r="N99" s="255"/>
      <c r="O99" s="255"/>
      <c r="P99" s="255"/>
      <c r="Q99" s="255"/>
      <c r="R99" s="255"/>
      <c r="S99" s="255"/>
      <c r="T99" s="255"/>
      <c r="U99" s="255"/>
      <c r="V99" s="255"/>
      <c r="W99" s="255"/>
      <c r="X99" s="255"/>
      <c r="Y99" s="255"/>
      <c r="Z99" s="255"/>
      <c r="AA99" s="255"/>
      <c r="AB99" s="255"/>
    </row>
    <row r="100">
      <c r="A100" s="255"/>
      <c r="B100" s="255"/>
      <c r="C100" s="261"/>
      <c r="D100" s="262"/>
      <c r="E100" s="364"/>
      <c r="F100" s="364"/>
      <c r="G100" s="355"/>
      <c r="H100" s="255"/>
      <c r="I100" s="255"/>
      <c r="J100" s="255"/>
      <c r="K100" s="255"/>
      <c r="L100" s="255"/>
      <c r="M100" s="255"/>
      <c r="N100" s="255"/>
      <c r="O100" s="255"/>
      <c r="P100" s="255"/>
      <c r="Q100" s="255"/>
      <c r="R100" s="255"/>
      <c r="S100" s="255"/>
      <c r="T100" s="255"/>
      <c r="U100" s="255"/>
      <c r="V100" s="255"/>
      <c r="W100" s="255"/>
      <c r="X100" s="255"/>
      <c r="Y100" s="255"/>
      <c r="Z100" s="255"/>
      <c r="AA100" s="255"/>
      <c r="AB100" s="255"/>
    </row>
    <row r="101">
      <c r="A101" s="255"/>
      <c r="B101" s="255"/>
      <c r="C101" s="261"/>
      <c r="D101" s="262"/>
      <c r="E101" s="364"/>
      <c r="F101" s="364"/>
      <c r="G101" s="355"/>
      <c r="H101" s="255"/>
      <c r="I101" s="255"/>
      <c r="J101" s="255"/>
      <c r="K101" s="255"/>
      <c r="L101" s="255"/>
      <c r="M101" s="255"/>
      <c r="N101" s="255"/>
      <c r="O101" s="255"/>
      <c r="P101" s="255"/>
      <c r="Q101" s="255"/>
      <c r="R101" s="255"/>
      <c r="S101" s="255"/>
      <c r="T101" s="255"/>
      <c r="U101" s="255"/>
      <c r="V101" s="255"/>
      <c r="W101" s="255"/>
      <c r="X101" s="255"/>
      <c r="Y101" s="255"/>
      <c r="Z101" s="255"/>
      <c r="AA101" s="255"/>
      <c r="AB101" s="255"/>
    </row>
    <row r="102">
      <c r="A102" s="255"/>
      <c r="B102" s="255"/>
      <c r="C102" s="261"/>
      <c r="D102" s="262"/>
      <c r="E102" s="364"/>
      <c r="F102" s="364"/>
      <c r="G102" s="355"/>
      <c r="H102" s="255"/>
      <c r="I102" s="255"/>
      <c r="J102" s="255"/>
      <c r="K102" s="255"/>
      <c r="L102" s="255"/>
      <c r="M102" s="255"/>
      <c r="N102" s="255"/>
      <c r="O102" s="255"/>
      <c r="P102" s="255"/>
      <c r="Q102" s="255"/>
      <c r="R102" s="255"/>
      <c r="S102" s="255"/>
      <c r="T102" s="255"/>
      <c r="U102" s="255"/>
      <c r="V102" s="255"/>
      <c r="W102" s="255"/>
      <c r="X102" s="255"/>
      <c r="Y102" s="255"/>
      <c r="Z102" s="255"/>
      <c r="AA102" s="255"/>
      <c r="AB102" s="255"/>
    </row>
    <row r="103">
      <c r="A103" s="255"/>
      <c r="B103" s="255"/>
      <c r="C103" s="261"/>
      <c r="D103" s="262"/>
      <c r="E103" s="364"/>
      <c r="F103" s="364"/>
      <c r="G103" s="355"/>
      <c r="H103" s="255"/>
      <c r="I103" s="255"/>
      <c r="J103" s="255"/>
      <c r="K103" s="255"/>
      <c r="L103" s="255"/>
      <c r="M103" s="255"/>
      <c r="N103" s="255"/>
      <c r="O103" s="255"/>
      <c r="P103" s="255"/>
      <c r="Q103" s="255"/>
      <c r="R103" s="255"/>
      <c r="S103" s="255"/>
      <c r="T103" s="255"/>
      <c r="U103" s="255"/>
      <c r="V103" s="255"/>
      <c r="W103" s="255"/>
      <c r="X103" s="255"/>
      <c r="Y103" s="255"/>
      <c r="Z103" s="255"/>
      <c r="AA103" s="255"/>
      <c r="AB103" s="255"/>
    </row>
    <row r="104">
      <c r="A104" s="255"/>
      <c r="B104" s="255"/>
      <c r="C104" s="261"/>
      <c r="D104" s="262"/>
      <c r="E104" s="364"/>
      <c r="F104" s="364"/>
      <c r="G104" s="355"/>
      <c r="H104" s="255"/>
      <c r="I104" s="255"/>
      <c r="J104" s="255"/>
      <c r="K104" s="255"/>
      <c r="L104" s="255"/>
      <c r="M104" s="255"/>
      <c r="N104" s="255"/>
      <c r="O104" s="255"/>
      <c r="P104" s="255"/>
      <c r="Q104" s="255"/>
      <c r="R104" s="255"/>
      <c r="S104" s="255"/>
      <c r="T104" s="255"/>
      <c r="U104" s="255"/>
      <c r="V104" s="255"/>
      <c r="W104" s="255"/>
      <c r="X104" s="255"/>
      <c r="Y104" s="255"/>
      <c r="Z104" s="255"/>
      <c r="AA104" s="255"/>
      <c r="AB104" s="255"/>
    </row>
    <row r="105">
      <c r="A105" s="255"/>
      <c r="B105" s="255"/>
      <c r="C105" s="261"/>
      <c r="D105" s="262"/>
      <c r="E105" s="364"/>
      <c r="F105" s="364"/>
      <c r="G105" s="355"/>
      <c r="H105" s="255"/>
      <c r="I105" s="255"/>
      <c r="J105" s="255"/>
      <c r="K105" s="255"/>
      <c r="L105" s="255"/>
      <c r="M105" s="255"/>
      <c r="N105" s="255"/>
      <c r="O105" s="255"/>
      <c r="P105" s="255"/>
      <c r="Q105" s="255"/>
      <c r="R105" s="255"/>
      <c r="S105" s="255"/>
      <c r="T105" s="255"/>
      <c r="U105" s="255"/>
      <c r="V105" s="255"/>
      <c r="W105" s="255"/>
      <c r="X105" s="255"/>
      <c r="Y105" s="255"/>
      <c r="Z105" s="255"/>
      <c r="AA105" s="255"/>
      <c r="AB105" s="255"/>
    </row>
    <row r="106">
      <c r="A106" s="255"/>
      <c r="B106" s="255"/>
      <c r="C106" s="261"/>
      <c r="D106" s="262"/>
      <c r="E106" s="364"/>
      <c r="F106" s="364"/>
      <c r="G106" s="355"/>
      <c r="H106" s="255"/>
      <c r="I106" s="255"/>
      <c r="J106" s="255"/>
      <c r="K106" s="255"/>
      <c r="L106" s="255"/>
      <c r="M106" s="255"/>
      <c r="N106" s="255"/>
      <c r="O106" s="255"/>
      <c r="P106" s="255"/>
      <c r="Q106" s="255"/>
      <c r="R106" s="255"/>
      <c r="S106" s="255"/>
      <c r="T106" s="255"/>
      <c r="U106" s="255"/>
      <c r="V106" s="255"/>
      <c r="W106" s="255"/>
      <c r="X106" s="255"/>
      <c r="Y106" s="255"/>
      <c r="Z106" s="255"/>
      <c r="AA106" s="255"/>
      <c r="AB106" s="255"/>
    </row>
    <row r="107">
      <c r="A107" s="255"/>
      <c r="B107" s="255"/>
      <c r="C107" s="261"/>
      <c r="D107" s="262"/>
      <c r="E107" s="364"/>
      <c r="F107" s="364"/>
      <c r="G107" s="355"/>
      <c r="H107" s="255"/>
      <c r="I107" s="255"/>
      <c r="J107" s="255"/>
      <c r="K107" s="255"/>
      <c r="L107" s="255"/>
      <c r="M107" s="255"/>
      <c r="N107" s="255"/>
      <c r="O107" s="255"/>
      <c r="P107" s="255"/>
      <c r="Q107" s="255"/>
      <c r="R107" s="255"/>
      <c r="S107" s="255"/>
      <c r="T107" s="255"/>
      <c r="U107" s="255"/>
      <c r="V107" s="255"/>
      <c r="W107" s="255"/>
      <c r="X107" s="255"/>
      <c r="Y107" s="255"/>
      <c r="Z107" s="255"/>
      <c r="AA107" s="255"/>
      <c r="AB107" s="255"/>
    </row>
    <row r="108">
      <c r="A108" s="255"/>
      <c r="B108" s="255"/>
      <c r="C108" s="261"/>
      <c r="D108" s="262"/>
      <c r="E108" s="364"/>
      <c r="F108" s="364"/>
      <c r="G108" s="355"/>
      <c r="H108" s="255"/>
      <c r="I108" s="255"/>
      <c r="J108" s="255"/>
      <c r="K108" s="255"/>
      <c r="L108" s="255"/>
      <c r="M108" s="255"/>
      <c r="N108" s="255"/>
      <c r="O108" s="255"/>
      <c r="P108" s="255"/>
      <c r="Q108" s="255"/>
      <c r="R108" s="255"/>
      <c r="S108" s="255"/>
      <c r="T108" s="255"/>
      <c r="U108" s="255"/>
      <c r="V108" s="255"/>
      <c r="W108" s="255"/>
      <c r="X108" s="255"/>
      <c r="Y108" s="255"/>
      <c r="Z108" s="255"/>
      <c r="AA108" s="255"/>
      <c r="AB108" s="255"/>
    </row>
    <row r="109">
      <c r="A109" s="255"/>
      <c r="B109" s="255"/>
      <c r="C109" s="261"/>
      <c r="D109" s="262"/>
      <c r="E109" s="364"/>
      <c r="F109" s="364"/>
      <c r="G109" s="355"/>
      <c r="H109" s="255"/>
      <c r="I109" s="255"/>
      <c r="J109" s="255"/>
      <c r="K109" s="255"/>
      <c r="L109" s="255"/>
      <c r="M109" s="255"/>
      <c r="N109" s="255"/>
      <c r="O109" s="255"/>
      <c r="P109" s="255"/>
      <c r="Q109" s="255"/>
      <c r="R109" s="255"/>
      <c r="S109" s="255"/>
      <c r="T109" s="255"/>
      <c r="U109" s="255"/>
      <c r="V109" s="255"/>
      <c r="W109" s="255"/>
      <c r="X109" s="255"/>
      <c r="Y109" s="255"/>
      <c r="Z109" s="255"/>
      <c r="AA109" s="255"/>
      <c r="AB109" s="255"/>
    </row>
    <row r="110">
      <c r="A110" s="255"/>
      <c r="B110" s="255"/>
      <c r="C110" s="261"/>
      <c r="D110" s="262"/>
      <c r="E110" s="364"/>
      <c r="F110" s="364"/>
      <c r="G110" s="355"/>
      <c r="H110" s="255"/>
      <c r="I110" s="255"/>
      <c r="J110" s="255"/>
      <c r="K110" s="255"/>
      <c r="L110" s="255"/>
      <c r="M110" s="255"/>
      <c r="N110" s="255"/>
      <c r="O110" s="255"/>
      <c r="P110" s="255"/>
      <c r="Q110" s="255"/>
      <c r="R110" s="255"/>
      <c r="S110" s="255"/>
      <c r="T110" s="255"/>
      <c r="U110" s="255"/>
      <c r="V110" s="255"/>
      <c r="W110" s="255"/>
      <c r="X110" s="255"/>
      <c r="Y110" s="255"/>
      <c r="Z110" s="255"/>
      <c r="AA110" s="255"/>
      <c r="AB110" s="255"/>
    </row>
    <row r="111">
      <c r="A111" s="255"/>
      <c r="B111" s="255"/>
      <c r="C111" s="261"/>
      <c r="D111" s="262"/>
      <c r="E111" s="364"/>
      <c r="F111" s="364"/>
      <c r="G111" s="355"/>
      <c r="H111" s="255"/>
      <c r="I111" s="255"/>
      <c r="J111" s="255"/>
      <c r="K111" s="255"/>
      <c r="L111" s="255"/>
      <c r="M111" s="255"/>
      <c r="N111" s="255"/>
      <c r="O111" s="255"/>
      <c r="P111" s="255"/>
      <c r="Q111" s="255"/>
      <c r="R111" s="255"/>
      <c r="S111" s="255"/>
      <c r="T111" s="255"/>
      <c r="U111" s="255"/>
      <c r="V111" s="255"/>
      <c r="W111" s="255"/>
      <c r="X111" s="255"/>
      <c r="Y111" s="255"/>
      <c r="Z111" s="255"/>
      <c r="AA111" s="255"/>
      <c r="AB111" s="255"/>
    </row>
    <row r="112">
      <c r="A112" s="255"/>
      <c r="B112" s="255"/>
      <c r="C112" s="261"/>
      <c r="D112" s="262"/>
      <c r="E112" s="364"/>
      <c r="F112" s="364"/>
      <c r="G112" s="355"/>
      <c r="H112" s="255"/>
      <c r="I112" s="255"/>
      <c r="J112" s="255"/>
      <c r="K112" s="255"/>
      <c r="L112" s="255"/>
      <c r="M112" s="255"/>
      <c r="N112" s="255"/>
      <c r="O112" s="255"/>
      <c r="P112" s="255"/>
      <c r="Q112" s="255"/>
      <c r="R112" s="255"/>
      <c r="S112" s="255"/>
      <c r="T112" s="255"/>
      <c r="U112" s="255"/>
      <c r="V112" s="255"/>
      <c r="W112" s="255"/>
      <c r="X112" s="255"/>
      <c r="Y112" s="255"/>
      <c r="Z112" s="255"/>
      <c r="AA112" s="255"/>
      <c r="AB112" s="255"/>
    </row>
    <row r="113">
      <c r="A113" s="255"/>
      <c r="B113" s="255"/>
      <c r="C113" s="261"/>
      <c r="D113" s="262"/>
      <c r="E113" s="364"/>
      <c r="F113" s="364"/>
      <c r="G113" s="355"/>
      <c r="H113" s="255"/>
      <c r="I113" s="255"/>
      <c r="J113" s="255"/>
      <c r="K113" s="255"/>
      <c r="L113" s="255"/>
      <c r="M113" s="255"/>
      <c r="N113" s="255"/>
      <c r="O113" s="255"/>
      <c r="P113" s="255"/>
      <c r="Q113" s="255"/>
      <c r="R113" s="255"/>
      <c r="S113" s="255"/>
      <c r="T113" s="255"/>
      <c r="U113" s="255"/>
      <c r="V113" s="255"/>
      <c r="W113" s="255"/>
      <c r="X113" s="255"/>
      <c r="Y113" s="255"/>
      <c r="Z113" s="255"/>
      <c r="AA113" s="255"/>
      <c r="AB113" s="255"/>
    </row>
    <row r="114">
      <c r="A114" s="255"/>
      <c r="B114" s="255"/>
      <c r="C114" s="261"/>
      <c r="D114" s="262"/>
      <c r="E114" s="364"/>
      <c r="F114" s="364"/>
      <c r="G114" s="355"/>
      <c r="H114" s="255"/>
      <c r="I114" s="255"/>
      <c r="J114" s="255"/>
      <c r="K114" s="255"/>
      <c r="L114" s="255"/>
      <c r="M114" s="255"/>
      <c r="N114" s="255"/>
      <c r="O114" s="255"/>
      <c r="P114" s="255"/>
      <c r="Q114" s="255"/>
      <c r="R114" s="255"/>
      <c r="S114" s="255"/>
      <c r="T114" s="255"/>
      <c r="U114" s="255"/>
      <c r="V114" s="255"/>
      <c r="W114" s="255"/>
      <c r="X114" s="255"/>
      <c r="Y114" s="255"/>
      <c r="Z114" s="255"/>
      <c r="AA114" s="255"/>
      <c r="AB114" s="255"/>
    </row>
    <row r="115">
      <c r="A115" s="255"/>
      <c r="B115" s="255"/>
      <c r="C115" s="261"/>
      <c r="D115" s="262"/>
      <c r="E115" s="364"/>
      <c r="F115" s="364"/>
      <c r="G115" s="355"/>
      <c r="H115" s="255"/>
      <c r="I115" s="255"/>
      <c r="J115" s="255"/>
      <c r="K115" s="255"/>
      <c r="L115" s="255"/>
      <c r="M115" s="255"/>
      <c r="N115" s="255"/>
      <c r="O115" s="255"/>
      <c r="P115" s="255"/>
      <c r="Q115" s="255"/>
      <c r="R115" s="255"/>
      <c r="S115" s="255"/>
      <c r="T115" s="255"/>
      <c r="U115" s="255"/>
      <c r="V115" s="255"/>
      <c r="W115" s="255"/>
      <c r="X115" s="255"/>
      <c r="Y115" s="255"/>
      <c r="Z115" s="255"/>
      <c r="AA115" s="255"/>
      <c r="AB115" s="255"/>
    </row>
    <row r="116">
      <c r="A116" s="255"/>
      <c r="B116" s="255"/>
      <c r="C116" s="261"/>
      <c r="D116" s="262"/>
      <c r="E116" s="364"/>
      <c r="F116" s="364"/>
      <c r="G116" s="355"/>
      <c r="H116" s="255"/>
      <c r="I116" s="255"/>
      <c r="J116" s="255"/>
      <c r="K116" s="255"/>
      <c r="L116" s="255"/>
      <c r="M116" s="255"/>
      <c r="N116" s="255"/>
      <c r="O116" s="255"/>
      <c r="P116" s="255"/>
      <c r="Q116" s="255"/>
      <c r="R116" s="255"/>
      <c r="S116" s="255"/>
      <c r="T116" s="255"/>
      <c r="U116" s="255"/>
      <c r="V116" s="255"/>
      <c r="W116" s="255"/>
      <c r="X116" s="255"/>
      <c r="Y116" s="255"/>
      <c r="Z116" s="255"/>
      <c r="AA116" s="255"/>
      <c r="AB116" s="255"/>
    </row>
    <row r="117">
      <c r="A117" s="255"/>
      <c r="B117" s="255"/>
      <c r="C117" s="261"/>
      <c r="D117" s="262"/>
      <c r="E117" s="364"/>
      <c r="F117" s="364"/>
      <c r="G117" s="355"/>
      <c r="H117" s="255"/>
      <c r="I117" s="255"/>
      <c r="J117" s="255"/>
      <c r="K117" s="255"/>
      <c r="L117" s="255"/>
      <c r="M117" s="255"/>
      <c r="N117" s="255"/>
      <c r="O117" s="255"/>
      <c r="P117" s="255"/>
      <c r="Q117" s="255"/>
      <c r="R117" s="255"/>
      <c r="S117" s="255"/>
      <c r="T117" s="255"/>
      <c r="U117" s="255"/>
      <c r="V117" s="255"/>
      <c r="W117" s="255"/>
      <c r="X117" s="255"/>
      <c r="Y117" s="255"/>
      <c r="Z117" s="255"/>
      <c r="AA117" s="255"/>
      <c r="AB117" s="255"/>
    </row>
    <row r="118">
      <c r="A118" s="255"/>
      <c r="B118" s="255"/>
      <c r="C118" s="261"/>
      <c r="D118" s="262"/>
      <c r="E118" s="364"/>
      <c r="F118" s="364"/>
      <c r="G118" s="355"/>
      <c r="H118" s="255"/>
      <c r="I118" s="255"/>
      <c r="J118" s="255"/>
      <c r="K118" s="255"/>
      <c r="L118" s="255"/>
      <c r="M118" s="255"/>
      <c r="N118" s="255"/>
      <c r="O118" s="255"/>
      <c r="P118" s="255"/>
      <c r="Q118" s="255"/>
      <c r="R118" s="255"/>
      <c r="S118" s="255"/>
      <c r="T118" s="255"/>
      <c r="U118" s="255"/>
      <c r="V118" s="255"/>
      <c r="W118" s="255"/>
      <c r="X118" s="255"/>
      <c r="Y118" s="255"/>
      <c r="Z118" s="255"/>
      <c r="AA118" s="255"/>
      <c r="AB118" s="255"/>
    </row>
    <row r="119">
      <c r="A119" s="255"/>
      <c r="B119" s="255"/>
      <c r="C119" s="261"/>
      <c r="D119" s="262"/>
      <c r="E119" s="364"/>
      <c r="F119" s="364"/>
      <c r="G119" s="355"/>
      <c r="H119" s="255"/>
      <c r="I119" s="255"/>
      <c r="J119" s="255"/>
      <c r="K119" s="255"/>
      <c r="L119" s="255"/>
      <c r="M119" s="255"/>
      <c r="N119" s="255"/>
      <c r="O119" s="255"/>
      <c r="P119" s="255"/>
      <c r="Q119" s="255"/>
      <c r="R119" s="255"/>
      <c r="S119" s="255"/>
      <c r="T119" s="255"/>
      <c r="U119" s="255"/>
      <c r="V119" s="255"/>
      <c r="W119" s="255"/>
      <c r="X119" s="255"/>
      <c r="Y119" s="255"/>
      <c r="Z119" s="255"/>
      <c r="AA119" s="255"/>
      <c r="AB119" s="255"/>
    </row>
    <row r="120">
      <c r="A120" s="255"/>
      <c r="B120" s="255"/>
      <c r="C120" s="261"/>
      <c r="D120" s="262"/>
      <c r="E120" s="364"/>
      <c r="F120" s="364"/>
      <c r="G120" s="355"/>
      <c r="H120" s="255"/>
      <c r="I120" s="255"/>
      <c r="J120" s="255"/>
      <c r="K120" s="255"/>
      <c r="L120" s="255"/>
      <c r="M120" s="255"/>
      <c r="N120" s="255"/>
      <c r="O120" s="255"/>
      <c r="P120" s="255"/>
      <c r="Q120" s="255"/>
      <c r="R120" s="255"/>
      <c r="S120" s="255"/>
      <c r="T120" s="255"/>
      <c r="U120" s="255"/>
      <c r="V120" s="255"/>
      <c r="W120" s="255"/>
      <c r="X120" s="255"/>
      <c r="Y120" s="255"/>
      <c r="Z120" s="255"/>
      <c r="AA120" s="255"/>
      <c r="AB120" s="255"/>
    </row>
    <row r="121">
      <c r="A121" s="255"/>
      <c r="B121" s="255"/>
      <c r="C121" s="261"/>
      <c r="D121" s="262"/>
      <c r="E121" s="364"/>
      <c r="F121" s="364"/>
      <c r="G121" s="355"/>
      <c r="H121" s="255"/>
      <c r="I121" s="255"/>
      <c r="J121" s="255"/>
      <c r="K121" s="255"/>
      <c r="L121" s="255"/>
      <c r="M121" s="255"/>
      <c r="N121" s="255"/>
      <c r="O121" s="255"/>
      <c r="P121" s="255"/>
      <c r="Q121" s="255"/>
      <c r="R121" s="255"/>
      <c r="S121" s="255"/>
      <c r="T121" s="255"/>
      <c r="U121" s="255"/>
      <c r="V121" s="255"/>
      <c r="W121" s="255"/>
      <c r="X121" s="255"/>
      <c r="Y121" s="255"/>
      <c r="Z121" s="255"/>
      <c r="AA121" s="255"/>
      <c r="AB121" s="255"/>
    </row>
    <row r="122">
      <c r="A122" s="255"/>
      <c r="B122" s="255"/>
      <c r="C122" s="261"/>
      <c r="D122" s="262"/>
      <c r="E122" s="364"/>
      <c r="F122" s="364"/>
      <c r="G122" s="355"/>
      <c r="H122" s="255"/>
      <c r="I122" s="255"/>
      <c r="J122" s="255"/>
      <c r="K122" s="255"/>
      <c r="L122" s="255"/>
      <c r="M122" s="255"/>
      <c r="N122" s="255"/>
      <c r="O122" s="255"/>
      <c r="P122" s="255"/>
      <c r="Q122" s="255"/>
      <c r="R122" s="255"/>
      <c r="S122" s="255"/>
      <c r="T122" s="255"/>
      <c r="U122" s="255"/>
      <c r="V122" s="255"/>
      <c r="W122" s="255"/>
      <c r="X122" s="255"/>
      <c r="Y122" s="255"/>
      <c r="Z122" s="255"/>
      <c r="AA122" s="255"/>
      <c r="AB122" s="255"/>
    </row>
    <row r="123">
      <c r="A123" s="255"/>
      <c r="B123" s="255"/>
      <c r="C123" s="261"/>
      <c r="D123" s="262"/>
      <c r="E123" s="364"/>
      <c r="F123" s="364"/>
      <c r="G123" s="355"/>
      <c r="H123" s="255"/>
      <c r="I123" s="255"/>
      <c r="J123" s="255"/>
      <c r="K123" s="255"/>
      <c r="L123" s="255"/>
      <c r="M123" s="255"/>
      <c r="N123" s="255"/>
      <c r="O123" s="255"/>
      <c r="P123" s="255"/>
      <c r="Q123" s="255"/>
      <c r="R123" s="255"/>
      <c r="S123" s="255"/>
      <c r="T123" s="255"/>
      <c r="U123" s="255"/>
      <c r="V123" s="255"/>
      <c r="W123" s="255"/>
      <c r="X123" s="255"/>
      <c r="Y123" s="255"/>
      <c r="Z123" s="255"/>
      <c r="AA123" s="255"/>
      <c r="AB123" s="255"/>
    </row>
    <row r="124">
      <c r="A124" s="255"/>
      <c r="B124" s="255"/>
      <c r="C124" s="261"/>
      <c r="D124" s="262"/>
      <c r="E124" s="364"/>
      <c r="F124" s="364"/>
      <c r="G124" s="355"/>
      <c r="H124" s="255"/>
      <c r="I124" s="255"/>
      <c r="J124" s="255"/>
      <c r="K124" s="255"/>
      <c r="L124" s="255"/>
      <c r="M124" s="255"/>
      <c r="N124" s="255"/>
      <c r="O124" s="255"/>
      <c r="P124" s="255"/>
      <c r="Q124" s="255"/>
      <c r="R124" s="255"/>
      <c r="S124" s="255"/>
      <c r="T124" s="255"/>
      <c r="U124" s="255"/>
      <c r="V124" s="255"/>
      <c r="W124" s="255"/>
      <c r="X124" s="255"/>
      <c r="Y124" s="255"/>
      <c r="Z124" s="255"/>
      <c r="AA124" s="255"/>
      <c r="AB124" s="255"/>
    </row>
    <row r="125">
      <c r="A125" s="255"/>
      <c r="B125" s="255"/>
      <c r="C125" s="261"/>
      <c r="D125" s="262"/>
      <c r="E125" s="364"/>
      <c r="F125" s="364"/>
      <c r="G125" s="355"/>
      <c r="H125" s="255"/>
      <c r="I125" s="255"/>
      <c r="J125" s="255"/>
      <c r="K125" s="255"/>
      <c r="L125" s="255"/>
      <c r="M125" s="255"/>
      <c r="N125" s="255"/>
      <c r="O125" s="255"/>
      <c r="P125" s="255"/>
      <c r="Q125" s="255"/>
      <c r="R125" s="255"/>
      <c r="S125" s="255"/>
      <c r="T125" s="255"/>
      <c r="U125" s="255"/>
      <c r="V125" s="255"/>
      <c r="W125" s="255"/>
      <c r="X125" s="255"/>
      <c r="Y125" s="255"/>
      <c r="Z125" s="255"/>
      <c r="AA125" s="255"/>
      <c r="AB125" s="255"/>
    </row>
    <row r="126">
      <c r="A126" s="255"/>
      <c r="B126" s="255"/>
      <c r="C126" s="261"/>
      <c r="D126" s="262"/>
      <c r="E126" s="364"/>
      <c r="F126" s="364"/>
      <c r="G126" s="355"/>
      <c r="H126" s="255"/>
      <c r="I126" s="255"/>
      <c r="J126" s="255"/>
      <c r="K126" s="255"/>
      <c r="L126" s="255"/>
      <c r="M126" s="255"/>
      <c r="N126" s="255"/>
      <c r="O126" s="255"/>
      <c r="P126" s="255"/>
      <c r="Q126" s="255"/>
      <c r="R126" s="255"/>
      <c r="S126" s="255"/>
      <c r="T126" s="255"/>
      <c r="U126" s="255"/>
      <c r="V126" s="255"/>
      <c r="W126" s="255"/>
      <c r="X126" s="255"/>
      <c r="Y126" s="255"/>
      <c r="Z126" s="255"/>
      <c r="AA126" s="255"/>
      <c r="AB126" s="255"/>
    </row>
    <row r="127">
      <c r="A127" s="255"/>
      <c r="B127" s="255"/>
      <c r="C127" s="261"/>
      <c r="D127" s="262"/>
      <c r="E127" s="364"/>
      <c r="F127" s="364"/>
      <c r="G127" s="355"/>
      <c r="H127" s="255"/>
      <c r="I127" s="255"/>
      <c r="J127" s="255"/>
      <c r="K127" s="255"/>
      <c r="L127" s="255"/>
      <c r="M127" s="255"/>
      <c r="N127" s="255"/>
      <c r="O127" s="255"/>
      <c r="P127" s="255"/>
      <c r="Q127" s="255"/>
      <c r="R127" s="255"/>
      <c r="S127" s="255"/>
      <c r="T127" s="255"/>
      <c r="U127" s="255"/>
      <c r="V127" s="255"/>
      <c r="W127" s="255"/>
      <c r="X127" s="255"/>
      <c r="Y127" s="255"/>
      <c r="Z127" s="255"/>
      <c r="AA127" s="255"/>
      <c r="AB127" s="255"/>
    </row>
    <row r="128">
      <c r="A128" s="255"/>
      <c r="B128" s="255"/>
      <c r="C128" s="261"/>
      <c r="D128" s="262"/>
      <c r="E128" s="364"/>
      <c r="F128" s="364"/>
      <c r="G128" s="355"/>
      <c r="H128" s="255"/>
      <c r="I128" s="255"/>
      <c r="J128" s="255"/>
      <c r="K128" s="255"/>
      <c r="L128" s="255"/>
      <c r="M128" s="255"/>
      <c r="N128" s="255"/>
      <c r="O128" s="255"/>
      <c r="P128" s="255"/>
      <c r="Q128" s="255"/>
      <c r="R128" s="255"/>
      <c r="S128" s="255"/>
      <c r="T128" s="255"/>
      <c r="U128" s="255"/>
      <c r="V128" s="255"/>
      <c r="W128" s="255"/>
      <c r="X128" s="255"/>
      <c r="Y128" s="255"/>
      <c r="Z128" s="255"/>
      <c r="AA128" s="255"/>
      <c r="AB128" s="255"/>
    </row>
    <row r="129">
      <c r="A129" s="255"/>
      <c r="B129" s="255"/>
      <c r="C129" s="261"/>
      <c r="D129" s="262"/>
      <c r="E129" s="364"/>
      <c r="F129" s="364"/>
      <c r="G129" s="355"/>
      <c r="H129" s="255"/>
      <c r="I129" s="255"/>
      <c r="J129" s="255"/>
      <c r="K129" s="255"/>
      <c r="L129" s="255"/>
      <c r="M129" s="255"/>
      <c r="N129" s="255"/>
      <c r="O129" s="255"/>
      <c r="P129" s="255"/>
      <c r="Q129" s="255"/>
      <c r="R129" s="255"/>
      <c r="S129" s="255"/>
      <c r="T129" s="255"/>
      <c r="U129" s="255"/>
      <c r="V129" s="255"/>
      <c r="W129" s="255"/>
      <c r="X129" s="255"/>
      <c r="Y129" s="255"/>
      <c r="Z129" s="255"/>
      <c r="AA129" s="255"/>
      <c r="AB129" s="255"/>
    </row>
    <row r="130">
      <c r="A130" s="255"/>
      <c r="B130" s="255"/>
      <c r="C130" s="261"/>
      <c r="D130" s="262"/>
      <c r="E130" s="364"/>
      <c r="F130" s="364"/>
      <c r="G130" s="355"/>
      <c r="H130" s="255"/>
      <c r="I130" s="255"/>
      <c r="J130" s="255"/>
      <c r="K130" s="255"/>
      <c r="L130" s="255"/>
      <c r="M130" s="255"/>
      <c r="N130" s="255"/>
      <c r="O130" s="255"/>
      <c r="P130" s="255"/>
      <c r="Q130" s="255"/>
      <c r="R130" s="255"/>
      <c r="S130" s="255"/>
      <c r="T130" s="255"/>
      <c r="U130" s="255"/>
      <c r="V130" s="255"/>
      <c r="W130" s="255"/>
      <c r="X130" s="255"/>
      <c r="Y130" s="255"/>
      <c r="Z130" s="255"/>
      <c r="AA130" s="255"/>
      <c r="AB130" s="255"/>
    </row>
    <row r="131">
      <c r="A131" s="255"/>
      <c r="B131" s="255"/>
      <c r="C131" s="261"/>
      <c r="D131" s="262"/>
      <c r="E131" s="364"/>
      <c r="F131" s="364"/>
      <c r="G131" s="355"/>
      <c r="H131" s="255"/>
      <c r="I131" s="255"/>
      <c r="J131" s="255"/>
      <c r="K131" s="255"/>
      <c r="L131" s="255"/>
      <c r="M131" s="255"/>
      <c r="N131" s="255"/>
      <c r="O131" s="255"/>
      <c r="P131" s="255"/>
      <c r="Q131" s="255"/>
      <c r="R131" s="255"/>
      <c r="S131" s="255"/>
      <c r="T131" s="255"/>
      <c r="U131" s="255"/>
      <c r="V131" s="255"/>
      <c r="W131" s="255"/>
      <c r="X131" s="255"/>
      <c r="Y131" s="255"/>
      <c r="Z131" s="255"/>
      <c r="AA131" s="255"/>
      <c r="AB131" s="255"/>
    </row>
    <row r="132">
      <c r="A132" s="255"/>
      <c r="B132" s="255"/>
      <c r="C132" s="261"/>
      <c r="D132" s="262"/>
      <c r="E132" s="364"/>
      <c r="F132" s="364"/>
      <c r="G132" s="355"/>
      <c r="H132" s="255"/>
      <c r="I132" s="255"/>
      <c r="J132" s="255"/>
      <c r="K132" s="255"/>
      <c r="L132" s="255"/>
      <c r="M132" s="255"/>
      <c r="N132" s="255"/>
      <c r="O132" s="255"/>
      <c r="P132" s="255"/>
      <c r="Q132" s="255"/>
      <c r="R132" s="255"/>
      <c r="S132" s="255"/>
      <c r="T132" s="255"/>
      <c r="U132" s="255"/>
      <c r="V132" s="255"/>
      <c r="W132" s="255"/>
      <c r="X132" s="255"/>
      <c r="Y132" s="255"/>
      <c r="Z132" s="255"/>
      <c r="AA132" s="255"/>
      <c r="AB132" s="255"/>
    </row>
    <row r="133">
      <c r="A133" s="255"/>
      <c r="B133" s="255"/>
      <c r="C133" s="261"/>
      <c r="D133" s="262"/>
      <c r="E133" s="364"/>
      <c r="F133" s="364"/>
      <c r="G133" s="355"/>
      <c r="H133" s="255"/>
      <c r="I133" s="255"/>
      <c r="J133" s="255"/>
      <c r="K133" s="255"/>
      <c r="L133" s="255"/>
      <c r="M133" s="255"/>
      <c r="N133" s="255"/>
      <c r="O133" s="255"/>
      <c r="P133" s="255"/>
      <c r="Q133" s="255"/>
      <c r="R133" s="255"/>
      <c r="S133" s="255"/>
      <c r="T133" s="255"/>
      <c r="U133" s="255"/>
      <c r="V133" s="255"/>
      <c r="W133" s="255"/>
      <c r="X133" s="255"/>
      <c r="Y133" s="255"/>
      <c r="Z133" s="255"/>
      <c r="AA133" s="255"/>
      <c r="AB133" s="255"/>
    </row>
    <row r="134">
      <c r="A134" s="255"/>
      <c r="B134" s="255"/>
      <c r="C134" s="261"/>
      <c r="D134" s="262"/>
      <c r="E134" s="364"/>
      <c r="F134" s="364"/>
      <c r="G134" s="355"/>
      <c r="H134" s="255"/>
      <c r="I134" s="255"/>
      <c r="J134" s="255"/>
      <c r="K134" s="255"/>
      <c r="L134" s="255"/>
      <c r="M134" s="255"/>
      <c r="N134" s="255"/>
      <c r="O134" s="255"/>
      <c r="P134" s="255"/>
      <c r="Q134" s="255"/>
      <c r="R134" s="255"/>
      <c r="S134" s="255"/>
      <c r="T134" s="255"/>
      <c r="U134" s="255"/>
      <c r="V134" s="255"/>
      <c r="W134" s="255"/>
      <c r="X134" s="255"/>
      <c r="Y134" s="255"/>
      <c r="Z134" s="255"/>
      <c r="AA134" s="255"/>
      <c r="AB134" s="255"/>
    </row>
    <row r="135">
      <c r="A135" s="255"/>
      <c r="B135" s="255"/>
      <c r="C135" s="261"/>
      <c r="D135" s="262"/>
      <c r="E135" s="364"/>
      <c r="F135" s="364"/>
      <c r="G135" s="355"/>
      <c r="H135" s="255"/>
      <c r="I135" s="255"/>
      <c r="J135" s="255"/>
      <c r="K135" s="255"/>
      <c r="L135" s="255"/>
      <c r="M135" s="255"/>
      <c r="N135" s="255"/>
      <c r="O135" s="255"/>
      <c r="P135" s="255"/>
      <c r="Q135" s="255"/>
      <c r="R135" s="255"/>
      <c r="S135" s="255"/>
      <c r="T135" s="255"/>
      <c r="U135" s="255"/>
      <c r="V135" s="255"/>
      <c r="W135" s="255"/>
      <c r="X135" s="255"/>
      <c r="Y135" s="255"/>
      <c r="Z135" s="255"/>
      <c r="AA135" s="255"/>
      <c r="AB135" s="255"/>
    </row>
    <row r="136">
      <c r="A136" s="255"/>
      <c r="B136" s="255"/>
      <c r="C136" s="261"/>
      <c r="D136" s="262"/>
      <c r="E136" s="364"/>
      <c r="F136" s="364"/>
      <c r="G136" s="355"/>
      <c r="H136" s="255"/>
      <c r="I136" s="255"/>
      <c r="J136" s="255"/>
      <c r="K136" s="255"/>
      <c r="L136" s="255"/>
      <c r="M136" s="255"/>
      <c r="N136" s="255"/>
      <c r="O136" s="255"/>
      <c r="P136" s="255"/>
      <c r="Q136" s="255"/>
      <c r="R136" s="255"/>
      <c r="S136" s="255"/>
      <c r="T136" s="255"/>
      <c r="U136" s="255"/>
      <c r="V136" s="255"/>
      <c r="W136" s="255"/>
      <c r="X136" s="255"/>
      <c r="Y136" s="255"/>
      <c r="Z136" s="255"/>
      <c r="AA136" s="255"/>
      <c r="AB136" s="255"/>
    </row>
    <row r="137">
      <c r="A137" s="255"/>
      <c r="B137" s="255"/>
      <c r="C137" s="261"/>
      <c r="D137" s="262"/>
      <c r="E137" s="364"/>
      <c r="F137" s="364"/>
      <c r="G137" s="355"/>
      <c r="H137" s="255"/>
      <c r="I137" s="255"/>
      <c r="J137" s="255"/>
      <c r="K137" s="255"/>
      <c r="L137" s="255"/>
      <c r="M137" s="255"/>
      <c r="N137" s="255"/>
      <c r="O137" s="255"/>
      <c r="P137" s="255"/>
      <c r="Q137" s="255"/>
      <c r="R137" s="255"/>
      <c r="S137" s="255"/>
      <c r="T137" s="255"/>
      <c r="U137" s="255"/>
      <c r="V137" s="255"/>
      <c r="W137" s="255"/>
      <c r="X137" s="255"/>
      <c r="Y137" s="255"/>
      <c r="Z137" s="255"/>
      <c r="AA137" s="255"/>
      <c r="AB137" s="255"/>
    </row>
    <row r="138">
      <c r="A138" s="255"/>
      <c r="B138" s="255"/>
      <c r="C138" s="261"/>
      <c r="D138" s="262"/>
      <c r="E138" s="364"/>
      <c r="F138" s="364"/>
      <c r="G138" s="355"/>
      <c r="H138" s="255"/>
      <c r="I138" s="255"/>
      <c r="J138" s="255"/>
      <c r="K138" s="255"/>
      <c r="L138" s="255"/>
      <c r="M138" s="255"/>
      <c r="N138" s="255"/>
      <c r="O138" s="255"/>
      <c r="P138" s="255"/>
      <c r="Q138" s="255"/>
      <c r="R138" s="255"/>
      <c r="S138" s="255"/>
      <c r="T138" s="255"/>
      <c r="U138" s="255"/>
      <c r="V138" s="255"/>
      <c r="W138" s="255"/>
      <c r="X138" s="255"/>
      <c r="Y138" s="255"/>
      <c r="Z138" s="255"/>
      <c r="AA138" s="255"/>
      <c r="AB138" s="255"/>
    </row>
    <row r="139">
      <c r="A139" s="255"/>
      <c r="B139" s="255"/>
      <c r="C139" s="261"/>
      <c r="D139" s="262"/>
      <c r="E139" s="364"/>
      <c r="F139" s="364"/>
      <c r="G139" s="355"/>
      <c r="H139" s="255"/>
      <c r="I139" s="255"/>
      <c r="J139" s="255"/>
      <c r="K139" s="255"/>
      <c r="L139" s="255"/>
      <c r="M139" s="255"/>
      <c r="N139" s="255"/>
      <c r="O139" s="255"/>
      <c r="P139" s="255"/>
      <c r="Q139" s="255"/>
      <c r="R139" s="255"/>
      <c r="S139" s="255"/>
      <c r="T139" s="255"/>
      <c r="U139" s="255"/>
      <c r="V139" s="255"/>
      <c r="W139" s="255"/>
      <c r="X139" s="255"/>
      <c r="Y139" s="255"/>
      <c r="Z139" s="255"/>
      <c r="AA139" s="255"/>
      <c r="AB139" s="255"/>
    </row>
    <row r="140">
      <c r="A140" s="255"/>
      <c r="B140" s="255"/>
      <c r="C140" s="261"/>
      <c r="D140" s="262"/>
      <c r="E140" s="364"/>
      <c r="F140" s="364"/>
      <c r="G140" s="355"/>
      <c r="H140" s="255"/>
      <c r="I140" s="255"/>
      <c r="J140" s="255"/>
      <c r="K140" s="255"/>
      <c r="L140" s="255"/>
      <c r="M140" s="255"/>
      <c r="N140" s="255"/>
      <c r="O140" s="255"/>
      <c r="P140" s="255"/>
      <c r="Q140" s="255"/>
      <c r="R140" s="255"/>
      <c r="S140" s="255"/>
      <c r="T140" s="255"/>
      <c r="U140" s="255"/>
      <c r="V140" s="255"/>
      <c r="W140" s="255"/>
      <c r="X140" s="255"/>
      <c r="Y140" s="255"/>
      <c r="Z140" s="255"/>
      <c r="AA140" s="255"/>
      <c r="AB140" s="255"/>
    </row>
    <row r="141">
      <c r="A141" s="255"/>
      <c r="B141" s="255"/>
      <c r="C141" s="261"/>
      <c r="D141" s="262"/>
      <c r="E141" s="364"/>
      <c r="F141" s="364"/>
      <c r="G141" s="355"/>
      <c r="H141" s="255"/>
      <c r="I141" s="255"/>
      <c r="J141" s="255"/>
      <c r="K141" s="255"/>
      <c r="L141" s="255"/>
      <c r="M141" s="255"/>
      <c r="N141" s="255"/>
      <c r="O141" s="255"/>
      <c r="P141" s="255"/>
      <c r="Q141" s="255"/>
      <c r="R141" s="255"/>
      <c r="S141" s="255"/>
      <c r="T141" s="255"/>
      <c r="U141" s="255"/>
      <c r="V141" s="255"/>
      <c r="W141" s="255"/>
      <c r="X141" s="255"/>
      <c r="Y141" s="255"/>
      <c r="Z141" s="255"/>
      <c r="AA141" s="255"/>
      <c r="AB141" s="255"/>
    </row>
    <row r="142">
      <c r="A142" s="255"/>
      <c r="B142" s="255"/>
      <c r="C142" s="261"/>
      <c r="D142" s="262"/>
      <c r="E142" s="364"/>
      <c r="F142" s="364"/>
      <c r="G142" s="355"/>
      <c r="H142" s="255"/>
      <c r="I142" s="255"/>
      <c r="J142" s="255"/>
      <c r="K142" s="255"/>
      <c r="L142" s="255"/>
      <c r="M142" s="255"/>
      <c r="N142" s="255"/>
      <c r="O142" s="255"/>
      <c r="P142" s="255"/>
      <c r="Q142" s="255"/>
      <c r="R142" s="255"/>
      <c r="S142" s="255"/>
      <c r="T142" s="255"/>
      <c r="U142" s="255"/>
      <c r="V142" s="255"/>
      <c r="W142" s="255"/>
      <c r="X142" s="255"/>
      <c r="Y142" s="255"/>
      <c r="Z142" s="255"/>
      <c r="AA142" s="255"/>
      <c r="AB142" s="255"/>
    </row>
    <row r="143">
      <c r="A143" s="255"/>
      <c r="B143" s="255"/>
      <c r="C143" s="261"/>
      <c r="D143" s="262"/>
      <c r="E143" s="364"/>
      <c r="F143" s="364"/>
      <c r="G143" s="355"/>
      <c r="H143" s="255"/>
      <c r="I143" s="255"/>
      <c r="J143" s="255"/>
      <c r="K143" s="255"/>
      <c r="L143" s="255"/>
      <c r="M143" s="255"/>
      <c r="N143" s="255"/>
      <c r="O143" s="255"/>
      <c r="P143" s="255"/>
      <c r="Q143" s="255"/>
      <c r="R143" s="255"/>
      <c r="S143" s="255"/>
      <c r="T143" s="255"/>
      <c r="U143" s="255"/>
      <c r="V143" s="255"/>
      <c r="W143" s="255"/>
      <c r="X143" s="255"/>
      <c r="Y143" s="255"/>
      <c r="Z143" s="255"/>
      <c r="AA143" s="255"/>
      <c r="AB143" s="255"/>
    </row>
    <row r="144">
      <c r="A144" s="255"/>
      <c r="B144" s="255"/>
      <c r="C144" s="261"/>
      <c r="D144" s="262"/>
      <c r="E144" s="364"/>
      <c r="F144" s="364"/>
      <c r="G144" s="355"/>
      <c r="H144" s="255"/>
      <c r="I144" s="255"/>
      <c r="J144" s="255"/>
      <c r="K144" s="255"/>
      <c r="L144" s="255"/>
      <c r="M144" s="255"/>
      <c r="N144" s="255"/>
      <c r="O144" s="255"/>
      <c r="P144" s="255"/>
      <c r="Q144" s="255"/>
      <c r="R144" s="255"/>
      <c r="S144" s="255"/>
      <c r="T144" s="255"/>
      <c r="U144" s="255"/>
      <c r="V144" s="255"/>
      <c r="W144" s="255"/>
      <c r="X144" s="255"/>
      <c r="Y144" s="255"/>
      <c r="Z144" s="255"/>
      <c r="AA144" s="255"/>
      <c r="AB144" s="255"/>
    </row>
    <row r="145">
      <c r="A145" s="255"/>
      <c r="B145" s="255"/>
      <c r="C145" s="261"/>
      <c r="D145" s="262"/>
      <c r="E145" s="364"/>
      <c r="F145" s="364"/>
      <c r="G145" s="355"/>
      <c r="H145" s="255"/>
      <c r="I145" s="255"/>
      <c r="J145" s="255"/>
      <c r="K145" s="255"/>
      <c r="L145" s="255"/>
      <c r="M145" s="255"/>
      <c r="N145" s="255"/>
      <c r="O145" s="255"/>
      <c r="P145" s="255"/>
      <c r="Q145" s="255"/>
      <c r="R145" s="255"/>
      <c r="S145" s="255"/>
      <c r="T145" s="255"/>
      <c r="U145" s="255"/>
      <c r="V145" s="255"/>
      <c r="W145" s="255"/>
      <c r="X145" s="255"/>
      <c r="Y145" s="255"/>
      <c r="Z145" s="255"/>
      <c r="AA145" s="255"/>
      <c r="AB145" s="255"/>
    </row>
    <row r="146">
      <c r="A146" s="255"/>
      <c r="B146" s="255"/>
      <c r="C146" s="261"/>
      <c r="D146" s="262"/>
      <c r="E146" s="364"/>
      <c r="F146" s="364"/>
      <c r="G146" s="355"/>
      <c r="H146" s="255"/>
      <c r="I146" s="255"/>
      <c r="J146" s="255"/>
      <c r="K146" s="255"/>
      <c r="L146" s="255"/>
      <c r="M146" s="255"/>
      <c r="N146" s="255"/>
      <c r="O146" s="255"/>
      <c r="P146" s="255"/>
      <c r="Q146" s="255"/>
      <c r="R146" s="255"/>
      <c r="S146" s="255"/>
      <c r="T146" s="255"/>
      <c r="U146" s="255"/>
      <c r="V146" s="255"/>
      <c r="W146" s="255"/>
      <c r="X146" s="255"/>
      <c r="Y146" s="255"/>
      <c r="Z146" s="255"/>
      <c r="AA146" s="255"/>
      <c r="AB146" s="255"/>
    </row>
    <row r="147">
      <c r="A147" s="255"/>
      <c r="B147" s="255"/>
      <c r="C147" s="261"/>
      <c r="D147" s="262"/>
      <c r="E147" s="364"/>
      <c r="F147" s="364"/>
      <c r="G147" s="355"/>
      <c r="H147" s="255"/>
      <c r="I147" s="255"/>
      <c r="J147" s="255"/>
      <c r="K147" s="255"/>
      <c r="L147" s="255"/>
      <c r="M147" s="255"/>
      <c r="N147" s="255"/>
      <c r="O147" s="255"/>
      <c r="P147" s="255"/>
      <c r="Q147" s="255"/>
      <c r="R147" s="255"/>
      <c r="S147" s="255"/>
      <c r="T147" s="255"/>
      <c r="U147" s="255"/>
      <c r="V147" s="255"/>
      <c r="W147" s="255"/>
      <c r="X147" s="255"/>
      <c r="Y147" s="255"/>
      <c r="Z147" s="255"/>
      <c r="AA147" s="255"/>
      <c r="AB147" s="255"/>
    </row>
    <row r="148">
      <c r="A148" s="255"/>
      <c r="B148" s="255"/>
      <c r="C148" s="261"/>
      <c r="D148" s="262"/>
      <c r="E148" s="364"/>
      <c r="F148" s="364"/>
      <c r="G148" s="355"/>
      <c r="H148" s="255"/>
      <c r="I148" s="255"/>
      <c r="J148" s="255"/>
      <c r="K148" s="255"/>
      <c r="L148" s="255"/>
      <c r="M148" s="255"/>
      <c r="N148" s="255"/>
      <c r="O148" s="255"/>
      <c r="P148" s="255"/>
      <c r="Q148" s="255"/>
      <c r="R148" s="255"/>
      <c r="S148" s="255"/>
      <c r="T148" s="255"/>
      <c r="U148" s="255"/>
      <c r="V148" s="255"/>
      <c r="W148" s="255"/>
      <c r="X148" s="255"/>
      <c r="Y148" s="255"/>
      <c r="Z148" s="255"/>
      <c r="AA148" s="255"/>
      <c r="AB148" s="255"/>
    </row>
    <row r="149">
      <c r="A149" s="255"/>
      <c r="B149" s="255"/>
      <c r="C149" s="261"/>
      <c r="D149" s="262"/>
      <c r="E149" s="364"/>
      <c r="F149" s="364"/>
      <c r="G149" s="355"/>
      <c r="H149" s="255"/>
      <c r="I149" s="255"/>
      <c r="J149" s="255"/>
      <c r="K149" s="255"/>
      <c r="L149" s="255"/>
      <c r="M149" s="255"/>
      <c r="N149" s="255"/>
      <c r="O149" s="255"/>
      <c r="P149" s="255"/>
      <c r="Q149" s="255"/>
      <c r="R149" s="255"/>
      <c r="S149" s="255"/>
      <c r="T149" s="255"/>
      <c r="U149" s="255"/>
      <c r="V149" s="255"/>
      <c r="W149" s="255"/>
      <c r="X149" s="255"/>
      <c r="Y149" s="255"/>
      <c r="Z149" s="255"/>
      <c r="AA149" s="255"/>
      <c r="AB149" s="255"/>
    </row>
    <row r="150">
      <c r="A150" s="255"/>
      <c r="B150" s="255"/>
      <c r="C150" s="261"/>
      <c r="D150" s="262"/>
      <c r="E150" s="364"/>
      <c r="F150" s="364"/>
      <c r="G150" s="355"/>
      <c r="H150" s="255"/>
      <c r="I150" s="255"/>
      <c r="J150" s="255"/>
      <c r="K150" s="255"/>
      <c r="L150" s="255"/>
      <c r="M150" s="255"/>
      <c r="N150" s="255"/>
      <c r="O150" s="255"/>
      <c r="P150" s="255"/>
      <c r="Q150" s="255"/>
      <c r="R150" s="255"/>
      <c r="S150" s="255"/>
      <c r="T150" s="255"/>
      <c r="U150" s="255"/>
      <c r="V150" s="255"/>
      <c r="W150" s="255"/>
      <c r="X150" s="255"/>
      <c r="Y150" s="255"/>
      <c r="Z150" s="255"/>
      <c r="AA150" s="255"/>
      <c r="AB150" s="255"/>
    </row>
    <row r="151">
      <c r="A151" s="255"/>
      <c r="B151" s="255"/>
      <c r="C151" s="261"/>
      <c r="D151" s="262"/>
      <c r="E151" s="364"/>
      <c r="F151" s="364"/>
      <c r="G151" s="355"/>
      <c r="H151" s="255"/>
      <c r="I151" s="255"/>
      <c r="J151" s="255"/>
      <c r="K151" s="255"/>
      <c r="L151" s="255"/>
      <c r="M151" s="255"/>
      <c r="N151" s="255"/>
      <c r="O151" s="255"/>
      <c r="P151" s="255"/>
      <c r="Q151" s="255"/>
      <c r="R151" s="255"/>
      <c r="S151" s="255"/>
      <c r="T151" s="255"/>
      <c r="U151" s="255"/>
      <c r="V151" s="255"/>
      <c r="W151" s="255"/>
      <c r="X151" s="255"/>
      <c r="Y151" s="255"/>
      <c r="Z151" s="255"/>
      <c r="AA151" s="255"/>
      <c r="AB151" s="255"/>
    </row>
    <row r="152">
      <c r="A152" s="255"/>
      <c r="B152" s="255"/>
      <c r="C152" s="261"/>
      <c r="D152" s="262"/>
      <c r="E152" s="364"/>
      <c r="F152" s="364"/>
      <c r="G152" s="355"/>
      <c r="H152" s="255"/>
      <c r="I152" s="255"/>
      <c r="J152" s="255"/>
      <c r="K152" s="255"/>
      <c r="L152" s="255"/>
      <c r="M152" s="255"/>
      <c r="N152" s="255"/>
      <c r="O152" s="255"/>
      <c r="P152" s="255"/>
      <c r="Q152" s="255"/>
      <c r="R152" s="255"/>
      <c r="S152" s="255"/>
      <c r="T152" s="255"/>
      <c r="U152" s="255"/>
      <c r="V152" s="255"/>
      <c r="W152" s="255"/>
      <c r="X152" s="255"/>
      <c r="Y152" s="255"/>
      <c r="Z152" s="255"/>
      <c r="AA152" s="255"/>
      <c r="AB152" s="255"/>
    </row>
    <row r="153">
      <c r="A153" s="255"/>
      <c r="B153" s="255"/>
      <c r="C153" s="261"/>
      <c r="D153" s="262"/>
      <c r="E153" s="364"/>
      <c r="F153" s="364"/>
      <c r="G153" s="355"/>
      <c r="H153" s="255"/>
      <c r="I153" s="255"/>
      <c r="J153" s="255"/>
      <c r="K153" s="255"/>
      <c r="L153" s="255"/>
      <c r="M153" s="255"/>
      <c r="N153" s="255"/>
      <c r="O153" s="255"/>
      <c r="P153" s="255"/>
      <c r="Q153" s="255"/>
      <c r="R153" s="255"/>
      <c r="S153" s="255"/>
      <c r="T153" s="255"/>
      <c r="U153" s="255"/>
      <c r="V153" s="255"/>
      <c r="W153" s="255"/>
      <c r="X153" s="255"/>
      <c r="Y153" s="255"/>
      <c r="Z153" s="255"/>
      <c r="AA153" s="255"/>
      <c r="AB153" s="255"/>
    </row>
    <row r="154">
      <c r="A154" s="255"/>
      <c r="B154" s="255"/>
      <c r="C154" s="261"/>
      <c r="D154" s="262"/>
      <c r="E154" s="364"/>
      <c r="F154" s="364"/>
      <c r="G154" s="355"/>
      <c r="H154" s="255"/>
      <c r="I154" s="255"/>
      <c r="J154" s="255"/>
      <c r="K154" s="255"/>
      <c r="L154" s="255"/>
      <c r="M154" s="255"/>
      <c r="N154" s="255"/>
      <c r="O154" s="255"/>
      <c r="P154" s="255"/>
      <c r="Q154" s="255"/>
      <c r="R154" s="255"/>
      <c r="S154" s="255"/>
      <c r="T154" s="255"/>
      <c r="U154" s="255"/>
      <c r="V154" s="255"/>
      <c r="W154" s="255"/>
      <c r="X154" s="255"/>
      <c r="Y154" s="255"/>
      <c r="Z154" s="255"/>
      <c r="AA154" s="255"/>
      <c r="AB154" s="255"/>
    </row>
    <row r="155">
      <c r="A155" s="255"/>
      <c r="B155" s="255"/>
      <c r="C155" s="261"/>
      <c r="D155" s="262"/>
      <c r="E155" s="364"/>
      <c r="F155" s="364"/>
      <c r="G155" s="355"/>
      <c r="H155" s="255"/>
      <c r="I155" s="255"/>
      <c r="J155" s="255"/>
      <c r="K155" s="255"/>
      <c r="L155" s="255"/>
      <c r="M155" s="255"/>
      <c r="N155" s="255"/>
      <c r="O155" s="255"/>
      <c r="P155" s="255"/>
      <c r="Q155" s="255"/>
      <c r="R155" s="255"/>
      <c r="S155" s="255"/>
      <c r="T155" s="255"/>
      <c r="U155" s="255"/>
      <c r="V155" s="255"/>
      <c r="W155" s="255"/>
      <c r="X155" s="255"/>
      <c r="Y155" s="255"/>
      <c r="Z155" s="255"/>
      <c r="AA155" s="255"/>
      <c r="AB155" s="255"/>
    </row>
    <row r="156">
      <c r="A156" s="255"/>
      <c r="B156" s="255"/>
      <c r="C156" s="261"/>
      <c r="D156" s="262"/>
      <c r="E156" s="364"/>
      <c r="F156" s="364"/>
      <c r="G156" s="355"/>
      <c r="H156" s="255"/>
      <c r="I156" s="255"/>
      <c r="J156" s="255"/>
      <c r="K156" s="255"/>
      <c r="L156" s="255"/>
      <c r="M156" s="255"/>
      <c r="N156" s="255"/>
      <c r="O156" s="255"/>
      <c r="P156" s="255"/>
      <c r="Q156" s="255"/>
      <c r="R156" s="255"/>
      <c r="S156" s="255"/>
      <c r="T156" s="255"/>
      <c r="U156" s="255"/>
      <c r="V156" s="255"/>
      <c r="W156" s="255"/>
      <c r="X156" s="255"/>
      <c r="Y156" s="255"/>
      <c r="Z156" s="255"/>
      <c r="AA156" s="255"/>
      <c r="AB156" s="255"/>
    </row>
    <row r="157">
      <c r="A157" s="255"/>
      <c r="B157" s="255"/>
      <c r="C157" s="261"/>
      <c r="D157" s="262"/>
      <c r="E157" s="364"/>
      <c r="F157" s="364"/>
      <c r="G157" s="355"/>
      <c r="H157" s="255"/>
      <c r="I157" s="255"/>
      <c r="J157" s="255"/>
      <c r="K157" s="255"/>
      <c r="L157" s="255"/>
      <c r="M157" s="255"/>
      <c r="N157" s="255"/>
      <c r="O157" s="255"/>
      <c r="P157" s="255"/>
      <c r="Q157" s="255"/>
      <c r="R157" s="255"/>
      <c r="S157" s="255"/>
      <c r="T157" s="255"/>
      <c r="U157" s="255"/>
      <c r="V157" s="255"/>
      <c r="W157" s="255"/>
      <c r="X157" s="255"/>
      <c r="Y157" s="255"/>
      <c r="Z157" s="255"/>
      <c r="AA157" s="255"/>
      <c r="AB157" s="255"/>
    </row>
    <row r="158">
      <c r="A158" s="255"/>
      <c r="B158" s="255"/>
      <c r="C158" s="261"/>
      <c r="D158" s="262"/>
      <c r="E158" s="364"/>
      <c r="F158" s="364"/>
      <c r="G158" s="355"/>
      <c r="H158" s="255"/>
      <c r="I158" s="255"/>
      <c r="J158" s="255"/>
      <c r="K158" s="255"/>
      <c r="L158" s="255"/>
      <c r="M158" s="255"/>
      <c r="N158" s="255"/>
      <c r="O158" s="255"/>
      <c r="P158" s="255"/>
      <c r="Q158" s="255"/>
      <c r="R158" s="255"/>
      <c r="S158" s="255"/>
      <c r="T158" s="255"/>
      <c r="U158" s="255"/>
      <c r="V158" s="255"/>
      <c r="W158" s="255"/>
      <c r="X158" s="255"/>
      <c r="Y158" s="255"/>
      <c r="Z158" s="255"/>
      <c r="AA158" s="255"/>
      <c r="AB158" s="255"/>
    </row>
    <row r="159">
      <c r="A159" s="255"/>
      <c r="B159" s="255"/>
      <c r="C159" s="261"/>
      <c r="D159" s="262"/>
      <c r="E159" s="364"/>
      <c r="F159" s="364"/>
      <c r="G159" s="355"/>
      <c r="H159" s="255"/>
      <c r="I159" s="255"/>
      <c r="J159" s="255"/>
      <c r="K159" s="255"/>
      <c r="L159" s="255"/>
      <c r="M159" s="255"/>
      <c r="N159" s="255"/>
      <c r="O159" s="255"/>
      <c r="P159" s="255"/>
      <c r="Q159" s="255"/>
      <c r="R159" s="255"/>
      <c r="S159" s="255"/>
      <c r="T159" s="255"/>
      <c r="U159" s="255"/>
      <c r="V159" s="255"/>
      <c r="W159" s="255"/>
      <c r="X159" s="255"/>
      <c r="Y159" s="255"/>
      <c r="Z159" s="255"/>
      <c r="AA159" s="255"/>
      <c r="AB159" s="255"/>
    </row>
    <row r="160">
      <c r="A160" s="255"/>
      <c r="B160" s="255"/>
      <c r="C160" s="261"/>
      <c r="D160" s="262"/>
      <c r="E160" s="364"/>
      <c r="F160" s="364"/>
      <c r="G160" s="355"/>
      <c r="H160" s="255"/>
      <c r="I160" s="255"/>
      <c r="J160" s="255"/>
      <c r="K160" s="255"/>
      <c r="L160" s="255"/>
      <c r="M160" s="255"/>
      <c r="N160" s="255"/>
      <c r="O160" s="255"/>
      <c r="P160" s="255"/>
      <c r="Q160" s="255"/>
      <c r="R160" s="255"/>
      <c r="S160" s="255"/>
      <c r="T160" s="255"/>
      <c r="U160" s="255"/>
      <c r="V160" s="255"/>
      <c r="W160" s="255"/>
      <c r="X160" s="255"/>
      <c r="Y160" s="255"/>
      <c r="Z160" s="255"/>
      <c r="AA160" s="255"/>
      <c r="AB160" s="255"/>
    </row>
    <row r="161">
      <c r="A161" s="255"/>
      <c r="B161" s="255"/>
      <c r="C161" s="261"/>
      <c r="D161" s="262"/>
      <c r="E161" s="364"/>
      <c r="F161" s="364"/>
      <c r="G161" s="355"/>
      <c r="H161" s="255"/>
      <c r="I161" s="255"/>
      <c r="J161" s="255"/>
      <c r="K161" s="255"/>
      <c r="L161" s="255"/>
      <c r="M161" s="255"/>
      <c r="N161" s="255"/>
      <c r="O161" s="255"/>
      <c r="P161" s="255"/>
      <c r="Q161" s="255"/>
      <c r="R161" s="255"/>
      <c r="S161" s="255"/>
      <c r="T161" s="255"/>
      <c r="U161" s="255"/>
      <c r="V161" s="255"/>
      <c r="W161" s="255"/>
      <c r="X161" s="255"/>
      <c r="Y161" s="255"/>
      <c r="Z161" s="255"/>
      <c r="AA161" s="255"/>
      <c r="AB161" s="255"/>
    </row>
    <row r="162">
      <c r="A162" s="255"/>
      <c r="B162" s="255"/>
      <c r="C162" s="261"/>
      <c r="D162" s="262"/>
      <c r="E162" s="364"/>
      <c r="F162" s="364"/>
      <c r="G162" s="355"/>
      <c r="H162" s="255"/>
      <c r="I162" s="255"/>
      <c r="J162" s="255"/>
      <c r="K162" s="255"/>
      <c r="L162" s="255"/>
      <c r="M162" s="255"/>
      <c r="N162" s="255"/>
      <c r="O162" s="255"/>
      <c r="P162" s="255"/>
      <c r="Q162" s="255"/>
      <c r="R162" s="255"/>
      <c r="S162" s="255"/>
      <c r="T162" s="255"/>
      <c r="U162" s="255"/>
      <c r="V162" s="255"/>
      <c r="W162" s="255"/>
      <c r="X162" s="255"/>
      <c r="Y162" s="255"/>
      <c r="Z162" s="255"/>
      <c r="AA162" s="255"/>
      <c r="AB162" s="255"/>
    </row>
    <row r="163">
      <c r="A163" s="255"/>
      <c r="B163" s="255"/>
      <c r="C163" s="261"/>
      <c r="D163" s="262"/>
      <c r="E163" s="364"/>
      <c r="F163" s="364"/>
      <c r="G163" s="355"/>
      <c r="H163" s="255"/>
      <c r="I163" s="255"/>
      <c r="J163" s="255"/>
      <c r="K163" s="255"/>
      <c r="L163" s="255"/>
      <c r="M163" s="255"/>
      <c r="N163" s="255"/>
      <c r="O163" s="255"/>
      <c r="P163" s="255"/>
      <c r="Q163" s="255"/>
      <c r="R163" s="255"/>
      <c r="S163" s="255"/>
      <c r="T163" s="255"/>
      <c r="U163" s="255"/>
      <c r="V163" s="255"/>
      <c r="W163" s="255"/>
      <c r="X163" s="255"/>
      <c r="Y163" s="255"/>
      <c r="Z163" s="255"/>
      <c r="AA163" s="255"/>
      <c r="AB163" s="255"/>
    </row>
    <row r="164">
      <c r="A164" s="255"/>
      <c r="B164" s="255"/>
      <c r="C164" s="261"/>
      <c r="D164" s="262"/>
      <c r="E164" s="364"/>
      <c r="F164" s="364"/>
      <c r="G164" s="355"/>
      <c r="H164" s="255"/>
      <c r="I164" s="255"/>
      <c r="J164" s="255"/>
      <c r="K164" s="255"/>
      <c r="L164" s="255"/>
      <c r="M164" s="255"/>
      <c r="N164" s="255"/>
      <c r="O164" s="255"/>
      <c r="P164" s="255"/>
      <c r="Q164" s="255"/>
      <c r="R164" s="255"/>
      <c r="S164" s="255"/>
      <c r="T164" s="255"/>
      <c r="U164" s="255"/>
      <c r="V164" s="255"/>
      <c r="W164" s="255"/>
      <c r="X164" s="255"/>
      <c r="Y164" s="255"/>
      <c r="Z164" s="255"/>
      <c r="AA164" s="255"/>
      <c r="AB164" s="255"/>
    </row>
    <row r="165">
      <c r="A165" s="255"/>
      <c r="B165" s="255"/>
      <c r="C165" s="261"/>
      <c r="D165" s="262"/>
      <c r="E165" s="364"/>
      <c r="F165" s="364"/>
      <c r="G165" s="355"/>
      <c r="H165" s="255"/>
      <c r="I165" s="255"/>
      <c r="J165" s="255"/>
      <c r="K165" s="255"/>
      <c r="L165" s="255"/>
      <c r="M165" s="255"/>
      <c r="N165" s="255"/>
      <c r="O165" s="255"/>
      <c r="P165" s="255"/>
      <c r="Q165" s="255"/>
      <c r="R165" s="255"/>
      <c r="S165" s="255"/>
      <c r="T165" s="255"/>
      <c r="U165" s="255"/>
      <c r="V165" s="255"/>
      <c r="W165" s="255"/>
      <c r="X165" s="255"/>
      <c r="Y165" s="255"/>
      <c r="Z165" s="255"/>
      <c r="AA165" s="255"/>
      <c r="AB165" s="255"/>
    </row>
    <row r="166">
      <c r="A166" s="255"/>
      <c r="B166" s="255"/>
      <c r="C166" s="261"/>
      <c r="D166" s="262"/>
      <c r="E166" s="364"/>
      <c r="F166" s="364"/>
      <c r="G166" s="355"/>
      <c r="H166" s="255"/>
      <c r="I166" s="255"/>
      <c r="J166" s="255"/>
      <c r="K166" s="255"/>
      <c r="L166" s="255"/>
      <c r="M166" s="255"/>
      <c r="N166" s="255"/>
      <c r="O166" s="255"/>
      <c r="P166" s="255"/>
      <c r="Q166" s="255"/>
      <c r="R166" s="255"/>
      <c r="S166" s="255"/>
      <c r="T166" s="255"/>
      <c r="U166" s="255"/>
      <c r="V166" s="255"/>
      <c r="W166" s="255"/>
      <c r="X166" s="255"/>
      <c r="Y166" s="255"/>
      <c r="Z166" s="255"/>
      <c r="AA166" s="255"/>
      <c r="AB166" s="255"/>
    </row>
    <row r="167">
      <c r="A167" s="255"/>
      <c r="B167" s="255"/>
      <c r="C167" s="261"/>
      <c r="D167" s="262"/>
      <c r="E167" s="364"/>
      <c r="F167" s="364"/>
      <c r="G167" s="355"/>
      <c r="H167" s="255"/>
      <c r="I167" s="255"/>
      <c r="J167" s="255"/>
      <c r="K167" s="255"/>
      <c r="L167" s="255"/>
      <c r="M167" s="255"/>
      <c r="N167" s="255"/>
      <c r="O167" s="255"/>
      <c r="P167" s="255"/>
      <c r="Q167" s="255"/>
      <c r="R167" s="255"/>
      <c r="S167" s="255"/>
      <c r="T167" s="255"/>
      <c r="U167" s="255"/>
      <c r="V167" s="255"/>
      <c r="W167" s="255"/>
      <c r="X167" s="255"/>
      <c r="Y167" s="255"/>
      <c r="Z167" s="255"/>
      <c r="AA167" s="255"/>
      <c r="AB167" s="255"/>
    </row>
    <row r="168">
      <c r="A168" s="255"/>
      <c r="B168" s="255"/>
      <c r="C168" s="261"/>
      <c r="D168" s="262"/>
      <c r="E168" s="364"/>
      <c r="F168" s="364"/>
      <c r="G168" s="355"/>
      <c r="H168" s="255"/>
      <c r="I168" s="255"/>
      <c r="J168" s="255"/>
      <c r="K168" s="255"/>
      <c r="L168" s="255"/>
      <c r="M168" s="255"/>
      <c r="N168" s="255"/>
      <c r="O168" s="255"/>
      <c r="P168" s="255"/>
      <c r="Q168" s="255"/>
      <c r="R168" s="255"/>
      <c r="S168" s="255"/>
      <c r="T168" s="255"/>
      <c r="U168" s="255"/>
      <c r="V168" s="255"/>
      <c r="W168" s="255"/>
      <c r="X168" s="255"/>
      <c r="Y168" s="255"/>
      <c r="Z168" s="255"/>
      <c r="AA168" s="255"/>
      <c r="AB168" s="255"/>
    </row>
    <row r="169">
      <c r="A169" s="255"/>
      <c r="B169" s="255"/>
      <c r="C169" s="261"/>
      <c r="D169" s="262"/>
      <c r="E169" s="364"/>
      <c r="F169" s="364"/>
      <c r="G169" s="355"/>
      <c r="H169" s="255"/>
      <c r="I169" s="255"/>
      <c r="J169" s="255"/>
      <c r="K169" s="255"/>
      <c r="L169" s="255"/>
      <c r="M169" s="255"/>
      <c r="N169" s="255"/>
      <c r="O169" s="255"/>
      <c r="P169" s="255"/>
      <c r="Q169" s="255"/>
      <c r="R169" s="255"/>
      <c r="S169" s="255"/>
      <c r="T169" s="255"/>
      <c r="U169" s="255"/>
      <c r="V169" s="255"/>
      <c r="W169" s="255"/>
      <c r="X169" s="255"/>
      <c r="Y169" s="255"/>
      <c r="Z169" s="255"/>
      <c r="AA169" s="255"/>
      <c r="AB169" s="255"/>
    </row>
    <row r="170">
      <c r="A170" s="255"/>
      <c r="B170" s="255"/>
      <c r="C170" s="261"/>
      <c r="D170" s="262"/>
      <c r="E170" s="364"/>
      <c r="F170" s="364"/>
      <c r="G170" s="355"/>
      <c r="H170" s="255"/>
      <c r="I170" s="255"/>
      <c r="J170" s="255"/>
      <c r="K170" s="255"/>
      <c r="L170" s="255"/>
      <c r="M170" s="255"/>
      <c r="N170" s="255"/>
      <c r="O170" s="255"/>
      <c r="P170" s="255"/>
      <c r="Q170" s="255"/>
      <c r="R170" s="255"/>
      <c r="S170" s="255"/>
      <c r="T170" s="255"/>
      <c r="U170" s="255"/>
      <c r="V170" s="255"/>
      <c r="W170" s="255"/>
      <c r="X170" s="255"/>
      <c r="Y170" s="255"/>
      <c r="Z170" s="255"/>
      <c r="AA170" s="255"/>
      <c r="AB170" s="255"/>
    </row>
    <row r="171">
      <c r="A171" s="255"/>
      <c r="B171" s="255"/>
      <c r="C171" s="261"/>
      <c r="D171" s="262"/>
      <c r="E171" s="364"/>
      <c r="F171" s="364"/>
      <c r="G171" s="355"/>
      <c r="H171" s="255"/>
      <c r="I171" s="255"/>
      <c r="J171" s="255"/>
      <c r="K171" s="255"/>
      <c r="L171" s="255"/>
      <c r="M171" s="255"/>
      <c r="N171" s="255"/>
      <c r="O171" s="255"/>
      <c r="P171" s="255"/>
      <c r="Q171" s="255"/>
      <c r="R171" s="255"/>
      <c r="S171" s="255"/>
      <c r="T171" s="255"/>
      <c r="U171" s="255"/>
      <c r="V171" s="255"/>
      <c r="W171" s="255"/>
      <c r="X171" s="255"/>
      <c r="Y171" s="255"/>
      <c r="Z171" s="255"/>
      <c r="AA171" s="255"/>
      <c r="AB171" s="255"/>
    </row>
    <row r="172">
      <c r="A172" s="255"/>
      <c r="B172" s="255"/>
      <c r="C172" s="261"/>
      <c r="D172" s="262"/>
      <c r="E172" s="364"/>
      <c r="F172" s="364"/>
      <c r="G172" s="355"/>
      <c r="H172" s="255"/>
      <c r="I172" s="255"/>
      <c r="J172" s="255"/>
      <c r="K172" s="255"/>
      <c r="L172" s="255"/>
      <c r="M172" s="255"/>
      <c r="N172" s="255"/>
      <c r="O172" s="255"/>
      <c r="P172" s="255"/>
      <c r="Q172" s="255"/>
      <c r="R172" s="255"/>
      <c r="S172" s="255"/>
      <c r="T172" s="255"/>
      <c r="U172" s="255"/>
      <c r="V172" s="255"/>
      <c r="W172" s="255"/>
      <c r="X172" s="255"/>
      <c r="Y172" s="255"/>
      <c r="Z172" s="255"/>
      <c r="AA172" s="255"/>
      <c r="AB172" s="255"/>
    </row>
    <row r="173">
      <c r="A173" s="255"/>
      <c r="B173" s="255"/>
      <c r="C173" s="261"/>
      <c r="D173" s="262"/>
      <c r="E173" s="364"/>
      <c r="F173" s="364"/>
      <c r="G173" s="355"/>
      <c r="H173" s="255"/>
      <c r="I173" s="255"/>
      <c r="J173" s="255"/>
      <c r="K173" s="255"/>
      <c r="L173" s="255"/>
      <c r="M173" s="255"/>
      <c r="N173" s="255"/>
      <c r="O173" s="255"/>
      <c r="P173" s="255"/>
      <c r="Q173" s="255"/>
      <c r="R173" s="255"/>
      <c r="S173" s="255"/>
      <c r="T173" s="255"/>
      <c r="U173" s="255"/>
      <c r="V173" s="255"/>
      <c r="W173" s="255"/>
      <c r="X173" s="255"/>
      <c r="Y173" s="255"/>
      <c r="Z173" s="255"/>
      <c r="AA173" s="255"/>
      <c r="AB173" s="255"/>
    </row>
    <row r="174">
      <c r="A174" s="255"/>
      <c r="B174" s="255"/>
      <c r="C174" s="261"/>
      <c r="D174" s="262"/>
      <c r="E174" s="364"/>
      <c r="F174" s="364"/>
      <c r="G174" s="355"/>
      <c r="H174" s="255"/>
      <c r="I174" s="255"/>
      <c r="J174" s="255"/>
      <c r="K174" s="255"/>
      <c r="L174" s="255"/>
      <c r="M174" s="255"/>
      <c r="N174" s="255"/>
      <c r="O174" s="255"/>
      <c r="P174" s="255"/>
      <c r="Q174" s="255"/>
      <c r="R174" s="255"/>
      <c r="S174" s="255"/>
      <c r="T174" s="255"/>
      <c r="U174" s="255"/>
      <c r="V174" s="255"/>
      <c r="W174" s="255"/>
      <c r="X174" s="255"/>
      <c r="Y174" s="255"/>
      <c r="Z174" s="255"/>
      <c r="AA174" s="255"/>
      <c r="AB174" s="255"/>
    </row>
    <row r="175">
      <c r="A175" s="255"/>
      <c r="B175" s="255"/>
      <c r="C175" s="261"/>
      <c r="D175" s="262"/>
      <c r="E175" s="364"/>
      <c r="F175" s="364"/>
      <c r="G175" s="355"/>
      <c r="H175" s="255"/>
      <c r="I175" s="255"/>
      <c r="J175" s="255"/>
      <c r="K175" s="255"/>
      <c r="L175" s="255"/>
      <c r="M175" s="255"/>
      <c r="N175" s="255"/>
      <c r="O175" s="255"/>
      <c r="P175" s="255"/>
      <c r="Q175" s="255"/>
      <c r="R175" s="255"/>
      <c r="S175" s="255"/>
      <c r="T175" s="255"/>
      <c r="U175" s="255"/>
      <c r="V175" s="255"/>
      <c r="W175" s="255"/>
      <c r="X175" s="255"/>
      <c r="Y175" s="255"/>
      <c r="Z175" s="255"/>
      <c r="AA175" s="255"/>
      <c r="AB175" s="255"/>
    </row>
    <row r="176">
      <c r="A176" s="255"/>
      <c r="B176" s="255"/>
      <c r="C176" s="261"/>
      <c r="D176" s="262"/>
      <c r="E176" s="364"/>
      <c r="F176" s="364"/>
      <c r="G176" s="355"/>
      <c r="H176" s="255"/>
      <c r="I176" s="255"/>
      <c r="J176" s="255"/>
      <c r="K176" s="255"/>
      <c r="L176" s="255"/>
      <c r="M176" s="255"/>
      <c r="N176" s="255"/>
      <c r="O176" s="255"/>
      <c r="P176" s="255"/>
      <c r="Q176" s="255"/>
      <c r="R176" s="255"/>
      <c r="S176" s="255"/>
      <c r="T176" s="255"/>
      <c r="U176" s="255"/>
      <c r="V176" s="255"/>
      <c r="W176" s="255"/>
      <c r="X176" s="255"/>
      <c r="Y176" s="255"/>
      <c r="Z176" s="255"/>
      <c r="AA176" s="255"/>
      <c r="AB176" s="255"/>
    </row>
    <row r="177">
      <c r="A177" s="255"/>
      <c r="B177" s="255"/>
      <c r="C177" s="261"/>
      <c r="D177" s="262"/>
      <c r="E177" s="364"/>
      <c r="F177" s="364"/>
      <c r="G177" s="355"/>
      <c r="H177" s="255"/>
      <c r="I177" s="255"/>
      <c r="J177" s="255"/>
      <c r="K177" s="255"/>
      <c r="L177" s="255"/>
      <c r="M177" s="255"/>
      <c r="N177" s="255"/>
      <c r="O177" s="255"/>
      <c r="P177" s="255"/>
      <c r="Q177" s="255"/>
      <c r="R177" s="255"/>
      <c r="S177" s="255"/>
      <c r="T177" s="255"/>
      <c r="U177" s="255"/>
      <c r="V177" s="255"/>
      <c r="W177" s="255"/>
      <c r="X177" s="255"/>
      <c r="Y177" s="255"/>
      <c r="Z177" s="255"/>
      <c r="AA177" s="255"/>
      <c r="AB177" s="255"/>
    </row>
    <row r="178">
      <c r="A178" s="255"/>
      <c r="B178" s="255"/>
      <c r="C178" s="261"/>
      <c r="D178" s="262"/>
      <c r="E178" s="364"/>
      <c r="F178" s="364"/>
      <c r="G178" s="355"/>
      <c r="H178" s="255"/>
      <c r="I178" s="255"/>
      <c r="J178" s="255"/>
      <c r="K178" s="255"/>
      <c r="L178" s="255"/>
      <c r="M178" s="255"/>
      <c r="N178" s="255"/>
      <c r="O178" s="255"/>
      <c r="P178" s="255"/>
      <c r="Q178" s="255"/>
      <c r="R178" s="255"/>
      <c r="S178" s="255"/>
      <c r="T178" s="255"/>
      <c r="U178" s="255"/>
      <c r="V178" s="255"/>
      <c r="W178" s="255"/>
      <c r="X178" s="255"/>
      <c r="Y178" s="255"/>
      <c r="Z178" s="255"/>
      <c r="AA178" s="255"/>
      <c r="AB178" s="255"/>
    </row>
    <row r="179">
      <c r="A179" s="255"/>
      <c r="B179" s="255"/>
      <c r="C179" s="261"/>
      <c r="D179" s="262"/>
      <c r="E179" s="364"/>
      <c r="F179" s="364"/>
      <c r="G179" s="355"/>
      <c r="H179" s="255"/>
      <c r="I179" s="255"/>
      <c r="J179" s="255"/>
      <c r="K179" s="255"/>
      <c r="L179" s="255"/>
      <c r="M179" s="255"/>
      <c r="N179" s="255"/>
      <c r="O179" s="255"/>
      <c r="P179" s="255"/>
      <c r="Q179" s="255"/>
      <c r="R179" s="255"/>
      <c r="S179" s="255"/>
      <c r="T179" s="255"/>
      <c r="U179" s="255"/>
      <c r="V179" s="255"/>
      <c r="W179" s="255"/>
      <c r="X179" s="255"/>
      <c r="Y179" s="255"/>
      <c r="Z179" s="255"/>
      <c r="AA179" s="255"/>
      <c r="AB179" s="255"/>
    </row>
    <row r="180">
      <c r="A180" s="255"/>
      <c r="B180" s="255"/>
      <c r="C180" s="261"/>
      <c r="D180" s="262"/>
      <c r="E180" s="364"/>
      <c r="F180" s="364"/>
      <c r="G180" s="355"/>
      <c r="H180" s="255"/>
      <c r="I180" s="255"/>
      <c r="J180" s="255"/>
      <c r="K180" s="255"/>
      <c r="L180" s="255"/>
      <c r="M180" s="255"/>
      <c r="N180" s="255"/>
      <c r="O180" s="255"/>
      <c r="P180" s="255"/>
      <c r="Q180" s="255"/>
      <c r="R180" s="255"/>
      <c r="S180" s="255"/>
      <c r="T180" s="255"/>
      <c r="U180" s="255"/>
      <c r="V180" s="255"/>
      <c r="W180" s="255"/>
      <c r="X180" s="255"/>
      <c r="Y180" s="255"/>
      <c r="Z180" s="255"/>
      <c r="AA180" s="255"/>
      <c r="AB180" s="255"/>
    </row>
    <row r="181">
      <c r="A181" s="255"/>
      <c r="B181" s="255"/>
      <c r="C181" s="261"/>
      <c r="D181" s="262"/>
      <c r="E181" s="364"/>
      <c r="F181" s="364"/>
      <c r="G181" s="355"/>
      <c r="H181" s="255"/>
      <c r="I181" s="255"/>
      <c r="J181" s="255"/>
      <c r="K181" s="255"/>
      <c r="L181" s="255"/>
      <c r="M181" s="255"/>
      <c r="N181" s="255"/>
      <c r="O181" s="255"/>
      <c r="P181" s="255"/>
      <c r="Q181" s="255"/>
      <c r="R181" s="255"/>
      <c r="S181" s="255"/>
      <c r="T181" s="255"/>
      <c r="U181" s="255"/>
      <c r="V181" s="255"/>
      <c r="W181" s="255"/>
      <c r="X181" s="255"/>
      <c r="Y181" s="255"/>
      <c r="Z181" s="255"/>
      <c r="AA181" s="255"/>
      <c r="AB181" s="255"/>
    </row>
    <row r="182">
      <c r="A182" s="255"/>
      <c r="B182" s="255"/>
      <c r="C182" s="261"/>
      <c r="D182" s="262"/>
      <c r="E182" s="364"/>
      <c r="F182" s="364"/>
      <c r="G182" s="355"/>
      <c r="H182" s="255"/>
      <c r="I182" s="255"/>
      <c r="J182" s="255"/>
      <c r="K182" s="255"/>
      <c r="L182" s="255"/>
      <c r="M182" s="255"/>
      <c r="N182" s="255"/>
      <c r="O182" s="255"/>
      <c r="P182" s="255"/>
      <c r="Q182" s="255"/>
      <c r="R182" s="255"/>
      <c r="S182" s="255"/>
      <c r="T182" s="255"/>
      <c r="U182" s="255"/>
      <c r="V182" s="255"/>
      <c r="W182" s="255"/>
      <c r="X182" s="255"/>
      <c r="Y182" s="255"/>
      <c r="Z182" s="255"/>
      <c r="AA182" s="255"/>
      <c r="AB182" s="255"/>
    </row>
    <row r="183">
      <c r="A183" s="255"/>
      <c r="B183" s="255"/>
      <c r="C183" s="261"/>
      <c r="D183" s="262"/>
      <c r="E183" s="364"/>
      <c r="F183" s="364"/>
      <c r="G183" s="355"/>
      <c r="H183" s="255"/>
      <c r="I183" s="255"/>
      <c r="J183" s="255"/>
      <c r="K183" s="255"/>
      <c r="L183" s="255"/>
      <c r="M183" s="255"/>
      <c r="N183" s="255"/>
      <c r="O183" s="255"/>
      <c r="P183" s="255"/>
      <c r="Q183" s="255"/>
      <c r="R183" s="255"/>
      <c r="S183" s="255"/>
      <c r="T183" s="255"/>
      <c r="U183" s="255"/>
      <c r="V183" s="255"/>
      <c r="W183" s="255"/>
      <c r="X183" s="255"/>
      <c r="Y183" s="255"/>
      <c r="Z183" s="255"/>
      <c r="AA183" s="255"/>
      <c r="AB183" s="255"/>
    </row>
    <row r="184">
      <c r="A184" s="255"/>
      <c r="B184" s="255"/>
      <c r="C184" s="261"/>
      <c r="D184" s="262"/>
      <c r="E184" s="364"/>
      <c r="F184" s="364"/>
      <c r="G184" s="355"/>
      <c r="H184" s="255"/>
      <c r="I184" s="255"/>
      <c r="J184" s="255"/>
      <c r="K184" s="255"/>
      <c r="L184" s="255"/>
      <c r="M184" s="255"/>
      <c r="N184" s="255"/>
      <c r="O184" s="255"/>
      <c r="P184" s="255"/>
      <c r="Q184" s="255"/>
      <c r="R184" s="255"/>
      <c r="S184" s="255"/>
      <c r="T184" s="255"/>
      <c r="U184" s="255"/>
      <c r="V184" s="255"/>
      <c r="W184" s="255"/>
      <c r="X184" s="255"/>
      <c r="Y184" s="255"/>
      <c r="Z184" s="255"/>
      <c r="AA184" s="255"/>
      <c r="AB184" s="255"/>
    </row>
    <row r="185">
      <c r="A185" s="255"/>
      <c r="B185" s="255"/>
      <c r="C185" s="261"/>
      <c r="D185" s="262"/>
      <c r="E185" s="364"/>
      <c r="F185" s="364"/>
      <c r="G185" s="355"/>
      <c r="H185" s="255"/>
      <c r="I185" s="255"/>
      <c r="J185" s="255"/>
      <c r="K185" s="255"/>
      <c r="L185" s="255"/>
      <c r="M185" s="255"/>
      <c r="N185" s="255"/>
      <c r="O185" s="255"/>
      <c r="P185" s="255"/>
      <c r="Q185" s="255"/>
      <c r="R185" s="255"/>
      <c r="S185" s="255"/>
      <c r="T185" s="255"/>
      <c r="U185" s="255"/>
      <c r="V185" s="255"/>
      <c r="W185" s="255"/>
      <c r="X185" s="255"/>
      <c r="Y185" s="255"/>
      <c r="Z185" s="255"/>
      <c r="AA185" s="255"/>
      <c r="AB185" s="255"/>
    </row>
    <row r="186">
      <c r="A186" s="255"/>
      <c r="B186" s="255"/>
      <c r="C186" s="261"/>
      <c r="D186" s="262"/>
      <c r="E186" s="364"/>
      <c r="F186" s="364"/>
      <c r="G186" s="355"/>
      <c r="H186" s="255"/>
      <c r="I186" s="255"/>
      <c r="J186" s="255"/>
      <c r="K186" s="255"/>
      <c r="L186" s="255"/>
      <c r="M186" s="255"/>
      <c r="N186" s="255"/>
      <c r="O186" s="255"/>
      <c r="P186" s="255"/>
      <c r="Q186" s="255"/>
      <c r="R186" s="255"/>
      <c r="S186" s="255"/>
      <c r="T186" s="255"/>
      <c r="U186" s="255"/>
      <c r="V186" s="255"/>
      <c r="W186" s="255"/>
      <c r="X186" s="255"/>
      <c r="Y186" s="255"/>
      <c r="Z186" s="255"/>
      <c r="AA186" s="255"/>
      <c r="AB186" s="255"/>
    </row>
    <row r="187">
      <c r="A187" s="255"/>
      <c r="B187" s="255"/>
      <c r="C187" s="261"/>
      <c r="D187" s="262"/>
      <c r="E187" s="364"/>
      <c r="F187" s="364"/>
      <c r="G187" s="355"/>
      <c r="H187" s="255"/>
      <c r="I187" s="255"/>
      <c r="J187" s="255"/>
      <c r="K187" s="255"/>
      <c r="L187" s="255"/>
      <c r="M187" s="255"/>
      <c r="N187" s="255"/>
      <c r="O187" s="255"/>
      <c r="P187" s="255"/>
      <c r="Q187" s="255"/>
      <c r="R187" s="255"/>
      <c r="S187" s="255"/>
      <c r="T187" s="255"/>
      <c r="U187" s="255"/>
      <c r="V187" s="255"/>
      <c r="W187" s="255"/>
      <c r="X187" s="255"/>
      <c r="Y187" s="255"/>
      <c r="Z187" s="255"/>
      <c r="AA187" s="255"/>
      <c r="AB187" s="255"/>
    </row>
    <row r="188">
      <c r="A188" s="255"/>
      <c r="B188" s="255"/>
      <c r="C188" s="261"/>
      <c r="D188" s="262"/>
      <c r="E188" s="364"/>
      <c r="F188" s="364"/>
      <c r="G188" s="355"/>
      <c r="H188" s="255"/>
      <c r="I188" s="255"/>
      <c r="J188" s="255"/>
      <c r="K188" s="255"/>
      <c r="L188" s="255"/>
      <c r="M188" s="255"/>
      <c r="N188" s="255"/>
      <c r="O188" s="255"/>
      <c r="P188" s="255"/>
      <c r="Q188" s="255"/>
      <c r="R188" s="255"/>
      <c r="S188" s="255"/>
      <c r="T188" s="255"/>
      <c r="U188" s="255"/>
      <c r="V188" s="255"/>
      <c r="W188" s="255"/>
      <c r="X188" s="255"/>
      <c r="Y188" s="255"/>
      <c r="Z188" s="255"/>
      <c r="AA188" s="255"/>
      <c r="AB188" s="255"/>
    </row>
    <row r="189">
      <c r="A189" s="255"/>
      <c r="B189" s="255"/>
      <c r="C189" s="261"/>
      <c r="D189" s="262"/>
      <c r="E189" s="364"/>
      <c r="F189" s="364"/>
      <c r="G189" s="355"/>
      <c r="H189" s="255"/>
      <c r="I189" s="255"/>
      <c r="J189" s="255"/>
      <c r="K189" s="255"/>
      <c r="L189" s="255"/>
      <c r="M189" s="255"/>
      <c r="N189" s="255"/>
      <c r="O189" s="255"/>
      <c r="P189" s="255"/>
      <c r="Q189" s="255"/>
      <c r="R189" s="255"/>
      <c r="S189" s="255"/>
      <c r="T189" s="255"/>
      <c r="U189" s="255"/>
      <c r="V189" s="255"/>
      <c r="W189" s="255"/>
      <c r="X189" s="255"/>
      <c r="Y189" s="255"/>
      <c r="Z189" s="255"/>
      <c r="AA189" s="255"/>
      <c r="AB189" s="255"/>
    </row>
    <row r="190">
      <c r="A190" s="255"/>
      <c r="B190" s="255"/>
      <c r="C190" s="261"/>
      <c r="D190" s="262"/>
      <c r="E190" s="364"/>
      <c r="F190" s="364"/>
      <c r="G190" s="355"/>
      <c r="H190" s="255"/>
      <c r="I190" s="255"/>
      <c r="J190" s="255"/>
      <c r="K190" s="255"/>
      <c r="L190" s="255"/>
      <c r="M190" s="255"/>
      <c r="N190" s="255"/>
      <c r="O190" s="255"/>
      <c r="P190" s="255"/>
      <c r="Q190" s="255"/>
      <c r="R190" s="255"/>
      <c r="S190" s="255"/>
      <c r="T190" s="255"/>
      <c r="U190" s="255"/>
      <c r="V190" s="255"/>
      <c r="W190" s="255"/>
      <c r="X190" s="255"/>
      <c r="Y190" s="255"/>
      <c r="Z190" s="255"/>
      <c r="AA190" s="255"/>
      <c r="AB190" s="255"/>
    </row>
    <row r="191">
      <c r="A191" s="255"/>
      <c r="B191" s="255"/>
      <c r="C191" s="261"/>
      <c r="D191" s="262"/>
      <c r="E191" s="364"/>
      <c r="F191" s="364"/>
      <c r="G191" s="355"/>
      <c r="H191" s="255"/>
      <c r="I191" s="255"/>
      <c r="J191" s="255"/>
      <c r="K191" s="255"/>
      <c r="L191" s="255"/>
      <c r="M191" s="255"/>
      <c r="N191" s="255"/>
      <c r="O191" s="255"/>
      <c r="P191" s="255"/>
      <c r="Q191" s="255"/>
      <c r="R191" s="255"/>
      <c r="S191" s="255"/>
      <c r="T191" s="255"/>
      <c r="U191" s="255"/>
      <c r="V191" s="255"/>
      <c r="W191" s="255"/>
      <c r="X191" s="255"/>
      <c r="Y191" s="255"/>
      <c r="Z191" s="255"/>
      <c r="AA191" s="255"/>
      <c r="AB191" s="255"/>
    </row>
    <row r="192">
      <c r="A192" s="255"/>
      <c r="B192" s="255"/>
      <c r="C192" s="261"/>
      <c r="D192" s="262"/>
      <c r="E192" s="364"/>
      <c r="F192" s="364"/>
      <c r="G192" s="355"/>
      <c r="H192" s="255"/>
      <c r="I192" s="255"/>
      <c r="J192" s="255"/>
      <c r="K192" s="255"/>
      <c r="L192" s="255"/>
      <c r="M192" s="255"/>
      <c r="N192" s="255"/>
      <c r="O192" s="255"/>
      <c r="P192" s="255"/>
      <c r="Q192" s="255"/>
      <c r="R192" s="255"/>
      <c r="S192" s="255"/>
      <c r="T192" s="255"/>
      <c r="U192" s="255"/>
      <c r="V192" s="255"/>
      <c r="W192" s="255"/>
      <c r="X192" s="255"/>
      <c r="Y192" s="255"/>
      <c r="Z192" s="255"/>
      <c r="AA192" s="255"/>
      <c r="AB192" s="255"/>
    </row>
    <row r="193">
      <c r="A193" s="255"/>
      <c r="B193" s="255"/>
      <c r="C193" s="261"/>
      <c r="D193" s="262"/>
      <c r="E193" s="364"/>
      <c r="F193" s="364"/>
      <c r="G193" s="355"/>
      <c r="H193" s="255"/>
      <c r="I193" s="255"/>
      <c r="J193" s="255"/>
      <c r="K193" s="255"/>
      <c r="L193" s="255"/>
      <c r="M193" s="255"/>
      <c r="N193" s="255"/>
      <c r="O193" s="255"/>
      <c r="P193" s="255"/>
      <c r="Q193" s="255"/>
      <c r="R193" s="255"/>
      <c r="S193" s="255"/>
      <c r="T193" s="255"/>
      <c r="U193" s="255"/>
      <c r="V193" s="255"/>
      <c r="W193" s="255"/>
      <c r="X193" s="255"/>
      <c r="Y193" s="255"/>
      <c r="Z193" s="255"/>
      <c r="AA193" s="255"/>
      <c r="AB193" s="255"/>
    </row>
    <row r="194">
      <c r="A194" s="255"/>
      <c r="B194" s="255"/>
      <c r="C194" s="261"/>
      <c r="D194" s="262"/>
      <c r="E194" s="364"/>
      <c r="F194" s="364"/>
      <c r="G194" s="355"/>
      <c r="H194" s="255"/>
      <c r="I194" s="255"/>
      <c r="J194" s="255"/>
      <c r="K194" s="255"/>
      <c r="L194" s="255"/>
      <c r="M194" s="255"/>
      <c r="N194" s="255"/>
      <c r="O194" s="255"/>
      <c r="P194" s="255"/>
      <c r="Q194" s="255"/>
      <c r="R194" s="255"/>
      <c r="S194" s="255"/>
      <c r="T194" s="255"/>
      <c r="U194" s="255"/>
      <c r="V194" s="255"/>
      <c r="W194" s="255"/>
      <c r="X194" s="255"/>
      <c r="Y194" s="255"/>
      <c r="Z194" s="255"/>
      <c r="AA194" s="255"/>
      <c r="AB194" s="255"/>
    </row>
    <row r="195">
      <c r="A195" s="255"/>
      <c r="B195" s="255"/>
      <c r="C195" s="261"/>
      <c r="D195" s="262"/>
      <c r="E195" s="364"/>
      <c r="F195" s="364"/>
      <c r="G195" s="355"/>
      <c r="H195" s="255"/>
      <c r="I195" s="255"/>
      <c r="J195" s="255"/>
      <c r="K195" s="255"/>
      <c r="L195" s="255"/>
      <c r="M195" s="255"/>
      <c r="N195" s="255"/>
      <c r="O195" s="255"/>
      <c r="P195" s="255"/>
      <c r="Q195" s="255"/>
      <c r="R195" s="255"/>
      <c r="S195" s="255"/>
      <c r="T195" s="255"/>
      <c r="U195" s="255"/>
      <c r="V195" s="255"/>
      <c r="W195" s="255"/>
      <c r="X195" s="255"/>
      <c r="Y195" s="255"/>
      <c r="Z195" s="255"/>
      <c r="AA195" s="255"/>
      <c r="AB195" s="255"/>
    </row>
    <row r="196">
      <c r="A196" s="255"/>
      <c r="B196" s="255"/>
      <c r="C196" s="261"/>
      <c r="D196" s="262"/>
      <c r="E196" s="364"/>
      <c r="F196" s="364"/>
      <c r="G196" s="355"/>
      <c r="H196" s="255"/>
      <c r="I196" s="255"/>
      <c r="J196" s="255"/>
      <c r="K196" s="255"/>
      <c r="L196" s="255"/>
      <c r="M196" s="255"/>
      <c r="N196" s="255"/>
      <c r="O196" s="255"/>
      <c r="P196" s="255"/>
      <c r="Q196" s="255"/>
      <c r="R196" s="255"/>
      <c r="S196" s="255"/>
      <c r="T196" s="255"/>
      <c r="U196" s="255"/>
      <c r="V196" s="255"/>
      <c r="W196" s="255"/>
      <c r="X196" s="255"/>
      <c r="Y196" s="255"/>
      <c r="Z196" s="255"/>
      <c r="AA196" s="255"/>
      <c r="AB196" s="255"/>
    </row>
    <row r="197">
      <c r="A197" s="255"/>
      <c r="B197" s="255"/>
      <c r="C197" s="261"/>
      <c r="D197" s="262"/>
      <c r="E197" s="364"/>
      <c r="F197" s="364"/>
      <c r="G197" s="355"/>
      <c r="H197" s="255"/>
      <c r="I197" s="255"/>
      <c r="J197" s="255"/>
      <c r="K197" s="255"/>
      <c r="L197" s="255"/>
      <c r="M197" s="255"/>
      <c r="N197" s="255"/>
      <c r="O197" s="255"/>
      <c r="P197" s="255"/>
      <c r="Q197" s="255"/>
      <c r="R197" s="255"/>
      <c r="S197" s="255"/>
      <c r="T197" s="255"/>
      <c r="U197" s="255"/>
      <c r="V197" s="255"/>
      <c r="W197" s="255"/>
      <c r="X197" s="255"/>
      <c r="Y197" s="255"/>
      <c r="Z197" s="255"/>
      <c r="AA197" s="255"/>
      <c r="AB197" s="255"/>
    </row>
    <row r="198">
      <c r="A198" s="255"/>
      <c r="B198" s="255"/>
      <c r="C198" s="261"/>
      <c r="D198" s="262"/>
      <c r="E198" s="364"/>
      <c r="F198" s="364"/>
      <c r="G198" s="355"/>
      <c r="H198" s="255"/>
      <c r="I198" s="255"/>
      <c r="J198" s="255"/>
      <c r="K198" s="255"/>
      <c r="L198" s="255"/>
      <c r="M198" s="255"/>
      <c r="N198" s="255"/>
      <c r="O198" s="255"/>
      <c r="P198" s="255"/>
      <c r="Q198" s="255"/>
      <c r="R198" s="255"/>
      <c r="S198" s="255"/>
      <c r="T198" s="255"/>
      <c r="U198" s="255"/>
      <c r="V198" s="255"/>
      <c r="W198" s="255"/>
      <c r="X198" s="255"/>
      <c r="Y198" s="255"/>
      <c r="Z198" s="255"/>
      <c r="AA198" s="255"/>
      <c r="AB198" s="255"/>
    </row>
    <row r="199">
      <c r="A199" s="255"/>
      <c r="B199" s="255"/>
      <c r="C199" s="261"/>
      <c r="D199" s="262"/>
      <c r="E199" s="364"/>
      <c r="F199" s="364"/>
      <c r="G199" s="355"/>
      <c r="H199" s="255"/>
      <c r="I199" s="255"/>
      <c r="J199" s="255"/>
      <c r="K199" s="255"/>
      <c r="L199" s="255"/>
      <c r="M199" s="255"/>
      <c r="N199" s="255"/>
      <c r="O199" s="255"/>
      <c r="P199" s="255"/>
      <c r="Q199" s="255"/>
      <c r="R199" s="255"/>
      <c r="S199" s="255"/>
      <c r="T199" s="255"/>
      <c r="U199" s="255"/>
      <c r="V199" s="255"/>
      <c r="W199" s="255"/>
      <c r="X199" s="255"/>
      <c r="Y199" s="255"/>
      <c r="Z199" s="255"/>
      <c r="AA199" s="255"/>
      <c r="AB199" s="255"/>
    </row>
    <row r="200">
      <c r="A200" s="255"/>
      <c r="B200" s="255"/>
      <c r="C200" s="261"/>
      <c r="D200" s="262"/>
      <c r="E200" s="364"/>
      <c r="F200" s="364"/>
      <c r="G200" s="355"/>
      <c r="H200" s="255"/>
      <c r="I200" s="255"/>
      <c r="J200" s="255"/>
      <c r="K200" s="255"/>
      <c r="L200" s="255"/>
      <c r="M200" s="255"/>
      <c r="N200" s="255"/>
      <c r="O200" s="255"/>
      <c r="P200" s="255"/>
      <c r="Q200" s="255"/>
      <c r="R200" s="255"/>
      <c r="S200" s="255"/>
      <c r="T200" s="255"/>
      <c r="U200" s="255"/>
      <c r="V200" s="255"/>
      <c r="W200" s="255"/>
      <c r="X200" s="255"/>
      <c r="Y200" s="255"/>
      <c r="Z200" s="255"/>
      <c r="AA200" s="255"/>
      <c r="AB200" s="255"/>
    </row>
    <row r="201">
      <c r="A201" s="255"/>
      <c r="B201" s="255"/>
      <c r="C201" s="261"/>
      <c r="D201" s="262"/>
      <c r="E201" s="364"/>
      <c r="F201" s="364"/>
      <c r="G201" s="355"/>
      <c r="H201" s="255"/>
      <c r="I201" s="255"/>
      <c r="J201" s="255"/>
      <c r="K201" s="255"/>
      <c r="L201" s="255"/>
      <c r="M201" s="255"/>
      <c r="N201" s="255"/>
      <c r="O201" s="255"/>
      <c r="P201" s="255"/>
      <c r="Q201" s="255"/>
      <c r="R201" s="255"/>
      <c r="S201" s="255"/>
      <c r="T201" s="255"/>
      <c r="U201" s="255"/>
      <c r="V201" s="255"/>
      <c r="W201" s="255"/>
      <c r="X201" s="255"/>
      <c r="Y201" s="255"/>
      <c r="Z201" s="255"/>
      <c r="AA201" s="255"/>
      <c r="AB201" s="255"/>
    </row>
    <row r="202">
      <c r="A202" s="255"/>
      <c r="B202" s="255"/>
      <c r="C202" s="261"/>
      <c r="D202" s="262"/>
      <c r="E202" s="364"/>
      <c r="F202" s="364"/>
      <c r="G202" s="355"/>
      <c r="H202" s="255"/>
      <c r="I202" s="255"/>
      <c r="J202" s="255"/>
      <c r="K202" s="255"/>
      <c r="L202" s="255"/>
      <c r="M202" s="255"/>
      <c r="N202" s="255"/>
      <c r="O202" s="255"/>
      <c r="P202" s="255"/>
      <c r="Q202" s="255"/>
      <c r="R202" s="255"/>
      <c r="S202" s="255"/>
      <c r="T202" s="255"/>
      <c r="U202" s="255"/>
      <c r="V202" s="255"/>
      <c r="W202" s="255"/>
      <c r="X202" s="255"/>
      <c r="Y202" s="255"/>
      <c r="Z202" s="255"/>
      <c r="AA202" s="255"/>
      <c r="AB202" s="255"/>
    </row>
    <row r="203">
      <c r="A203" s="255"/>
      <c r="B203" s="255"/>
      <c r="C203" s="261"/>
      <c r="D203" s="262"/>
      <c r="E203" s="364"/>
      <c r="F203" s="364"/>
      <c r="G203" s="355"/>
      <c r="H203" s="255"/>
      <c r="I203" s="255"/>
      <c r="J203" s="255"/>
      <c r="K203" s="255"/>
      <c r="L203" s="255"/>
      <c r="M203" s="255"/>
      <c r="N203" s="255"/>
      <c r="O203" s="255"/>
      <c r="P203" s="255"/>
      <c r="Q203" s="255"/>
      <c r="R203" s="255"/>
      <c r="S203" s="255"/>
      <c r="T203" s="255"/>
      <c r="U203" s="255"/>
      <c r="V203" s="255"/>
      <c r="W203" s="255"/>
      <c r="X203" s="255"/>
      <c r="Y203" s="255"/>
      <c r="Z203" s="255"/>
      <c r="AA203" s="255"/>
      <c r="AB203" s="255"/>
    </row>
    <row r="204">
      <c r="A204" s="255"/>
      <c r="B204" s="255"/>
      <c r="C204" s="261"/>
      <c r="D204" s="262"/>
      <c r="E204" s="364"/>
      <c r="F204" s="364"/>
      <c r="G204" s="355"/>
      <c r="H204" s="255"/>
      <c r="I204" s="255"/>
      <c r="J204" s="255"/>
      <c r="K204" s="255"/>
      <c r="L204" s="255"/>
      <c r="M204" s="255"/>
      <c r="N204" s="255"/>
      <c r="O204" s="255"/>
      <c r="P204" s="255"/>
      <c r="Q204" s="255"/>
      <c r="R204" s="255"/>
      <c r="S204" s="255"/>
      <c r="T204" s="255"/>
      <c r="U204" s="255"/>
      <c r="V204" s="255"/>
      <c r="W204" s="255"/>
      <c r="X204" s="255"/>
      <c r="Y204" s="255"/>
      <c r="Z204" s="255"/>
      <c r="AA204" s="255"/>
      <c r="AB204" s="255"/>
    </row>
    <row r="205">
      <c r="A205" s="255"/>
      <c r="B205" s="255"/>
      <c r="C205" s="261"/>
      <c r="D205" s="262"/>
      <c r="E205" s="364"/>
      <c r="F205" s="364"/>
      <c r="G205" s="355"/>
      <c r="H205" s="255"/>
      <c r="I205" s="255"/>
      <c r="J205" s="255"/>
      <c r="K205" s="255"/>
      <c r="L205" s="255"/>
      <c r="M205" s="255"/>
      <c r="N205" s="255"/>
      <c r="O205" s="255"/>
      <c r="P205" s="255"/>
      <c r="Q205" s="255"/>
      <c r="R205" s="255"/>
      <c r="S205" s="255"/>
      <c r="T205" s="255"/>
      <c r="U205" s="255"/>
      <c r="V205" s="255"/>
      <c r="W205" s="255"/>
      <c r="X205" s="255"/>
      <c r="Y205" s="255"/>
      <c r="Z205" s="255"/>
      <c r="AA205" s="255"/>
      <c r="AB205" s="255"/>
    </row>
    <row r="206">
      <c r="A206" s="255"/>
      <c r="B206" s="255"/>
      <c r="C206" s="261"/>
      <c r="D206" s="262"/>
      <c r="E206" s="364"/>
      <c r="F206" s="364"/>
      <c r="G206" s="355"/>
      <c r="H206" s="255"/>
      <c r="I206" s="255"/>
      <c r="J206" s="255"/>
      <c r="K206" s="255"/>
      <c r="L206" s="255"/>
      <c r="M206" s="255"/>
      <c r="N206" s="255"/>
      <c r="O206" s="255"/>
      <c r="P206" s="255"/>
      <c r="Q206" s="255"/>
      <c r="R206" s="255"/>
      <c r="S206" s="255"/>
      <c r="T206" s="255"/>
      <c r="U206" s="255"/>
      <c r="V206" s="255"/>
      <c r="W206" s="255"/>
      <c r="X206" s="255"/>
      <c r="Y206" s="255"/>
      <c r="Z206" s="255"/>
      <c r="AA206" s="255"/>
      <c r="AB206" s="255"/>
    </row>
    <row r="207">
      <c r="A207" s="255"/>
      <c r="B207" s="255"/>
      <c r="C207" s="261"/>
      <c r="D207" s="262"/>
      <c r="E207" s="364"/>
      <c r="F207" s="364"/>
      <c r="G207" s="355"/>
      <c r="H207" s="255"/>
      <c r="I207" s="255"/>
      <c r="J207" s="255"/>
      <c r="K207" s="255"/>
      <c r="L207" s="255"/>
      <c r="M207" s="255"/>
      <c r="N207" s="255"/>
      <c r="O207" s="255"/>
      <c r="P207" s="255"/>
      <c r="Q207" s="255"/>
      <c r="R207" s="255"/>
      <c r="S207" s="255"/>
      <c r="T207" s="255"/>
      <c r="U207" s="255"/>
      <c r="V207" s="255"/>
      <c r="W207" s="255"/>
      <c r="X207" s="255"/>
      <c r="Y207" s="255"/>
      <c r="Z207" s="255"/>
      <c r="AA207" s="255"/>
      <c r="AB207" s="255"/>
    </row>
    <row r="208">
      <c r="A208" s="255"/>
      <c r="B208" s="255"/>
      <c r="C208" s="261"/>
      <c r="D208" s="262"/>
      <c r="E208" s="364"/>
      <c r="F208" s="364"/>
      <c r="G208" s="355"/>
      <c r="H208" s="255"/>
      <c r="I208" s="255"/>
      <c r="J208" s="255"/>
      <c r="K208" s="255"/>
      <c r="L208" s="255"/>
      <c r="M208" s="255"/>
      <c r="N208" s="255"/>
      <c r="O208" s="255"/>
      <c r="P208" s="255"/>
      <c r="Q208" s="255"/>
      <c r="R208" s="255"/>
      <c r="S208" s="255"/>
      <c r="T208" s="255"/>
      <c r="U208" s="255"/>
      <c r="V208" s="255"/>
      <c r="W208" s="255"/>
      <c r="X208" s="255"/>
      <c r="Y208" s="255"/>
      <c r="Z208" s="255"/>
      <c r="AA208" s="255"/>
      <c r="AB208" s="255"/>
    </row>
    <row r="209">
      <c r="A209" s="255"/>
      <c r="B209" s="255"/>
      <c r="C209" s="261"/>
      <c r="D209" s="262"/>
      <c r="E209" s="364"/>
      <c r="F209" s="364"/>
      <c r="G209" s="355"/>
      <c r="H209" s="255"/>
      <c r="I209" s="255"/>
      <c r="J209" s="255"/>
      <c r="K209" s="255"/>
      <c r="L209" s="255"/>
      <c r="M209" s="255"/>
      <c r="N209" s="255"/>
      <c r="O209" s="255"/>
      <c r="P209" s="255"/>
      <c r="Q209" s="255"/>
      <c r="R209" s="255"/>
      <c r="S209" s="255"/>
      <c r="T209" s="255"/>
      <c r="U209" s="255"/>
      <c r="V209" s="255"/>
      <c r="W209" s="255"/>
      <c r="X209" s="255"/>
      <c r="Y209" s="255"/>
      <c r="Z209" s="255"/>
      <c r="AA209" s="255"/>
      <c r="AB209" s="255"/>
    </row>
    <row r="210">
      <c r="A210" s="255"/>
      <c r="B210" s="255"/>
      <c r="C210" s="261"/>
      <c r="D210" s="262"/>
      <c r="E210" s="364"/>
      <c r="F210" s="364"/>
      <c r="G210" s="355"/>
      <c r="H210" s="255"/>
      <c r="I210" s="255"/>
      <c r="J210" s="255"/>
      <c r="K210" s="255"/>
      <c r="L210" s="255"/>
      <c r="M210" s="255"/>
      <c r="N210" s="255"/>
      <c r="O210" s="255"/>
      <c r="P210" s="255"/>
      <c r="Q210" s="255"/>
      <c r="R210" s="255"/>
      <c r="S210" s="255"/>
      <c r="T210" s="255"/>
      <c r="U210" s="255"/>
      <c r="V210" s="255"/>
      <c r="W210" s="255"/>
      <c r="X210" s="255"/>
      <c r="Y210" s="255"/>
      <c r="Z210" s="255"/>
      <c r="AA210" s="255"/>
      <c r="AB210" s="255"/>
    </row>
    <row r="211">
      <c r="A211" s="255"/>
      <c r="B211" s="255"/>
      <c r="C211" s="261"/>
      <c r="D211" s="262"/>
      <c r="E211" s="364"/>
      <c r="F211" s="364"/>
      <c r="G211" s="355"/>
      <c r="H211" s="255"/>
      <c r="I211" s="255"/>
      <c r="J211" s="255"/>
      <c r="K211" s="255"/>
      <c r="L211" s="255"/>
      <c r="M211" s="255"/>
      <c r="N211" s="255"/>
      <c r="O211" s="255"/>
      <c r="P211" s="255"/>
      <c r="Q211" s="255"/>
      <c r="R211" s="255"/>
      <c r="S211" s="255"/>
      <c r="T211" s="255"/>
      <c r="U211" s="255"/>
      <c r="V211" s="255"/>
      <c r="W211" s="255"/>
      <c r="X211" s="255"/>
      <c r="Y211" s="255"/>
      <c r="Z211" s="255"/>
      <c r="AA211" s="255"/>
      <c r="AB211" s="255"/>
    </row>
    <row r="212">
      <c r="A212" s="255"/>
      <c r="B212" s="255"/>
      <c r="C212" s="261"/>
      <c r="D212" s="262"/>
      <c r="E212" s="364"/>
      <c r="F212" s="364"/>
      <c r="G212" s="355"/>
      <c r="H212" s="255"/>
      <c r="I212" s="255"/>
      <c r="J212" s="255"/>
      <c r="K212" s="255"/>
      <c r="L212" s="255"/>
      <c r="M212" s="255"/>
      <c r="N212" s="255"/>
      <c r="O212" s="255"/>
      <c r="P212" s="255"/>
      <c r="Q212" s="255"/>
      <c r="R212" s="255"/>
      <c r="S212" s="255"/>
      <c r="T212" s="255"/>
      <c r="U212" s="255"/>
      <c r="V212" s="255"/>
      <c r="W212" s="255"/>
      <c r="X212" s="255"/>
      <c r="Y212" s="255"/>
      <c r="Z212" s="255"/>
      <c r="AA212" s="255"/>
      <c r="AB212" s="255"/>
    </row>
    <row r="213">
      <c r="A213" s="255"/>
      <c r="B213" s="255"/>
      <c r="C213" s="261"/>
      <c r="D213" s="262"/>
      <c r="E213" s="364"/>
      <c r="F213" s="364"/>
      <c r="G213" s="355"/>
      <c r="H213" s="255"/>
      <c r="I213" s="255"/>
      <c r="J213" s="255"/>
      <c r="K213" s="255"/>
      <c r="L213" s="255"/>
      <c r="M213" s="255"/>
      <c r="N213" s="255"/>
      <c r="O213" s="255"/>
      <c r="P213" s="255"/>
      <c r="Q213" s="255"/>
      <c r="R213" s="255"/>
      <c r="S213" s="255"/>
      <c r="T213" s="255"/>
      <c r="U213" s="255"/>
      <c r="V213" s="255"/>
      <c r="W213" s="255"/>
      <c r="X213" s="255"/>
      <c r="Y213" s="255"/>
      <c r="Z213" s="255"/>
      <c r="AA213" s="255"/>
      <c r="AB213" s="255"/>
    </row>
    <row r="214">
      <c r="A214" s="255"/>
      <c r="B214" s="255"/>
      <c r="C214" s="261"/>
      <c r="D214" s="262"/>
      <c r="E214" s="364"/>
      <c r="F214" s="364"/>
      <c r="G214" s="355"/>
      <c r="H214" s="255"/>
      <c r="I214" s="255"/>
      <c r="J214" s="255"/>
      <c r="K214" s="255"/>
      <c r="L214" s="255"/>
      <c r="M214" s="255"/>
      <c r="N214" s="255"/>
      <c r="O214" s="255"/>
      <c r="P214" s="255"/>
      <c r="Q214" s="255"/>
      <c r="R214" s="255"/>
      <c r="S214" s="255"/>
      <c r="T214" s="255"/>
      <c r="U214" s="255"/>
      <c r="V214" s="255"/>
      <c r="W214" s="255"/>
      <c r="X214" s="255"/>
      <c r="Y214" s="255"/>
      <c r="Z214" s="255"/>
      <c r="AA214" s="255"/>
      <c r="AB214" s="255"/>
    </row>
    <row r="215">
      <c r="A215" s="255"/>
      <c r="B215" s="255"/>
      <c r="C215" s="261"/>
      <c r="D215" s="262"/>
      <c r="E215" s="364"/>
      <c r="F215" s="364"/>
      <c r="G215" s="355"/>
      <c r="H215" s="255"/>
      <c r="I215" s="255"/>
      <c r="J215" s="255"/>
      <c r="K215" s="255"/>
      <c r="L215" s="255"/>
      <c r="M215" s="255"/>
      <c r="N215" s="255"/>
      <c r="O215" s="255"/>
      <c r="P215" s="255"/>
      <c r="Q215" s="255"/>
      <c r="R215" s="255"/>
      <c r="S215" s="255"/>
      <c r="T215" s="255"/>
      <c r="U215" s="255"/>
      <c r="V215" s="255"/>
      <c r="W215" s="255"/>
      <c r="X215" s="255"/>
      <c r="Y215" s="255"/>
      <c r="Z215" s="255"/>
      <c r="AA215" s="255"/>
      <c r="AB215" s="255"/>
    </row>
    <row r="216">
      <c r="A216" s="255"/>
      <c r="B216" s="255"/>
      <c r="C216" s="261"/>
      <c r="D216" s="262"/>
      <c r="E216" s="364"/>
      <c r="F216" s="364"/>
      <c r="G216" s="355"/>
      <c r="H216" s="255"/>
      <c r="I216" s="255"/>
      <c r="J216" s="255"/>
      <c r="K216" s="255"/>
      <c r="L216" s="255"/>
      <c r="M216" s="255"/>
      <c r="N216" s="255"/>
      <c r="O216" s="255"/>
      <c r="P216" s="255"/>
      <c r="Q216" s="255"/>
      <c r="R216" s="255"/>
      <c r="S216" s="255"/>
      <c r="T216" s="255"/>
      <c r="U216" s="255"/>
      <c r="V216" s="255"/>
      <c r="W216" s="255"/>
      <c r="X216" s="255"/>
      <c r="Y216" s="255"/>
      <c r="Z216" s="255"/>
      <c r="AA216" s="255"/>
      <c r="AB216" s="255"/>
    </row>
    <row r="217">
      <c r="A217" s="255"/>
      <c r="B217" s="255"/>
      <c r="C217" s="261"/>
      <c r="D217" s="262"/>
      <c r="E217" s="364"/>
      <c r="F217" s="364"/>
      <c r="G217" s="355"/>
      <c r="H217" s="255"/>
      <c r="I217" s="255"/>
      <c r="J217" s="255"/>
      <c r="K217" s="255"/>
      <c r="L217" s="255"/>
      <c r="M217" s="255"/>
      <c r="N217" s="255"/>
      <c r="O217" s="255"/>
      <c r="P217" s="255"/>
      <c r="Q217" s="255"/>
      <c r="R217" s="255"/>
      <c r="S217" s="255"/>
      <c r="T217" s="255"/>
      <c r="U217" s="255"/>
      <c r="V217" s="255"/>
      <c r="W217" s="255"/>
      <c r="X217" s="255"/>
      <c r="Y217" s="255"/>
      <c r="Z217" s="255"/>
      <c r="AA217" s="255"/>
      <c r="AB217" s="255"/>
    </row>
    <row r="218">
      <c r="A218" s="255"/>
      <c r="B218" s="255"/>
      <c r="C218" s="261"/>
      <c r="D218" s="262"/>
      <c r="E218" s="364"/>
      <c r="F218" s="364"/>
      <c r="G218" s="355"/>
      <c r="H218" s="255"/>
      <c r="I218" s="255"/>
      <c r="J218" s="255"/>
      <c r="K218" s="255"/>
      <c r="L218" s="255"/>
      <c r="M218" s="255"/>
      <c r="N218" s="255"/>
      <c r="O218" s="255"/>
      <c r="P218" s="255"/>
      <c r="Q218" s="255"/>
      <c r="R218" s="255"/>
      <c r="S218" s="255"/>
      <c r="T218" s="255"/>
      <c r="U218" s="255"/>
      <c r="V218" s="255"/>
      <c r="W218" s="255"/>
      <c r="X218" s="255"/>
      <c r="Y218" s="255"/>
      <c r="Z218" s="255"/>
      <c r="AA218" s="255"/>
      <c r="AB218" s="255"/>
    </row>
    <row r="219">
      <c r="A219" s="255"/>
      <c r="B219" s="255"/>
      <c r="C219" s="261"/>
      <c r="D219" s="262"/>
      <c r="E219" s="364"/>
      <c r="F219" s="364"/>
      <c r="G219" s="355"/>
      <c r="H219" s="255"/>
      <c r="I219" s="255"/>
      <c r="J219" s="255"/>
      <c r="K219" s="255"/>
      <c r="L219" s="255"/>
      <c r="M219" s="255"/>
      <c r="N219" s="255"/>
      <c r="O219" s="255"/>
      <c r="P219" s="255"/>
      <c r="Q219" s="255"/>
      <c r="R219" s="255"/>
      <c r="S219" s="255"/>
      <c r="T219" s="255"/>
      <c r="U219" s="255"/>
      <c r="V219" s="255"/>
      <c r="W219" s="255"/>
      <c r="X219" s="255"/>
      <c r="Y219" s="255"/>
      <c r="Z219" s="255"/>
      <c r="AA219" s="255"/>
      <c r="AB219" s="255"/>
    </row>
    <row r="220">
      <c r="A220" s="255"/>
      <c r="B220" s="255"/>
      <c r="C220" s="261"/>
      <c r="D220" s="262"/>
      <c r="E220" s="364"/>
      <c r="F220" s="364"/>
      <c r="G220" s="355"/>
      <c r="H220" s="255"/>
      <c r="I220" s="255"/>
      <c r="J220" s="255"/>
      <c r="K220" s="255"/>
      <c r="L220" s="255"/>
      <c r="M220" s="255"/>
      <c r="N220" s="255"/>
      <c r="O220" s="255"/>
      <c r="P220" s="255"/>
      <c r="Q220" s="255"/>
      <c r="R220" s="255"/>
      <c r="S220" s="255"/>
      <c r="T220" s="255"/>
      <c r="U220" s="255"/>
      <c r="V220" s="255"/>
      <c r="W220" s="255"/>
      <c r="X220" s="255"/>
      <c r="Y220" s="255"/>
      <c r="Z220" s="255"/>
      <c r="AA220" s="255"/>
      <c r="AB220" s="255"/>
    </row>
    <row r="221">
      <c r="A221" s="255"/>
      <c r="B221" s="255"/>
      <c r="C221" s="261"/>
      <c r="D221" s="262"/>
      <c r="E221" s="364"/>
      <c r="F221" s="364"/>
      <c r="G221" s="355"/>
      <c r="H221" s="255"/>
      <c r="I221" s="255"/>
      <c r="J221" s="255"/>
      <c r="K221" s="255"/>
      <c r="L221" s="255"/>
      <c r="M221" s="255"/>
      <c r="N221" s="255"/>
      <c r="O221" s="255"/>
      <c r="P221" s="255"/>
      <c r="Q221" s="255"/>
      <c r="R221" s="255"/>
      <c r="S221" s="255"/>
      <c r="T221" s="255"/>
      <c r="U221" s="255"/>
      <c r="V221" s="255"/>
      <c r="W221" s="255"/>
      <c r="X221" s="255"/>
      <c r="Y221" s="255"/>
      <c r="Z221" s="255"/>
      <c r="AA221" s="255"/>
      <c r="AB221" s="255"/>
    </row>
    <row r="222">
      <c r="A222" s="255"/>
      <c r="B222" s="255"/>
      <c r="C222" s="261"/>
      <c r="D222" s="262"/>
      <c r="E222" s="364"/>
      <c r="F222" s="364"/>
      <c r="G222" s="355"/>
      <c r="H222" s="255"/>
      <c r="I222" s="255"/>
      <c r="J222" s="255"/>
      <c r="K222" s="255"/>
      <c r="L222" s="255"/>
      <c r="M222" s="255"/>
      <c r="N222" s="255"/>
      <c r="O222" s="255"/>
      <c r="P222" s="255"/>
      <c r="Q222" s="255"/>
      <c r="R222" s="255"/>
      <c r="S222" s="255"/>
      <c r="T222" s="255"/>
      <c r="U222" s="255"/>
      <c r="V222" s="255"/>
      <c r="W222" s="255"/>
      <c r="X222" s="255"/>
      <c r="Y222" s="255"/>
      <c r="Z222" s="255"/>
      <c r="AA222" s="255"/>
      <c r="AB222" s="255"/>
    </row>
    <row r="223">
      <c r="A223" s="255"/>
      <c r="B223" s="255"/>
      <c r="C223" s="261"/>
      <c r="D223" s="262"/>
      <c r="E223" s="364"/>
      <c r="F223" s="364"/>
      <c r="G223" s="355"/>
      <c r="H223" s="255"/>
      <c r="I223" s="255"/>
      <c r="J223" s="255"/>
      <c r="K223" s="255"/>
      <c r="L223" s="255"/>
      <c r="M223" s="255"/>
      <c r="N223" s="255"/>
      <c r="O223" s="255"/>
      <c r="P223" s="255"/>
      <c r="Q223" s="255"/>
      <c r="R223" s="255"/>
      <c r="S223" s="255"/>
      <c r="T223" s="255"/>
      <c r="U223" s="255"/>
      <c r="V223" s="255"/>
      <c r="W223" s="255"/>
      <c r="X223" s="255"/>
      <c r="Y223" s="255"/>
      <c r="Z223" s="255"/>
      <c r="AA223" s="255"/>
      <c r="AB223" s="255"/>
    </row>
    <row r="224">
      <c r="A224" s="255"/>
      <c r="B224" s="255"/>
      <c r="C224" s="261"/>
      <c r="D224" s="262"/>
      <c r="E224" s="364"/>
      <c r="F224" s="364"/>
      <c r="G224" s="355"/>
      <c r="H224" s="255"/>
      <c r="I224" s="255"/>
      <c r="J224" s="255"/>
      <c r="K224" s="255"/>
      <c r="L224" s="255"/>
      <c r="M224" s="255"/>
      <c r="N224" s="255"/>
      <c r="O224" s="255"/>
      <c r="P224" s="255"/>
      <c r="Q224" s="255"/>
      <c r="R224" s="255"/>
      <c r="S224" s="255"/>
      <c r="T224" s="255"/>
      <c r="U224" s="255"/>
      <c r="V224" s="255"/>
      <c r="W224" s="255"/>
      <c r="X224" s="255"/>
      <c r="Y224" s="255"/>
      <c r="Z224" s="255"/>
      <c r="AA224" s="255"/>
      <c r="AB224" s="255"/>
    </row>
    <row r="225">
      <c r="A225" s="255"/>
      <c r="B225" s="255"/>
      <c r="C225" s="261"/>
      <c r="D225" s="262"/>
      <c r="E225" s="364"/>
      <c r="F225" s="364"/>
      <c r="G225" s="355"/>
      <c r="H225" s="255"/>
      <c r="I225" s="255"/>
      <c r="J225" s="255"/>
      <c r="K225" s="255"/>
      <c r="L225" s="255"/>
      <c r="M225" s="255"/>
      <c r="N225" s="255"/>
      <c r="O225" s="255"/>
      <c r="P225" s="255"/>
      <c r="Q225" s="255"/>
      <c r="R225" s="255"/>
      <c r="S225" s="255"/>
      <c r="T225" s="255"/>
      <c r="U225" s="255"/>
      <c r="V225" s="255"/>
      <c r="W225" s="255"/>
      <c r="X225" s="255"/>
      <c r="Y225" s="255"/>
      <c r="Z225" s="255"/>
      <c r="AA225" s="255"/>
      <c r="AB225" s="255"/>
    </row>
    <row r="226">
      <c r="A226" s="255"/>
      <c r="B226" s="255"/>
      <c r="C226" s="261"/>
      <c r="D226" s="262"/>
      <c r="E226" s="364"/>
      <c r="F226" s="364"/>
      <c r="G226" s="355"/>
      <c r="H226" s="255"/>
      <c r="I226" s="255"/>
      <c r="J226" s="255"/>
      <c r="K226" s="255"/>
      <c r="L226" s="255"/>
      <c r="M226" s="255"/>
      <c r="N226" s="255"/>
      <c r="O226" s="255"/>
      <c r="P226" s="255"/>
      <c r="Q226" s="255"/>
      <c r="R226" s="255"/>
      <c r="S226" s="255"/>
      <c r="T226" s="255"/>
      <c r="U226" s="255"/>
      <c r="V226" s="255"/>
      <c r="W226" s="255"/>
      <c r="X226" s="255"/>
      <c r="Y226" s="255"/>
      <c r="Z226" s="255"/>
      <c r="AA226" s="255"/>
      <c r="AB226" s="255"/>
    </row>
    <row r="227">
      <c r="A227" s="255"/>
      <c r="B227" s="255"/>
      <c r="C227" s="261"/>
      <c r="D227" s="262"/>
      <c r="E227" s="364"/>
      <c r="F227" s="364"/>
      <c r="G227" s="355"/>
      <c r="H227" s="255"/>
      <c r="I227" s="255"/>
      <c r="J227" s="255"/>
      <c r="K227" s="255"/>
      <c r="L227" s="255"/>
      <c r="M227" s="255"/>
      <c r="N227" s="255"/>
      <c r="O227" s="255"/>
      <c r="P227" s="255"/>
      <c r="Q227" s="255"/>
      <c r="R227" s="255"/>
      <c r="S227" s="255"/>
      <c r="T227" s="255"/>
      <c r="U227" s="255"/>
      <c r="V227" s="255"/>
      <c r="W227" s="255"/>
      <c r="X227" s="255"/>
      <c r="Y227" s="255"/>
      <c r="Z227" s="255"/>
      <c r="AA227" s="255"/>
      <c r="AB227" s="255"/>
    </row>
    <row r="228">
      <c r="A228" s="255"/>
      <c r="B228" s="255"/>
      <c r="C228" s="261"/>
      <c r="D228" s="262"/>
      <c r="E228" s="364"/>
      <c r="F228" s="364"/>
      <c r="G228" s="355"/>
      <c r="H228" s="255"/>
      <c r="I228" s="255"/>
      <c r="J228" s="255"/>
      <c r="K228" s="255"/>
      <c r="L228" s="255"/>
      <c r="M228" s="255"/>
      <c r="N228" s="255"/>
      <c r="O228" s="255"/>
      <c r="P228" s="255"/>
      <c r="Q228" s="255"/>
      <c r="R228" s="255"/>
      <c r="S228" s="255"/>
      <c r="T228" s="255"/>
      <c r="U228" s="255"/>
      <c r="V228" s="255"/>
      <c r="W228" s="255"/>
      <c r="X228" s="255"/>
      <c r="Y228" s="255"/>
      <c r="Z228" s="255"/>
      <c r="AA228" s="255"/>
      <c r="AB228" s="255"/>
    </row>
    <row r="229">
      <c r="A229" s="255"/>
      <c r="B229" s="255"/>
      <c r="C229" s="261"/>
      <c r="D229" s="262"/>
      <c r="E229" s="364"/>
      <c r="F229" s="364"/>
      <c r="G229" s="355"/>
      <c r="H229" s="255"/>
      <c r="I229" s="255"/>
      <c r="J229" s="255"/>
      <c r="K229" s="255"/>
      <c r="L229" s="255"/>
      <c r="M229" s="255"/>
      <c r="N229" s="255"/>
      <c r="O229" s="255"/>
      <c r="P229" s="255"/>
      <c r="Q229" s="255"/>
      <c r="R229" s="255"/>
      <c r="S229" s="255"/>
      <c r="T229" s="255"/>
      <c r="U229" s="255"/>
      <c r="V229" s="255"/>
      <c r="W229" s="255"/>
      <c r="X229" s="255"/>
      <c r="Y229" s="255"/>
      <c r="Z229" s="255"/>
      <c r="AA229" s="255"/>
      <c r="AB229" s="255"/>
    </row>
    <row r="230">
      <c r="A230" s="255"/>
      <c r="B230" s="255"/>
      <c r="C230" s="261"/>
      <c r="D230" s="262"/>
      <c r="E230" s="364"/>
      <c r="F230" s="364"/>
      <c r="G230" s="355"/>
      <c r="H230" s="255"/>
      <c r="I230" s="255"/>
      <c r="J230" s="255"/>
      <c r="K230" s="255"/>
      <c r="L230" s="255"/>
      <c r="M230" s="255"/>
      <c r="N230" s="255"/>
      <c r="O230" s="255"/>
      <c r="P230" s="255"/>
      <c r="Q230" s="255"/>
      <c r="R230" s="255"/>
      <c r="S230" s="255"/>
      <c r="T230" s="255"/>
      <c r="U230" s="255"/>
      <c r="V230" s="255"/>
      <c r="W230" s="255"/>
      <c r="X230" s="255"/>
      <c r="Y230" s="255"/>
      <c r="Z230" s="255"/>
      <c r="AA230" s="255"/>
      <c r="AB230" s="255"/>
    </row>
    <row r="231">
      <c r="A231" s="255"/>
      <c r="B231" s="255"/>
      <c r="C231" s="261"/>
      <c r="D231" s="262"/>
      <c r="E231" s="364"/>
      <c r="F231" s="364"/>
      <c r="G231" s="355"/>
      <c r="H231" s="255"/>
      <c r="I231" s="255"/>
      <c r="J231" s="255"/>
      <c r="K231" s="255"/>
      <c r="L231" s="255"/>
      <c r="M231" s="255"/>
      <c r="N231" s="255"/>
      <c r="O231" s="255"/>
      <c r="P231" s="255"/>
      <c r="Q231" s="255"/>
      <c r="R231" s="255"/>
      <c r="S231" s="255"/>
      <c r="T231" s="255"/>
      <c r="U231" s="255"/>
      <c r="V231" s="255"/>
      <c r="W231" s="255"/>
      <c r="X231" s="255"/>
      <c r="Y231" s="255"/>
      <c r="Z231" s="255"/>
      <c r="AA231" s="255"/>
      <c r="AB231" s="255"/>
    </row>
    <row r="232">
      <c r="A232" s="255"/>
      <c r="B232" s="255"/>
      <c r="C232" s="261"/>
      <c r="D232" s="262"/>
      <c r="E232" s="364"/>
      <c r="F232" s="364"/>
      <c r="G232" s="355"/>
      <c r="H232" s="255"/>
      <c r="I232" s="255"/>
      <c r="J232" s="255"/>
      <c r="K232" s="255"/>
      <c r="L232" s="255"/>
      <c r="M232" s="255"/>
      <c r="N232" s="255"/>
      <c r="O232" s="255"/>
      <c r="P232" s="255"/>
      <c r="Q232" s="255"/>
      <c r="R232" s="255"/>
      <c r="S232" s="255"/>
      <c r="T232" s="255"/>
      <c r="U232" s="255"/>
      <c r="V232" s="255"/>
      <c r="W232" s="255"/>
      <c r="X232" s="255"/>
      <c r="Y232" s="255"/>
      <c r="Z232" s="255"/>
      <c r="AA232" s="255"/>
      <c r="AB232" s="255"/>
    </row>
    <row r="233">
      <c r="A233" s="255"/>
      <c r="B233" s="255"/>
      <c r="C233" s="261"/>
      <c r="D233" s="262"/>
      <c r="E233" s="364"/>
      <c r="F233" s="364"/>
      <c r="G233" s="355"/>
      <c r="H233" s="255"/>
      <c r="I233" s="255"/>
      <c r="J233" s="255"/>
      <c r="K233" s="255"/>
      <c r="L233" s="255"/>
      <c r="M233" s="255"/>
      <c r="N233" s="255"/>
      <c r="O233" s="255"/>
      <c r="P233" s="255"/>
      <c r="Q233" s="255"/>
      <c r="R233" s="255"/>
      <c r="S233" s="255"/>
      <c r="T233" s="255"/>
      <c r="U233" s="255"/>
      <c r="V233" s="255"/>
      <c r="W233" s="255"/>
      <c r="X233" s="255"/>
      <c r="Y233" s="255"/>
      <c r="Z233" s="255"/>
      <c r="AA233" s="255"/>
      <c r="AB233" s="255"/>
    </row>
    <row r="234">
      <c r="A234" s="255"/>
      <c r="B234" s="255"/>
      <c r="C234" s="261"/>
      <c r="D234" s="262"/>
      <c r="E234" s="364"/>
      <c r="F234" s="364"/>
      <c r="G234" s="355"/>
      <c r="H234" s="255"/>
      <c r="I234" s="255"/>
      <c r="J234" s="255"/>
      <c r="K234" s="255"/>
      <c r="L234" s="255"/>
      <c r="M234" s="255"/>
      <c r="N234" s="255"/>
      <c r="O234" s="255"/>
      <c r="P234" s="255"/>
      <c r="Q234" s="255"/>
      <c r="R234" s="255"/>
      <c r="S234" s="255"/>
      <c r="T234" s="255"/>
      <c r="U234" s="255"/>
      <c r="V234" s="255"/>
      <c r="W234" s="255"/>
      <c r="X234" s="255"/>
      <c r="Y234" s="255"/>
      <c r="Z234" s="255"/>
      <c r="AA234" s="255"/>
      <c r="AB234" s="255"/>
    </row>
    <row r="235">
      <c r="A235" s="255"/>
      <c r="B235" s="255"/>
      <c r="C235" s="261"/>
      <c r="D235" s="262"/>
      <c r="E235" s="364"/>
      <c r="F235" s="364"/>
      <c r="G235" s="355"/>
      <c r="H235" s="255"/>
      <c r="I235" s="255"/>
      <c r="J235" s="255"/>
      <c r="K235" s="255"/>
      <c r="L235" s="255"/>
      <c r="M235" s="255"/>
      <c r="N235" s="255"/>
      <c r="O235" s="255"/>
      <c r="P235" s="255"/>
      <c r="Q235" s="255"/>
      <c r="R235" s="255"/>
      <c r="S235" s="255"/>
      <c r="T235" s="255"/>
      <c r="U235" s="255"/>
      <c r="V235" s="255"/>
      <c r="W235" s="255"/>
      <c r="X235" s="255"/>
      <c r="Y235" s="255"/>
      <c r="Z235" s="255"/>
      <c r="AA235" s="255"/>
      <c r="AB235" s="255"/>
    </row>
    <row r="236">
      <c r="A236" s="255"/>
      <c r="B236" s="255"/>
      <c r="C236" s="261"/>
      <c r="D236" s="262"/>
      <c r="E236" s="364"/>
      <c r="F236" s="364"/>
      <c r="G236" s="355"/>
      <c r="H236" s="255"/>
      <c r="I236" s="255"/>
      <c r="J236" s="255"/>
      <c r="K236" s="255"/>
      <c r="L236" s="255"/>
      <c r="M236" s="255"/>
      <c r="N236" s="255"/>
      <c r="O236" s="255"/>
      <c r="P236" s="255"/>
      <c r="Q236" s="255"/>
      <c r="R236" s="255"/>
      <c r="S236" s="255"/>
      <c r="T236" s="255"/>
      <c r="U236" s="255"/>
      <c r="V236" s="255"/>
      <c r="W236" s="255"/>
      <c r="X236" s="255"/>
      <c r="Y236" s="255"/>
      <c r="Z236" s="255"/>
      <c r="AA236" s="255"/>
      <c r="AB236" s="255"/>
    </row>
    <row r="237">
      <c r="A237" s="255"/>
      <c r="B237" s="255"/>
      <c r="C237" s="261"/>
      <c r="D237" s="262"/>
      <c r="E237" s="364"/>
      <c r="F237" s="364"/>
      <c r="G237" s="355"/>
      <c r="H237" s="255"/>
      <c r="I237" s="255"/>
      <c r="J237" s="255"/>
      <c r="K237" s="255"/>
      <c r="L237" s="255"/>
      <c r="M237" s="255"/>
      <c r="N237" s="255"/>
      <c r="O237" s="255"/>
      <c r="P237" s="255"/>
      <c r="Q237" s="255"/>
      <c r="R237" s="255"/>
      <c r="S237" s="255"/>
      <c r="T237" s="255"/>
      <c r="U237" s="255"/>
      <c r="V237" s="255"/>
      <c r="W237" s="255"/>
      <c r="X237" s="255"/>
      <c r="Y237" s="255"/>
      <c r="Z237" s="255"/>
      <c r="AA237" s="255"/>
      <c r="AB237" s="255"/>
    </row>
    <row r="238">
      <c r="A238" s="255"/>
      <c r="B238" s="255"/>
      <c r="C238" s="261"/>
      <c r="D238" s="262"/>
      <c r="E238" s="364"/>
      <c r="F238" s="364"/>
      <c r="G238" s="355"/>
      <c r="H238" s="255"/>
      <c r="I238" s="255"/>
      <c r="J238" s="255"/>
      <c r="K238" s="255"/>
      <c r="L238" s="255"/>
      <c r="M238" s="255"/>
      <c r="N238" s="255"/>
      <c r="O238" s="255"/>
      <c r="P238" s="255"/>
      <c r="Q238" s="255"/>
      <c r="R238" s="255"/>
      <c r="S238" s="255"/>
      <c r="T238" s="255"/>
      <c r="U238" s="255"/>
      <c r="V238" s="255"/>
      <c r="W238" s="255"/>
      <c r="X238" s="255"/>
      <c r="Y238" s="255"/>
      <c r="Z238" s="255"/>
      <c r="AA238" s="255"/>
      <c r="AB238" s="255"/>
    </row>
    <row r="239">
      <c r="A239" s="255"/>
      <c r="B239" s="255"/>
      <c r="C239" s="261"/>
      <c r="D239" s="262"/>
      <c r="E239" s="364"/>
      <c r="F239" s="364"/>
      <c r="G239" s="355"/>
      <c r="H239" s="255"/>
      <c r="I239" s="255"/>
      <c r="J239" s="255"/>
      <c r="K239" s="255"/>
      <c r="L239" s="255"/>
      <c r="M239" s="255"/>
      <c r="N239" s="255"/>
      <c r="O239" s="255"/>
      <c r="P239" s="255"/>
      <c r="Q239" s="255"/>
      <c r="R239" s="255"/>
      <c r="S239" s="255"/>
      <c r="T239" s="255"/>
      <c r="U239" s="255"/>
      <c r="V239" s="255"/>
      <c r="W239" s="255"/>
      <c r="X239" s="255"/>
      <c r="Y239" s="255"/>
      <c r="Z239" s="255"/>
      <c r="AA239" s="255"/>
      <c r="AB239" s="255"/>
    </row>
    <row r="240">
      <c r="A240" s="255"/>
      <c r="B240" s="255"/>
      <c r="C240" s="261"/>
      <c r="D240" s="262"/>
      <c r="E240" s="364"/>
      <c r="F240" s="364"/>
      <c r="G240" s="355"/>
      <c r="H240" s="255"/>
      <c r="I240" s="255"/>
      <c r="J240" s="255"/>
      <c r="K240" s="255"/>
      <c r="L240" s="255"/>
      <c r="M240" s="255"/>
      <c r="N240" s="255"/>
      <c r="O240" s="255"/>
      <c r="P240" s="255"/>
      <c r="Q240" s="255"/>
      <c r="R240" s="255"/>
      <c r="S240" s="255"/>
      <c r="T240" s="255"/>
      <c r="U240" s="255"/>
      <c r="V240" s="255"/>
      <c r="W240" s="255"/>
      <c r="X240" s="255"/>
      <c r="Y240" s="255"/>
      <c r="Z240" s="255"/>
      <c r="AA240" s="255"/>
      <c r="AB240" s="255"/>
    </row>
    <row r="241">
      <c r="A241" s="255"/>
      <c r="B241" s="255"/>
      <c r="C241" s="261"/>
      <c r="D241" s="262"/>
      <c r="E241" s="364"/>
      <c r="F241" s="364"/>
      <c r="G241" s="355"/>
      <c r="H241" s="255"/>
      <c r="I241" s="255"/>
      <c r="J241" s="255"/>
      <c r="K241" s="255"/>
      <c r="L241" s="255"/>
      <c r="M241" s="255"/>
      <c r="N241" s="255"/>
      <c r="O241" s="255"/>
      <c r="P241" s="255"/>
      <c r="Q241" s="255"/>
      <c r="R241" s="255"/>
      <c r="S241" s="255"/>
      <c r="T241" s="255"/>
      <c r="U241" s="255"/>
      <c r="V241" s="255"/>
      <c r="W241" s="255"/>
      <c r="X241" s="255"/>
      <c r="Y241" s="255"/>
      <c r="Z241" s="255"/>
      <c r="AA241" s="255"/>
      <c r="AB241" s="255"/>
    </row>
    <row r="242">
      <c r="A242" s="255"/>
      <c r="B242" s="255"/>
      <c r="C242" s="261"/>
      <c r="D242" s="262"/>
      <c r="E242" s="364"/>
      <c r="F242" s="364"/>
      <c r="G242" s="355"/>
      <c r="H242" s="255"/>
      <c r="I242" s="255"/>
      <c r="J242" s="255"/>
      <c r="K242" s="255"/>
      <c r="L242" s="255"/>
      <c r="M242" s="255"/>
      <c r="N242" s="255"/>
      <c r="O242" s="255"/>
      <c r="P242" s="255"/>
      <c r="Q242" s="255"/>
      <c r="R242" s="255"/>
      <c r="S242" s="255"/>
      <c r="T242" s="255"/>
      <c r="U242" s="255"/>
      <c r="V242" s="255"/>
      <c r="W242" s="255"/>
      <c r="X242" s="255"/>
      <c r="Y242" s="255"/>
      <c r="Z242" s="255"/>
      <c r="AA242" s="255"/>
      <c r="AB242" s="255"/>
    </row>
    <row r="243">
      <c r="A243" s="255"/>
      <c r="B243" s="255"/>
      <c r="C243" s="261"/>
      <c r="D243" s="262"/>
      <c r="E243" s="364"/>
      <c r="F243" s="364"/>
      <c r="G243" s="355"/>
      <c r="H243" s="255"/>
      <c r="I243" s="255"/>
      <c r="J243" s="255"/>
      <c r="K243" s="255"/>
      <c r="L243" s="255"/>
      <c r="M243" s="255"/>
      <c r="N243" s="255"/>
      <c r="O243" s="255"/>
      <c r="P243" s="255"/>
      <c r="Q243" s="255"/>
      <c r="R243" s="255"/>
      <c r="S243" s="255"/>
      <c r="T243" s="255"/>
      <c r="U243" s="255"/>
      <c r="V243" s="255"/>
      <c r="W243" s="255"/>
      <c r="X243" s="255"/>
      <c r="Y243" s="255"/>
      <c r="Z243" s="255"/>
      <c r="AA243" s="255"/>
      <c r="AB243" s="255"/>
    </row>
    <row r="244">
      <c r="A244" s="255"/>
      <c r="B244" s="255"/>
      <c r="C244" s="261"/>
      <c r="D244" s="262"/>
      <c r="E244" s="364"/>
      <c r="F244" s="364"/>
      <c r="G244" s="355"/>
      <c r="H244" s="255"/>
      <c r="I244" s="255"/>
      <c r="J244" s="255"/>
      <c r="K244" s="255"/>
      <c r="L244" s="255"/>
      <c r="M244" s="255"/>
      <c r="N244" s="255"/>
      <c r="O244" s="255"/>
      <c r="P244" s="255"/>
      <c r="Q244" s="255"/>
      <c r="R244" s="255"/>
      <c r="S244" s="255"/>
      <c r="T244" s="255"/>
      <c r="U244" s="255"/>
      <c r="V244" s="255"/>
      <c r="W244" s="255"/>
      <c r="X244" s="255"/>
      <c r="Y244" s="255"/>
      <c r="Z244" s="255"/>
      <c r="AA244" s="255"/>
      <c r="AB244" s="255"/>
    </row>
    <row r="245">
      <c r="A245" s="255"/>
      <c r="B245" s="255"/>
      <c r="C245" s="261"/>
      <c r="D245" s="262"/>
      <c r="E245" s="364"/>
      <c r="F245" s="364"/>
      <c r="G245" s="355"/>
      <c r="H245" s="255"/>
      <c r="I245" s="255"/>
      <c r="J245" s="255"/>
      <c r="K245" s="255"/>
      <c r="L245" s="255"/>
      <c r="M245" s="255"/>
      <c r="N245" s="255"/>
      <c r="O245" s="255"/>
      <c r="P245" s="255"/>
      <c r="Q245" s="255"/>
      <c r="R245" s="255"/>
      <c r="S245" s="255"/>
      <c r="T245" s="255"/>
      <c r="U245" s="255"/>
      <c r="V245" s="255"/>
      <c r="W245" s="255"/>
      <c r="X245" s="255"/>
      <c r="Y245" s="255"/>
      <c r="Z245" s="255"/>
      <c r="AA245" s="255"/>
      <c r="AB245" s="255"/>
    </row>
    <row r="246">
      <c r="A246" s="255"/>
      <c r="B246" s="255"/>
      <c r="C246" s="261"/>
      <c r="D246" s="262"/>
      <c r="E246" s="364"/>
      <c r="F246" s="364"/>
      <c r="G246" s="355"/>
      <c r="H246" s="255"/>
      <c r="I246" s="255"/>
      <c r="J246" s="255"/>
      <c r="K246" s="255"/>
      <c r="L246" s="255"/>
      <c r="M246" s="255"/>
      <c r="N246" s="255"/>
      <c r="O246" s="255"/>
      <c r="P246" s="255"/>
      <c r="Q246" s="255"/>
      <c r="R246" s="255"/>
      <c r="S246" s="255"/>
      <c r="T246" s="255"/>
      <c r="U246" s="255"/>
      <c r="V246" s="255"/>
      <c r="W246" s="255"/>
      <c r="X246" s="255"/>
      <c r="Y246" s="255"/>
      <c r="Z246" s="255"/>
      <c r="AA246" s="255"/>
      <c r="AB246" s="255"/>
    </row>
    <row r="247">
      <c r="A247" s="255"/>
      <c r="B247" s="255"/>
      <c r="C247" s="261"/>
      <c r="D247" s="262"/>
      <c r="E247" s="364"/>
      <c r="F247" s="364"/>
      <c r="G247" s="355"/>
      <c r="H247" s="255"/>
      <c r="I247" s="255"/>
      <c r="J247" s="255"/>
      <c r="K247" s="255"/>
      <c r="L247" s="255"/>
      <c r="M247" s="255"/>
      <c r="N247" s="255"/>
      <c r="O247" s="255"/>
      <c r="P247" s="255"/>
      <c r="Q247" s="255"/>
      <c r="R247" s="255"/>
      <c r="S247" s="255"/>
      <c r="T247" s="255"/>
      <c r="U247" s="255"/>
      <c r="V247" s="255"/>
      <c r="W247" s="255"/>
      <c r="X247" s="255"/>
      <c r="Y247" s="255"/>
      <c r="Z247" s="255"/>
      <c r="AA247" s="255"/>
      <c r="AB247" s="255"/>
    </row>
    <row r="248">
      <c r="A248" s="255"/>
      <c r="B248" s="255"/>
      <c r="C248" s="261"/>
      <c r="D248" s="262"/>
      <c r="E248" s="364"/>
      <c r="F248" s="364"/>
      <c r="G248" s="355"/>
      <c r="H248" s="255"/>
      <c r="I248" s="255"/>
      <c r="J248" s="255"/>
      <c r="K248" s="255"/>
      <c r="L248" s="255"/>
      <c r="M248" s="255"/>
      <c r="N248" s="255"/>
      <c r="O248" s="255"/>
      <c r="P248" s="255"/>
      <c r="Q248" s="255"/>
      <c r="R248" s="255"/>
      <c r="S248" s="255"/>
      <c r="T248" s="255"/>
      <c r="U248" s="255"/>
      <c r="V248" s="255"/>
      <c r="W248" s="255"/>
      <c r="X248" s="255"/>
      <c r="Y248" s="255"/>
      <c r="Z248" s="255"/>
      <c r="AA248" s="255"/>
      <c r="AB248" s="255"/>
    </row>
    <row r="249">
      <c r="A249" s="255"/>
      <c r="B249" s="255"/>
      <c r="C249" s="261"/>
      <c r="D249" s="262"/>
      <c r="E249" s="364"/>
      <c r="F249" s="364"/>
      <c r="G249" s="355"/>
      <c r="H249" s="255"/>
      <c r="I249" s="255"/>
      <c r="J249" s="255"/>
      <c r="K249" s="255"/>
      <c r="L249" s="255"/>
      <c r="M249" s="255"/>
      <c r="N249" s="255"/>
      <c r="O249" s="255"/>
      <c r="P249" s="255"/>
      <c r="Q249" s="255"/>
      <c r="R249" s="255"/>
      <c r="S249" s="255"/>
      <c r="T249" s="255"/>
      <c r="U249" s="255"/>
      <c r="V249" s="255"/>
      <c r="W249" s="255"/>
      <c r="X249" s="255"/>
      <c r="Y249" s="255"/>
      <c r="Z249" s="255"/>
      <c r="AA249" s="255"/>
      <c r="AB249" s="255"/>
    </row>
    <row r="250">
      <c r="A250" s="255"/>
      <c r="B250" s="255"/>
      <c r="C250" s="261"/>
      <c r="D250" s="262"/>
      <c r="E250" s="364"/>
      <c r="F250" s="364"/>
      <c r="G250" s="355"/>
      <c r="H250" s="255"/>
      <c r="I250" s="255"/>
      <c r="J250" s="255"/>
      <c r="K250" s="255"/>
      <c r="L250" s="255"/>
      <c r="M250" s="255"/>
      <c r="N250" s="255"/>
      <c r="O250" s="255"/>
      <c r="P250" s="255"/>
      <c r="Q250" s="255"/>
      <c r="R250" s="255"/>
      <c r="S250" s="255"/>
      <c r="T250" s="255"/>
      <c r="U250" s="255"/>
      <c r="V250" s="255"/>
      <c r="W250" s="255"/>
      <c r="X250" s="255"/>
      <c r="Y250" s="255"/>
      <c r="Z250" s="255"/>
      <c r="AA250" s="255"/>
      <c r="AB250" s="255"/>
    </row>
    <row r="251">
      <c r="A251" s="255"/>
      <c r="B251" s="255"/>
      <c r="C251" s="261"/>
      <c r="D251" s="262"/>
      <c r="E251" s="364"/>
      <c r="F251" s="364"/>
      <c r="G251" s="355"/>
      <c r="H251" s="255"/>
      <c r="I251" s="255"/>
      <c r="J251" s="255"/>
      <c r="K251" s="255"/>
      <c r="L251" s="255"/>
      <c r="M251" s="255"/>
      <c r="N251" s="255"/>
      <c r="O251" s="255"/>
      <c r="P251" s="255"/>
      <c r="Q251" s="255"/>
      <c r="R251" s="255"/>
      <c r="S251" s="255"/>
      <c r="T251" s="255"/>
      <c r="U251" s="255"/>
      <c r="V251" s="255"/>
      <c r="W251" s="255"/>
      <c r="X251" s="255"/>
      <c r="Y251" s="255"/>
      <c r="Z251" s="255"/>
      <c r="AA251" s="255"/>
      <c r="AB251" s="255"/>
    </row>
    <row r="252">
      <c r="A252" s="255"/>
      <c r="B252" s="255"/>
      <c r="C252" s="261"/>
      <c r="D252" s="262"/>
      <c r="E252" s="364"/>
      <c r="F252" s="364"/>
      <c r="G252" s="355"/>
      <c r="H252" s="255"/>
      <c r="I252" s="255"/>
      <c r="J252" s="255"/>
      <c r="K252" s="255"/>
      <c r="L252" s="255"/>
      <c r="M252" s="255"/>
      <c r="N252" s="255"/>
      <c r="O252" s="255"/>
      <c r="P252" s="255"/>
      <c r="Q252" s="255"/>
      <c r="R252" s="255"/>
      <c r="S252" s="255"/>
      <c r="T252" s="255"/>
      <c r="U252" s="255"/>
      <c r="V252" s="255"/>
      <c r="W252" s="255"/>
      <c r="X252" s="255"/>
      <c r="Y252" s="255"/>
      <c r="Z252" s="255"/>
      <c r="AA252" s="255"/>
      <c r="AB252" s="255"/>
    </row>
    <row r="253">
      <c r="A253" s="255"/>
      <c r="B253" s="255"/>
      <c r="C253" s="261"/>
      <c r="D253" s="262"/>
      <c r="E253" s="364"/>
      <c r="F253" s="364"/>
      <c r="G253" s="355"/>
      <c r="H253" s="255"/>
      <c r="I253" s="255"/>
      <c r="J253" s="255"/>
      <c r="K253" s="255"/>
      <c r="L253" s="255"/>
      <c r="M253" s="255"/>
      <c r="N253" s="255"/>
      <c r="O253" s="255"/>
      <c r="P253" s="255"/>
      <c r="Q253" s="255"/>
      <c r="R253" s="255"/>
      <c r="S253" s="255"/>
      <c r="T253" s="255"/>
      <c r="U253" s="255"/>
      <c r="V253" s="255"/>
      <c r="W253" s="255"/>
      <c r="X253" s="255"/>
      <c r="Y253" s="255"/>
      <c r="Z253" s="255"/>
      <c r="AA253" s="255"/>
      <c r="AB253" s="255"/>
    </row>
    <row r="254">
      <c r="A254" s="255"/>
      <c r="B254" s="255"/>
      <c r="C254" s="261"/>
      <c r="D254" s="262"/>
      <c r="E254" s="364"/>
      <c r="F254" s="364"/>
      <c r="G254" s="355"/>
      <c r="H254" s="255"/>
      <c r="I254" s="255"/>
      <c r="J254" s="255"/>
      <c r="K254" s="255"/>
      <c r="L254" s="255"/>
      <c r="M254" s="255"/>
      <c r="N254" s="255"/>
      <c r="O254" s="255"/>
      <c r="P254" s="255"/>
      <c r="Q254" s="255"/>
      <c r="R254" s="255"/>
      <c r="S254" s="255"/>
      <c r="T254" s="255"/>
      <c r="U254" s="255"/>
      <c r="V254" s="255"/>
      <c r="W254" s="255"/>
      <c r="X254" s="255"/>
      <c r="Y254" s="255"/>
      <c r="Z254" s="255"/>
      <c r="AA254" s="255"/>
      <c r="AB254" s="255"/>
    </row>
    <row r="255">
      <c r="A255" s="255"/>
      <c r="B255" s="255"/>
      <c r="C255" s="261"/>
      <c r="D255" s="262"/>
      <c r="E255" s="364"/>
      <c r="F255" s="364"/>
      <c r="G255" s="355"/>
      <c r="H255" s="255"/>
      <c r="I255" s="255"/>
      <c r="J255" s="255"/>
      <c r="K255" s="255"/>
      <c r="L255" s="255"/>
      <c r="M255" s="255"/>
      <c r="N255" s="255"/>
      <c r="O255" s="255"/>
      <c r="P255" s="255"/>
      <c r="Q255" s="255"/>
      <c r="R255" s="255"/>
      <c r="S255" s="255"/>
      <c r="T255" s="255"/>
      <c r="U255" s="255"/>
      <c r="V255" s="255"/>
      <c r="W255" s="255"/>
      <c r="X255" s="255"/>
      <c r="Y255" s="255"/>
      <c r="Z255" s="255"/>
      <c r="AA255" s="255"/>
      <c r="AB255" s="255"/>
    </row>
    <row r="256">
      <c r="A256" s="255"/>
      <c r="B256" s="255"/>
      <c r="C256" s="261"/>
      <c r="D256" s="262"/>
      <c r="E256" s="364"/>
      <c r="F256" s="364"/>
      <c r="G256" s="355"/>
      <c r="H256" s="255"/>
      <c r="I256" s="255"/>
      <c r="J256" s="255"/>
      <c r="K256" s="255"/>
      <c r="L256" s="255"/>
      <c r="M256" s="255"/>
      <c r="N256" s="255"/>
      <c r="O256" s="255"/>
      <c r="P256" s="255"/>
      <c r="Q256" s="255"/>
      <c r="R256" s="255"/>
      <c r="S256" s="255"/>
      <c r="T256" s="255"/>
      <c r="U256" s="255"/>
      <c r="V256" s="255"/>
      <c r="W256" s="255"/>
      <c r="X256" s="255"/>
      <c r="Y256" s="255"/>
      <c r="Z256" s="255"/>
      <c r="AA256" s="255"/>
      <c r="AB256" s="255"/>
    </row>
    <row r="257">
      <c r="A257" s="255"/>
      <c r="B257" s="255"/>
      <c r="C257" s="261"/>
      <c r="D257" s="262"/>
      <c r="E257" s="364"/>
      <c r="F257" s="364"/>
      <c r="G257" s="355"/>
      <c r="H257" s="255"/>
      <c r="I257" s="255"/>
      <c r="J257" s="255"/>
      <c r="K257" s="255"/>
      <c r="L257" s="255"/>
      <c r="M257" s="255"/>
      <c r="N257" s="255"/>
      <c r="O257" s="255"/>
      <c r="P257" s="255"/>
      <c r="Q257" s="255"/>
      <c r="R257" s="255"/>
      <c r="S257" s="255"/>
      <c r="T257" s="255"/>
      <c r="U257" s="255"/>
      <c r="V257" s="255"/>
      <c r="W257" s="255"/>
      <c r="X257" s="255"/>
      <c r="Y257" s="255"/>
      <c r="Z257" s="255"/>
      <c r="AA257" s="255"/>
      <c r="AB257" s="255"/>
    </row>
    <row r="258">
      <c r="A258" s="255"/>
      <c r="B258" s="255"/>
      <c r="C258" s="261"/>
      <c r="D258" s="262"/>
      <c r="E258" s="364"/>
      <c r="F258" s="364"/>
      <c r="G258" s="355"/>
      <c r="H258" s="255"/>
      <c r="I258" s="255"/>
      <c r="J258" s="255"/>
      <c r="K258" s="255"/>
      <c r="L258" s="255"/>
      <c r="M258" s="255"/>
      <c r="N258" s="255"/>
      <c r="O258" s="255"/>
      <c r="P258" s="255"/>
      <c r="Q258" s="255"/>
      <c r="R258" s="255"/>
      <c r="S258" s="255"/>
      <c r="T258" s="255"/>
      <c r="U258" s="255"/>
      <c r="V258" s="255"/>
      <c r="W258" s="255"/>
      <c r="X258" s="255"/>
      <c r="Y258" s="255"/>
      <c r="Z258" s="255"/>
      <c r="AA258" s="255"/>
      <c r="AB258" s="255"/>
    </row>
    <row r="259">
      <c r="A259" s="255"/>
      <c r="B259" s="255"/>
      <c r="C259" s="261"/>
      <c r="D259" s="262"/>
      <c r="E259" s="364"/>
      <c r="F259" s="364"/>
      <c r="G259" s="355"/>
      <c r="H259" s="255"/>
      <c r="I259" s="255"/>
      <c r="J259" s="255"/>
      <c r="K259" s="255"/>
      <c r="L259" s="255"/>
      <c r="M259" s="255"/>
      <c r="N259" s="255"/>
      <c r="O259" s="255"/>
      <c r="P259" s="255"/>
      <c r="Q259" s="255"/>
      <c r="R259" s="255"/>
      <c r="S259" s="255"/>
      <c r="T259" s="255"/>
      <c r="U259" s="255"/>
      <c r="V259" s="255"/>
      <c r="W259" s="255"/>
      <c r="X259" s="255"/>
      <c r="Y259" s="255"/>
      <c r="Z259" s="255"/>
      <c r="AA259" s="255"/>
      <c r="AB259" s="255"/>
    </row>
    <row r="260">
      <c r="A260" s="255"/>
      <c r="B260" s="255"/>
      <c r="C260" s="261"/>
      <c r="D260" s="262"/>
      <c r="E260" s="364"/>
      <c r="F260" s="364"/>
      <c r="G260" s="355"/>
      <c r="H260" s="255"/>
      <c r="I260" s="255"/>
      <c r="J260" s="255"/>
      <c r="K260" s="255"/>
      <c r="L260" s="255"/>
      <c r="M260" s="255"/>
      <c r="N260" s="255"/>
      <c r="O260" s="255"/>
      <c r="P260" s="255"/>
      <c r="Q260" s="255"/>
      <c r="R260" s="255"/>
      <c r="S260" s="255"/>
      <c r="T260" s="255"/>
      <c r="U260" s="255"/>
      <c r="V260" s="255"/>
      <c r="W260" s="255"/>
      <c r="X260" s="255"/>
      <c r="Y260" s="255"/>
      <c r="Z260" s="255"/>
      <c r="AA260" s="255"/>
      <c r="AB260" s="255"/>
    </row>
    <row r="261">
      <c r="A261" s="255"/>
      <c r="B261" s="255"/>
      <c r="C261" s="261"/>
      <c r="D261" s="262"/>
      <c r="E261" s="364"/>
      <c r="F261" s="364"/>
      <c r="G261" s="355"/>
      <c r="H261" s="255"/>
      <c r="I261" s="255"/>
      <c r="J261" s="255"/>
      <c r="K261" s="255"/>
      <c r="L261" s="255"/>
      <c r="M261" s="255"/>
      <c r="N261" s="255"/>
      <c r="O261" s="255"/>
      <c r="P261" s="255"/>
      <c r="Q261" s="255"/>
      <c r="R261" s="255"/>
      <c r="S261" s="255"/>
      <c r="T261" s="255"/>
      <c r="U261" s="255"/>
      <c r="V261" s="255"/>
      <c r="W261" s="255"/>
      <c r="X261" s="255"/>
      <c r="Y261" s="255"/>
      <c r="Z261" s="255"/>
      <c r="AA261" s="255"/>
      <c r="AB261" s="255"/>
    </row>
    <row r="262">
      <c r="A262" s="255"/>
      <c r="B262" s="255"/>
      <c r="C262" s="261"/>
      <c r="D262" s="262"/>
      <c r="E262" s="364"/>
      <c r="F262" s="364"/>
      <c r="G262" s="355"/>
      <c r="H262" s="255"/>
      <c r="I262" s="255"/>
      <c r="J262" s="255"/>
      <c r="K262" s="255"/>
      <c r="L262" s="255"/>
      <c r="M262" s="255"/>
      <c r="N262" s="255"/>
      <c r="O262" s="255"/>
      <c r="P262" s="255"/>
      <c r="Q262" s="255"/>
      <c r="R262" s="255"/>
      <c r="S262" s="255"/>
      <c r="T262" s="255"/>
      <c r="U262" s="255"/>
      <c r="V262" s="255"/>
      <c r="W262" s="255"/>
      <c r="X262" s="255"/>
      <c r="Y262" s="255"/>
      <c r="Z262" s="255"/>
      <c r="AA262" s="255"/>
      <c r="AB262" s="255"/>
    </row>
    <row r="263">
      <c r="A263" s="255"/>
      <c r="B263" s="255"/>
      <c r="C263" s="261"/>
      <c r="D263" s="262"/>
      <c r="E263" s="364"/>
      <c r="F263" s="364"/>
      <c r="G263" s="355"/>
      <c r="H263" s="255"/>
      <c r="I263" s="255"/>
      <c r="J263" s="255"/>
      <c r="K263" s="255"/>
      <c r="L263" s="255"/>
      <c r="M263" s="255"/>
      <c r="N263" s="255"/>
      <c r="O263" s="255"/>
      <c r="P263" s="255"/>
      <c r="Q263" s="255"/>
      <c r="R263" s="255"/>
      <c r="S263" s="255"/>
      <c r="T263" s="255"/>
      <c r="U263" s="255"/>
      <c r="V263" s="255"/>
      <c r="W263" s="255"/>
      <c r="X263" s="255"/>
      <c r="Y263" s="255"/>
      <c r="Z263" s="255"/>
      <c r="AA263" s="255"/>
      <c r="AB263" s="255"/>
    </row>
    <row r="264">
      <c r="A264" s="255"/>
      <c r="B264" s="255"/>
      <c r="C264" s="261"/>
      <c r="D264" s="262"/>
      <c r="E264" s="364"/>
      <c r="F264" s="364"/>
      <c r="G264" s="355"/>
      <c r="H264" s="255"/>
      <c r="I264" s="255"/>
      <c r="J264" s="255"/>
      <c r="K264" s="255"/>
      <c r="L264" s="255"/>
      <c r="M264" s="255"/>
      <c r="N264" s="255"/>
      <c r="O264" s="255"/>
      <c r="P264" s="255"/>
      <c r="Q264" s="255"/>
      <c r="R264" s="255"/>
      <c r="S264" s="255"/>
      <c r="T264" s="255"/>
      <c r="U264" s="255"/>
      <c r="V264" s="255"/>
      <c r="W264" s="255"/>
      <c r="X264" s="255"/>
      <c r="Y264" s="255"/>
      <c r="Z264" s="255"/>
      <c r="AA264" s="255"/>
      <c r="AB264" s="255"/>
    </row>
    <row r="265">
      <c r="A265" s="255"/>
      <c r="B265" s="255"/>
      <c r="C265" s="261"/>
      <c r="D265" s="262"/>
      <c r="E265" s="364"/>
      <c r="F265" s="364"/>
      <c r="G265" s="355"/>
      <c r="H265" s="255"/>
      <c r="I265" s="255"/>
      <c r="J265" s="255"/>
      <c r="K265" s="255"/>
      <c r="L265" s="255"/>
      <c r="M265" s="255"/>
      <c r="N265" s="255"/>
      <c r="O265" s="255"/>
      <c r="P265" s="255"/>
      <c r="Q265" s="255"/>
      <c r="R265" s="255"/>
      <c r="S265" s="255"/>
      <c r="T265" s="255"/>
      <c r="U265" s="255"/>
      <c r="V265" s="255"/>
      <c r="W265" s="255"/>
      <c r="X265" s="255"/>
      <c r="Y265" s="255"/>
      <c r="Z265" s="255"/>
      <c r="AA265" s="255"/>
      <c r="AB265" s="255"/>
    </row>
    <row r="266">
      <c r="A266" s="255"/>
      <c r="B266" s="255"/>
      <c r="C266" s="261"/>
      <c r="D266" s="262"/>
      <c r="E266" s="364"/>
      <c r="F266" s="364"/>
      <c r="G266" s="355"/>
      <c r="H266" s="255"/>
      <c r="I266" s="255"/>
      <c r="J266" s="255"/>
      <c r="K266" s="255"/>
      <c r="L266" s="255"/>
      <c r="M266" s="255"/>
      <c r="N266" s="255"/>
      <c r="O266" s="255"/>
      <c r="P266" s="255"/>
      <c r="Q266" s="255"/>
      <c r="R266" s="255"/>
      <c r="S266" s="255"/>
      <c r="T266" s="255"/>
      <c r="U266" s="255"/>
      <c r="V266" s="255"/>
      <c r="W266" s="255"/>
      <c r="X266" s="255"/>
      <c r="Y266" s="255"/>
      <c r="Z266" s="255"/>
      <c r="AA266" s="255"/>
      <c r="AB266" s="255"/>
    </row>
    <row r="267">
      <c r="A267" s="255"/>
      <c r="B267" s="255"/>
      <c r="C267" s="261"/>
      <c r="D267" s="262"/>
      <c r="E267" s="364"/>
      <c r="F267" s="364"/>
      <c r="G267" s="355"/>
      <c r="H267" s="255"/>
      <c r="I267" s="255"/>
      <c r="J267" s="255"/>
      <c r="K267" s="255"/>
      <c r="L267" s="255"/>
      <c r="M267" s="255"/>
      <c r="N267" s="255"/>
      <c r="O267" s="255"/>
      <c r="P267" s="255"/>
      <c r="Q267" s="255"/>
      <c r="R267" s="255"/>
      <c r="S267" s="255"/>
      <c r="T267" s="255"/>
      <c r="U267" s="255"/>
      <c r="V267" s="255"/>
      <c r="W267" s="255"/>
      <c r="X267" s="255"/>
      <c r="Y267" s="255"/>
      <c r="Z267" s="255"/>
      <c r="AA267" s="255"/>
      <c r="AB267" s="255"/>
    </row>
    <row r="268">
      <c r="A268" s="255"/>
      <c r="B268" s="255"/>
      <c r="C268" s="261"/>
      <c r="D268" s="262"/>
      <c r="E268" s="364"/>
      <c r="F268" s="364"/>
      <c r="G268" s="355"/>
      <c r="H268" s="255"/>
      <c r="I268" s="255"/>
      <c r="J268" s="255"/>
      <c r="K268" s="255"/>
      <c r="L268" s="255"/>
      <c r="M268" s="255"/>
      <c r="N268" s="255"/>
      <c r="O268" s="255"/>
      <c r="P268" s="255"/>
      <c r="Q268" s="255"/>
      <c r="R268" s="255"/>
      <c r="S268" s="255"/>
      <c r="T268" s="255"/>
      <c r="U268" s="255"/>
      <c r="V268" s="255"/>
      <c r="W268" s="255"/>
      <c r="X268" s="255"/>
      <c r="Y268" s="255"/>
      <c r="Z268" s="255"/>
      <c r="AA268" s="255"/>
      <c r="AB268" s="255"/>
    </row>
    <row r="269">
      <c r="A269" s="255"/>
      <c r="B269" s="255"/>
      <c r="C269" s="261"/>
      <c r="D269" s="262"/>
      <c r="E269" s="364"/>
      <c r="F269" s="364"/>
      <c r="G269" s="355"/>
      <c r="H269" s="255"/>
      <c r="I269" s="255"/>
      <c r="J269" s="255"/>
      <c r="K269" s="255"/>
      <c r="L269" s="255"/>
      <c r="M269" s="255"/>
      <c r="N269" s="255"/>
      <c r="O269" s="255"/>
      <c r="P269" s="255"/>
      <c r="Q269" s="255"/>
      <c r="R269" s="255"/>
      <c r="S269" s="255"/>
      <c r="T269" s="255"/>
      <c r="U269" s="255"/>
      <c r="V269" s="255"/>
      <c r="W269" s="255"/>
      <c r="X269" s="255"/>
      <c r="Y269" s="255"/>
      <c r="Z269" s="255"/>
      <c r="AA269" s="255"/>
      <c r="AB269" s="255"/>
    </row>
    <row r="270">
      <c r="A270" s="255"/>
      <c r="B270" s="255"/>
      <c r="C270" s="261"/>
      <c r="D270" s="262"/>
      <c r="E270" s="364"/>
      <c r="F270" s="364"/>
      <c r="G270" s="355"/>
      <c r="H270" s="255"/>
      <c r="I270" s="255"/>
      <c r="J270" s="255"/>
      <c r="K270" s="255"/>
      <c r="L270" s="255"/>
      <c r="M270" s="255"/>
      <c r="N270" s="255"/>
      <c r="O270" s="255"/>
      <c r="P270" s="255"/>
      <c r="Q270" s="255"/>
      <c r="R270" s="255"/>
      <c r="S270" s="255"/>
      <c r="T270" s="255"/>
      <c r="U270" s="255"/>
      <c r="V270" s="255"/>
      <c r="W270" s="255"/>
      <c r="X270" s="255"/>
      <c r="Y270" s="255"/>
      <c r="Z270" s="255"/>
      <c r="AA270" s="255"/>
      <c r="AB270" s="255"/>
    </row>
    <row r="271">
      <c r="A271" s="255"/>
      <c r="B271" s="255"/>
      <c r="C271" s="261"/>
      <c r="D271" s="262"/>
      <c r="E271" s="364"/>
      <c r="F271" s="364"/>
      <c r="G271" s="355"/>
      <c r="H271" s="255"/>
      <c r="I271" s="255"/>
      <c r="J271" s="255"/>
      <c r="K271" s="255"/>
      <c r="L271" s="255"/>
      <c r="M271" s="255"/>
      <c r="N271" s="255"/>
      <c r="O271" s="255"/>
      <c r="P271" s="255"/>
      <c r="Q271" s="255"/>
      <c r="R271" s="255"/>
      <c r="S271" s="255"/>
      <c r="T271" s="255"/>
      <c r="U271" s="255"/>
      <c r="V271" s="255"/>
      <c r="W271" s="255"/>
      <c r="X271" s="255"/>
      <c r="Y271" s="255"/>
      <c r="Z271" s="255"/>
      <c r="AA271" s="255"/>
      <c r="AB271" s="255"/>
    </row>
    <row r="272">
      <c r="A272" s="255"/>
      <c r="B272" s="255"/>
      <c r="C272" s="261"/>
      <c r="D272" s="262"/>
      <c r="E272" s="364"/>
      <c r="F272" s="364"/>
      <c r="G272" s="355"/>
      <c r="H272" s="255"/>
      <c r="I272" s="255"/>
      <c r="J272" s="255"/>
      <c r="K272" s="255"/>
      <c r="L272" s="255"/>
      <c r="M272" s="255"/>
      <c r="N272" s="255"/>
      <c r="O272" s="255"/>
      <c r="P272" s="255"/>
      <c r="Q272" s="255"/>
      <c r="R272" s="255"/>
      <c r="S272" s="255"/>
      <c r="T272" s="255"/>
      <c r="U272" s="255"/>
      <c r="V272" s="255"/>
      <c r="W272" s="255"/>
      <c r="X272" s="255"/>
      <c r="Y272" s="255"/>
      <c r="Z272" s="255"/>
      <c r="AA272" s="255"/>
      <c r="AB272" s="255"/>
    </row>
    <row r="273">
      <c r="A273" s="255"/>
      <c r="B273" s="255"/>
      <c r="C273" s="261"/>
      <c r="D273" s="262"/>
      <c r="E273" s="364"/>
      <c r="F273" s="364"/>
      <c r="G273" s="355"/>
      <c r="H273" s="255"/>
      <c r="I273" s="255"/>
      <c r="J273" s="255"/>
      <c r="K273" s="255"/>
      <c r="L273" s="255"/>
      <c r="M273" s="255"/>
      <c r="N273" s="255"/>
      <c r="O273" s="255"/>
      <c r="P273" s="255"/>
      <c r="Q273" s="255"/>
      <c r="R273" s="255"/>
      <c r="S273" s="255"/>
      <c r="T273" s="255"/>
      <c r="U273" s="255"/>
      <c r="V273" s="255"/>
      <c r="W273" s="255"/>
      <c r="X273" s="255"/>
      <c r="Y273" s="255"/>
      <c r="Z273" s="255"/>
      <c r="AA273" s="255"/>
      <c r="AB273" s="255"/>
    </row>
    <row r="274">
      <c r="A274" s="255"/>
      <c r="B274" s="255"/>
      <c r="C274" s="261"/>
      <c r="D274" s="262"/>
      <c r="E274" s="364"/>
      <c r="F274" s="364"/>
      <c r="G274" s="355"/>
      <c r="H274" s="255"/>
      <c r="I274" s="255"/>
      <c r="J274" s="255"/>
      <c r="K274" s="255"/>
      <c r="L274" s="255"/>
      <c r="M274" s="255"/>
      <c r="N274" s="255"/>
      <c r="O274" s="255"/>
      <c r="P274" s="255"/>
      <c r="Q274" s="255"/>
      <c r="R274" s="255"/>
      <c r="S274" s="255"/>
      <c r="T274" s="255"/>
      <c r="U274" s="255"/>
      <c r="V274" s="255"/>
      <c r="W274" s="255"/>
      <c r="X274" s="255"/>
      <c r="Y274" s="255"/>
      <c r="Z274" s="255"/>
      <c r="AA274" s="255"/>
      <c r="AB274" s="255"/>
    </row>
    <row r="275">
      <c r="A275" s="255"/>
      <c r="B275" s="255"/>
      <c r="C275" s="261"/>
      <c r="D275" s="262"/>
      <c r="E275" s="364"/>
      <c r="F275" s="364"/>
      <c r="G275" s="355"/>
      <c r="H275" s="255"/>
      <c r="I275" s="255"/>
      <c r="J275" s="255"/>
      <c r="K275" s="255"/>
      <c r="L275" s="255"/>
      <c r="M275" s="255"/>
      <c r="N275" s="255"/>
      <c r="O275" s="255"/>
      <c r="P275" s="255"/>
      <c r="Q275" s="255"/>
      <c r="R275" s="255"/>
      <c r="S275" s="255"/>
      <c r="T275" s="255"/>
      <c r="U275" s="255"/>
      <c r="V275" s="255"/>
      <c r="W275" s="255"/>
      <c r="X275" s="255"/>
      <c r="Y275" s="255"/>
      <c r="Z275" s="255"/>
      <c r="AA275" s="255"/>
      <c r="AB275" s="255"/>
    </row>
    <row r="276">
      <c r="A276" s="255"/>
      <c r="B276" s="255"/>
      <c r="C276" s="261"/>
      <c r="D276" s="262"/>
      <c r="E276" s="364"/>
      <c r="F276" s="364"/>
      <c r="G276" s="355"/>
      <c r="H276" s="255"/>
      <c r="I276" s="255"/>
      <c r="J276" s="255"/>
      <c r="K276" s="255"/>
      <c r="L276" s="255"/>
      <c r="M276" s="255"/>
      <c r="N276" s="255"/>
      <c r="O276" s="255"/>
      <c r="P276" s="255"/>
      <c r="Q276" s="255"/>
      <c r="R276" s="255"/>
      <c r="S276" s="255"/>
      <c r="T276" s="255"/>
      <c r="U276" s="255"/>
      <c r="V276" s="255"/>
      <c r="W276" s="255"/>
      <c r="X276" s="255"/>
      <c r="Y276" s="255"/>
      <c r="Z276" s="255"/>
      <c r="AA276" s="255"/>
      <c r="AB276" s="255"/>
    </row>
    <row r="277">
      <c r="A277" s="255"/>
      <c r="B277" s="255"/>
      <c r="C277" s="261"/>
      <c r="D277" s="262"/>
      <c r="E277" s="364"/>
      <c r="F277" s="364"/>
      <c r="G277" s="355"/>
      <c r="H277" s="255"/>
      <c r="I277" s="255"/>
      <c r="J277" s="255"/>
      <c r="K277" s="255"/>
      <c r="L277" s="255"/>
      <c r="M277" s="255"/>
      <c r="N277" s="255"/>
      <c r="O277" s="255"/>
      <c r="P277" s="255"/>
      <c r="Q277" s="255"/>
      <c r="R277" s="255"/>
      <c r="S277" s="255"/>
      <c r="T277" s="255"/>
      <c r="U277" s="255"/>
      <c r="V277" s="255"/>
      <c r="W277" s="255"/>
      <c r="X277" s="255"/>
      <c r="Y277" s="255"/>
      <c r="Z277" s="255"/>
      <c r="AA277" s="255"/>
      <c r="AB277" s="255"/>
    </row>
    <row r="278">
      <c r="A278" s="255"/>
      <c r="B278" s="255"/>
      <c r="C278" s="261"/>
      <c r="D278" s="262"/>
      <c r="E278" s="364"/>
      <c r="F278" s="364"/>
      <c r="G278" s="355"/>
      <c r="H278" s="255"/>
      <c r="I278" s="255"/>
      <c r="J278" s="255"/>
      <c r="K278" s="255"/>
      <c r="L278" s="255"/>
      <c r="M278" s="255"/>
      <c r="N278" s="255"/>
      <c r="O278" s="255"/>
      <c r="P278" s="255"/>
      <c r="Q278" s="255"/>
      <c r="R278" s="255"/>
      <c r="S278" s="255"/>
      <c r="T278" s="255"/>
      <c r="U278" s="255"/>
      <c r="V278" s="255"/>
      <c r="W278" s="255"/>
      <c r="X278" s="255"/>
      <c r="Y278" s="255"/>
      <c r="Z278" s="255"/>
      <c r="AA278" s="255"/>
      <c r="AB278" s="255"/>
    </row>
    <row r="279">
      <c r="A279" s="255"/>
      <c r="B279" s="255"/>
      <c r="C279" s="261"/>
      <c r="D279" s="262"/>
      <c r="E279" s="364"/>
      <c r="F279" s="364"/>
      <c r="G279" s="355"/>
      <c r="H279" s="255"/>
      <c r="I279" s="255"/>
      <c r="J279" s="255"/>
      <c r="K279" s="255"/>
      <c r="L279" s="255"/>
      <c r="M279" s="255"/>
      <c r="N279" s="255"/>
      <c r="O279" s="255"/>
      <c r="P279" s="255"/>
      <c r="Q279" s="255"/>
      <c r="R279" s="255"/>
      <c r="S279" s="255"/>
      <c r="T279" s="255"/>
      <c r="U279" s="255"/>
      <c r="V279" s="255"/>
      <c r="W279" s="255"/>
      <c r="X279" s="255"/>
      <c r="Y279" s="255"/>
      <c r="Z279" s="255"/>
      <c r="AA279" s="255"/>
      <c r="AB279" s="255"/>
    </row>
    <row r="280">
      <c r="A280" s="255"/>
      <c r="B280" s="255"/>
      <c r="C280" s="261"/>
      <c r="D280" s="262"/>
      <c r="E280" s="364"/>
      <c r="F280" s="364"/>
      <c r="G280" s="355"/>
      <c r="H280" s="255"/>
      <c r="I280" s="255"/>
      <c r="J280" s="255"/>
      <c r="K280" s="255"/>
      <c r="L280" s="255"/>
      <c r="M280" s="255"/>
      <c r="N280" s="255"/>
      <c r="O280" s="255"/>
      <c r="P280" s="255"/>
      <c r="Q280" s="255"/>
      <c r="R280" s="255"/>
      <c r="S280" s="255"/>
      <c r="T280" s="255"/>
      <c r="U280" s="255"/>
      <c r="V280" s="255"/>
      <c r="W280" s="255"/>
      <c r="X280" s="255"/>
      <c r="Y280" s="255"/>
      <c r="Z280" s="255"/>
      <c r="AA280" s="255"/>
      <c r="AB280" s="255"/>
    </row>
    <row r="281">
      <c r="A281" s="255"/>
      <c r="B281" s="255"/>
      <c r="C281" s="261"/>
      <c r="D281" s="262"/>
      <c r="E281" s="364"/>
      <c r="F281" s="364"/>
      <c r="G281" s="355"/>
      <c r="H281" s="255"/>
      <c r="I281" s="255"/>
      <c r="J281" s="255"/>
      <c r="K281" s="255"/>
      <c r="L281" s="255"/>
      <c r="M281" s="255"/>
      <c r="N281" s="255"/>
      <c r="O281" s="255"/>
      <c r="P281" s="255"/>
      <c r="Q281" s="255"/>
      <c r="R281" s="255"/>
      <c r="S281" s="255"/>
      <c r="T281" s="255"/>
      <c r="U281" s="255"/>
      <c r="V281" s="255"/>
      <c r="W281" s="255"/>
      <c r="X281" s="255"/>
      <c r="Y281" s="255"/>
      <c r="Z281" s="255"/>
      <c r="AA281" s="255"/>
      <c r="AB281" s="255"/>
    </row>
    <row r="282">
      <c r="A282" s="255"/>
      <c r="B282" s="255"/>
      <c r="C282" s="261"/>
      <c r="D282" s="262"/>
      <c r="E282" s="364"/>
      <c r="F282" s="364"/>
      <c r="G282" s="355"/>
      <c r="H282" s="255"/>
      <c r="I282" s="255"/>
      <c r="J282" s="255"/>
      <c r="K282" s="255"/>
      <c r="L282" s="255"/>
      <c r="M282" s="255"/>
      <c r="N282" s="255"/>
      <c r="O282" s="255"/>
      <c r="P282" s="255"/>
      <c r="Q282" s="255"/>
      <c r="R282" s="255"/>
      <c r="S282" s="255"/>
      <c r="T282" s="255"/>
      <c r="U282" s="255"/>
      <c r="V282" s="255"/>
      <c r="W282" s="255"/>
      <c r="X282" s="255"/>
      <c r="Y282" s="255"/>
      <c r="Z282" s="255"/>
      <c r="AA282" s="255"/>
      <c r="AB282" s="255"/>
    </row>
    <row r="283">
      <c r="A283" s="255"/>
      <c r="B283" s="255"/>
      <c r="C283" s="261"/>
      <c r="D283" s="262"/>
      <c r="E283" s="364"/>
      <c r="F283" s="364"/>
      <c r="G283" s="355"/>
      <c r="H283" s="255"/>
      <c r="I283" s="255"/>
      <c r="J283" s="255"/>
      <c r="K283" s="255"/>
      <c r="L283" s="255"/>
      <c r="M283" s="255"/>
      <c r="N283" s="255"/>
      <c r="O283" s="255"/>
      <c r="P283" s="255"/>
      <c r="Q283" s="255"/>
      <c r="R283" s="255"/>
      <c r="S283" s="255"/>
      <c r="T283" s="255"/>
      <c r="U283" s="255"/>
      <c r="V283" s="255"/>
      <c r="W283" s="255"/>
      <c r="X283" s="255"/>
      <c r="Y283" s="255"/>
      <c r="Z283" s="255"/>
      <c r="AA283" s="255"/>
      <c r="AB283" s="255"/>
    </row>
    <row r="284">
      <c r="A284" s="255"/>
      <c r="B284" s="255"/>
      <c r="C284" s="261"/>
      <c r="D284" s="262"/>
      <c r="E284" s="364"/>
      <c r="F284" s="364"/>
      <c r="G284" s="355"/>
      <c r="H284" s="255"/>
      <c r="I284" s="255"/>
      <c r="J284" s="255"/>
      <c r="K284" s="255"/>
      <c r="L284" s="255"/>
      <c r="M284" s="255"/>
      <c r="N284" s="255"/>
      <c r="O284" s="255"/>
      <c r="P284" s="255"/>
      <c r="Q284" s="255"/>
      <c r="R284" s="255"/>
      <c r="S284" s="255"/>
      <c r="T284" s="255"/>
      <c r="U284" s="255"/>
      <c r="V284" s="255"/>
      <c r="W284" s="255"/>
      <c r="X284" s="255"/>
      <c r="Y284" s="255"/>
      <c r="Z284" s="255"/>
      <c r="AA284" s="255"/>
      <c r="AB284" s="255"/>
    </row>
    <row r="285">
      <c r="A285" s="255"/>
      <c r="B285" s="255"/>
      <c r="C285" s="261"/>
      <c r="D285" s="262"/>
      <c r="E285" s="364"/>
      <c r="F285" s="364"/>
      <c r="G285" s="355"/>
      <c r="H285" s="255"/>
      <c r="I285" s="255"/>
      <c r="J285" s="255"/>
      <c r="K285" s="255"/>
      <c r="L285" s="255"/>
      <c r="M285" s="255"/>
      <c r="N285" s="255"/>
      <c r="O285" s="255"/>
      <c r="P285" s="255"/>
      <c r="Q285" s="255"/>
      <c r="R285" s="255"/>
      <c r="S285" s="255"/>
      <c r="T285" s="255"/>
      <c r="U285" s="255"/>
      <c r="V285" s="255"/>
      <c r="W285" s="255"/>
      <c r="X285" s="255"/>
      <c r="Y285" s="255"/>
      <c r="Z285" s="255"/>
      <c r="AA285" s="255"/>
      <c r="AB285" s="255"/>
    </row>
    <row r="286">
      <c r="A286" s="255"/>
      <c r="B286" s="255"/>
      <c r="C286" s="261"/>
      <c r="D286" s="262"/>
      <c r="E286" s="364"/>
      <c r="F286" s="364"/>
      <c r="G286" s="355"/>
      <c r="H286" s="255"/>
      <c r="I286" s="255"/>
      <c r="J286" s="255"/>
      <c r="K286" s="255"/>
      <c r="L286" s="255"/>
      <c r="M286" s="255"/>
      <c r="N286" s="255"/>
      <c r="O286" s="255"/>
      <c r="P286" s="255"/>
      <c r="Q286" s="255"/>
      <c r="R286" s="255"/>
      <c r="S286" s="255"/>
      <c r="T286" s="255"/>
      <c r="U286" s="255"/>
      <c r="V286" s="255"/>
      <c r="W286" s="255"/>
      <c r="X286" s="255"/>
      <c r="Y286" s="255"/>
      <c r="Z286" s="255"/>
      <c r="AA286" s="255"/>
      <c r="AB286" s="255"/>
    </row>
    <row r="287">
      <c r="A287" s="255"/>
      <c r="B287" s="255"/>
      <c r="C287" s="261"/>
      <c r="D287" s="262"/>
      <c r="E287" s="364"/>
      <c r="F287" s="364"/>
      <c r="G287" s="355"/>
      <c r="H287" s="255"/>
      <c r="I287" s="255"/>
      <c r="J287" s="255"/>
      <c r="K287" s="255"/>
      <c r="L287" s="255"/>
      <c r="M287" s="255"/>
      <c r="N287" s="255"/>
      <c r="O287" s="255"/>
      <c r="P287" s="255"/>
      <c r="Q287" s="255"/>
      <c r="R287" s="255"/>
      <c r="S287" s="255"/>
      <c r="T287" s="255"/>
      <c r="U287" s="255"/>
      <c r="V287" s="255"/>
      <c r="W287" s="255"/>
      <c r="X287" s="255"/>
      <c r="Y287" s="255"/>
      <c r="Z287" s="255"/>
      <c r="AA287" s="255"/>
      <c r="AB287" s="255"/>
    </row>
    <row r="288">
      <c r="A288" s="255"/>
      <c r="B288" s="255"/>
      <c r="C288" s="261"/>
      <c r="D288" s="262"/>
      <c r="E288" s="364"/>
      <c r="F288" s="364"/>
      <c r="G288" s="355"/>
      <c r="H288" s="255"/>
      <c r="I288" s="255"/>
      <c r="J288" s="255"/>
      <c r="K288" s="255"/>
      <c r="L288" s="255"/>
      <c r="M288" s="255"/>
      <c r="N288" s="255"/>
      <c r="O288" s="255"/>
      <c r="P288" s="255"/>
      <c r="Q288" s="255"/>
      <c r="R288" s="255"/>
      <c r="S288" s="255"/>
      <c r="T288" s="255"/>
      <c r="U288" s="255"/>
      <c r="V288" s="255"/>
      <c r="W288" s="255"/>
      <c r="X288" s="255"/>
      <c r="Y288" s="255"/>
      <c r="Z288" s="255"/>
      <c r="AA288" s="255"/>
      <c r="AB288" s="255"/>
    </row>
    <row r="289">
      <c r="A289" s="255"/>
      <c r="B289" s="255"/>
      <c r="C289" s="261"/>
      <c r="D289" s="262"/>
      <c r="E289" s="364"/>
      <c r="F289" s="364"/>
      <c r="G289" s="355"/>
      <c r="H289" s="255"/>
      <c r="I289" s="255"/>
      <c r="J289" s="255"/>
      <c r="K289" s="255"/>
      <c r="L289" s="255"/>
      <c r="M289" s="255"/>
      <c r="N289" s="255"/>
      <c r="O289" s="255"/>
      <c r="P289" s="255"/>
      <c r="Q289" s="255"/>
      <c r="R289" s="255"/>
      <c r="S289" s="255"/>
      <c r="T289" s="255"/>
      <c r="U289" s="255"/>
      <c r="V289" s="255"/>
      <c r="W289" s="255"/>
      <c r="X289" s="255"/>
      <c r="Y289" s="255"/>
      <c r="Z289" s="255"/>
      <c r="AA289" s="255"/>
      <c r="AB289" s="255"/>
    </row>
    <row r="290">
      <c r="A290" s="255"/>
      <c r="B290" s="255"/>
      <c r="C290" s="261"/>
      <c r="D290" s="262"/>
      <c r="E290" s="364"/>
      <c r="F290" s="364"/>
      <c r="G290" s="355"/>
      <c r="H290" s="255"/>
      <c r="I290" s="255"/>
      <c r="J290" s="255"/>
      <c r="K290" s="255"/>
      <c r="L290" s="255"/>
      <c r="M290" s="255"/>
      <c r="N290" s="255"/>
      <c r="O290" s="255"/>
      <c r="P290" s="255"/>
      <c r="Q290" s="255"/>
      <c r="R290" s="255"/>
      <c r="S290" s="255"/>
      <c r="T290" s="255"/>
      <c r="U290" s="255"/>
      <c r="V290" s="255"/>
      <c r="W290" s="255"/>
      <c r="X290" s="255"/>
      <c r="Y290" s="255"/>
      <c r="Z290" s="255"/>
      <c r="AA290" s="255"/>
      <c r="AB290" s="255"/>
    </row>
    <row r="291">
      <c r="A291" s="255"/>
      <c r="B291" s="255"/>
      <c r="C291" s="261"/>
      <c r="D291" s="262"/>
      <c r="E291" s="364"/>
      <c r="F291" s="364"/>
      <c r="G291" s="355"/>
      <c r="H291" s="255"/>
      <c r="I291" s="255"/>
      <c r="J291" s="255"/>
      <c r="K291" s="255"/>
      <c r="L291" s="255"/>
      <c r="M291" s="255"/>
      <c r="N291" s="255"/>
      <c r="O291" s="255"/>
      <c r="P291" s="255"/>
      <c r="Q291" s="255"/>
      <c r="R291" s="255"/>
      <c r="S291" s="255"/>
      <c r="T291" s="255"/>
      <c r="U291" s="255"/>
      <c r="V291" s="255"/>
      <c r="W291" s="255"/>
      <c r="X291" s="255"/>
      <c r="Y291" s="255"/>
      <c r="Z291" s="255"/>
      <c r="AA291" s="255"/>
      <c r="AB291" s="255"/>
    </row>
    <row r="292">
      <c r="A292" s="255"/>
      <c r="B292" s="255"/>
      <c r="C292" s="261"/>
      <c r="D292" s="262"/>
      <c r="E292" s="364"/>
      <c r="F292" s="364"/>
      <c r="G292" s="355"/>
      <c r="H292" s="255"/>
      <c r="I292" s="255"/>
      <c r="J292" s="255"/>
      <c r="K292" s="255"/>
      <c r="L292" s="255"/>
      <c r="M292" s="255"/>
      <c r="N292" s="255"/>
      <c r="O292" s="255"/>
      <c r="P292" s="255"/>
      <c r="Q292" s="255"/>
      <c r="R292" s="255"/>
      <c r="S292" s="255"/>
      <c r="T292" s="255"/>
      <c r="U292" s="255"/>
      <c r="V292" s="255"/>
      <c r="W292" s="255"/>
      <c r="X292" s="255"/>
      <c r="Y292" s="255"/>
      <c r="Z292" s="255"/>
      <c r="AA292" s="255"/>
      <c r="AB292" s="255"/>
    </row>
    <row r="293">
      <c r="A293" s="255"/>
      <c r="B293" s="255"/>
      <c r="C293" s="261"/>
      <c r="D293" s="262"/>
      <c r="E293" s="364"/>
      <c r="F293" s="364"/>
      <c r="G293" s="355"/>
      <c r="H293" s="255"/>
      <c r="I293" s="255"/>
      <c r="J293" s="255"/>
      <c r="K293" s="255"/>
      <c r="L293" s="255"/>
      <c r="M293" s="255"/>
      <c r="N293" s="255"/>
      <c r="O293" s="255"/>
      <c r="P293" s="255"/>
      <c r="Q293" s="255"/>
      <c r="R293" s="255"/>
      <c r="S293" s="255"/>
      <c r="T293" s="255"/>
      <c r="U293" s="255"/>
      <c r="V293" s="255"/>
      <c r="W293" s="255"/>
      <c r="X293" s="255"/>
      <c r="Y293" s="255"/>
      <c r="Z293" s="255"/>
      <c r="AA293" s="255"/>
      <c r="AB293" s="255"/>
    </row>
    <row r="294">
      <c r="A294" s="255"/>
      <c r="B294" s="255"/>
      <c r="C294" s="261"/>
      <c r="D294" s="262"/>
      <c r="E294" s="364"/>
      <c r="F294" s="364"/>
      <c r="G294" s="355"/>
      <c r="H294" s="255"/>
      <c r="I294" s="255"/>
      <c r="J294" s="255"/>
      <c r="K294" s="255"/>
      <c r="L294" s="255"/>
      <c r="M294" s="255"/>
      <c r="N294" s="255"/>
      <c r="O294" s="255"/>
      <c r="P294" s="255"/>
      <c r="Q294" s="255"/>
      <c r="R294" s="255"/>
      <c r="S294" s="255"/>
      <c r="T294" s="255"/>
      <c r="U294" s="255"/>
      <c r="V294" s="255"/>
      <c r="W294" s="255"/>
      <c r="X294" s="255"/>
      <c r="Y294" s="255"/>
      <c r="Z294" s="255"/>
      <c r="AA294" s="255"/>
      <c r="AB294" s="255"/>
    </row>
    <row r="295">
      <c r="A295" s="255"/>
      <c r="B295" s="255"/>
      <c r="C295" s="261"/>
      <c r="D295" s="262"/>
      <c r="E295" s="364"/>
      <c r="F295" s="364"/>
      <c r="G295" s="355"/>
      <c r="H295" s="255"/>
      <c r="I295" s="255"/>
      <c r="J295" s="255"/>
      <c r="K295" s="255"/>
      <c r="L295" s="255"/>
      <c r="M295" s="255"/>
      <c r="N295" s="255"/>
      <c r="O295" s="255"/>
      <c r="P295" s="255"/>
      <c r="Q295" s="255"/>
      <c r="R295" s="255"/>
      <c r="S295" s="255"/>
      <c r="T295" s="255"/>
      <c r="U295" s="255"/>
      <c r="V295" s="255"/>
      <c r="W295" s="255"/>
      <c r="X295" s="255"/>
      <c r="Y295" s="255"/>
      <c r="Z295" s="255"/>
      <c r="AA295" s="255"/>
      <c r="AB295" s="255"/>
    </row>
    <row r="296">
      <c r="A296" s="255"/>
      <c r="B296" s="255"/>
      <c r="C296" s="261"/>
      <c r="D296" s="262"/>
      <c r="E296" s="364"/>
      <c r="F296" s="364"/>
      <c r="G296" s="355"/>
      <c r="H296" s="255"/>
      <c r="I296" s="255"/>
      <c r="J296" s="255"/>
      <c r="K296" s="255"/>
      <c r="L296" s="255"/>
      <c r="M296" s="255"/>
      <c r="N296" s="255"/>
      <c r="O296" s="255"/>
      <c r="P296" s="255"/>
      <c r="Q296" s="255"/>
      <c r="R296" s="255"/>
      <c r="S296" s="255"/>
      <c r="T296" s="255"/>
      <c r="U296" s="255"/>
      <c r="V296" s="255"/>
      <c r="W296" s="255"/>
      <c r="X296" s="255"/>
      <c r="Y296" s="255"/>
      <c r="Z296" s="255"/>
      <c r="AA296" s="255"/>
      <c r="AB296" s="255"/>
    </row>
    <row r="297">
      <c r="A297" s="255"/>
      <c r="B297" s="255"/>
      <c r="C297" s="261"/>
      <c r="D297" s="262"/>
      <c r="E297" s="364"/>
      <c r="F297" s="364"/>
      <c r="G297" s="355"/>
      <c r="H297" s="255"/>
      <c r="I297" s="255"/>
      <c r="J297" s="255"/>
      <c r="K297" s="255"/>
      <c r="L297" s="255"/>
      <c r="M297" s="255"/>
      <c r="N297" s="255"/>
      <c r="O297" s="255"/>
      <c r="P297" s="255"/>
      <c r="Q297" s="255"/>
      <c r="R297" s="255"/>
      <c r="S297" s="255"/>
      <c r="T297" s="255"/>
      <c r="U297" s="255"/>
      <c r="V297" s="255"/>
      <c r="W297" s="255"/>
      <c r="X297" s="255"/>
      <c r="Y297" s="255"/>
      <c r="Z297" s="255"/>
      <c r="AA297" s="255"/>
      <c r="AB297" s="255"/>
    </row>
    <row r="298">
      <c r="A298" s="255"/>
      <c r="B298" s="255"/>
      <c r="C298" s="261"/>
      <c r="D298" s="262"/>
      <c r="E298" s="364"/>
      <c r="F298" s="364"/>
      <c r="G298" s="355"/>
      <c r="H298" s="255"/>
      <c r="I298" s="255"/>
      <c r="J298" s="255"/>
      <c r="K298" s="255"/>
      <c r="L298" s="255"/>
      <c r="M298" s="255"/>
      <c r="N298" s="255"/>
      <c r="O298" s="255"/>
      <c r="P298" s="255"/>
      <c r="Q298" s="255"/>
      <c r="R298" s="255"/>
      <c r="S298" s="255"/>
      <c r="T298" s="255"/>
      <c r="U298" s="255"/>
      <c r="V298" s="255"/>
      <c r="W298" s="255"/>
      <c r="X298" s="255"/>
      <c r="Y298" s="255"/>
      <c r="Z298" s="255"/>
      <c r="AA298" s="255"/>
      <c r="AB298" s="255"/>
    </row>
    <row r="299">
      <c r="A299" s="255"/>
      <c r="B299" s="255"/>
      <c r="C299" s="261"/>
      <c r="D299" s="262"/>
      <c r="E299" s="364"/>
      <c r="F299" s="364"/>
      <c r="G299" s="355"/>
      <c r="H299" s="255"/>
      <c r="I299" s="255"/>
      <c r="J299" s="255"/>
      <c r="K299" s="255"/>
      <c r="L299" s="255"/>
      <c r="M299" s="255"/>
      <c r="N299" s="255"/>
      <c r="O299" s="255"/>
      <c r="P299" s="255"/>
      <c r="Q299" s="255"/>
      <c r="R299" s="255"/>
      <c r="S299" s="255"/>
      <c r="T299" s="255"/>
      <c r="U299" s="255"/>
      <c r="V299" s="255"/>
      <c r="W299" s="255"/>
      <c r="X299" s="255"/>
      <c r="Y299" s="255"/>
      <c r="Z299" s="255"/>
      <c r="AA299" s="255"/>
      <c r="AB299" s="255"/>
    </row>
    <row r="300">
      <c r="A300" s="255"/>
      <c r="B300" s="255"/>
      <c r="C300" s="261"/>
      <c r="D300" s="262"/>
      <c r="E300" s="364"/>
      <c r="F300" s="364"/>
      <c r="G300" s="355"/>
      <c r="H300" s="255"/>
      <c r="I300" s="255"/>
      <c r="J300" s="255"/>
      <c r="K300" s="255"/>
      <c r="L300" s="255"/>
      <c r="M300" s="255"/>
      <c r="N300" s="255"/>
      <c r="O300" s="255"/>
      <c r="P300" s="255"/>
      <c r="Q300" s="255"/>
      <c r="R300" s="255"/>
      <c r="S300" s="255"/>
      <c r="T300" s="255"/>
      <c r="U300" s="255"/>
      <c r="V300" s="255"/>
      <c r="W300" s="255"/>
      <c r="X300" s="255"/>
      <c r="Y300" s="255"/>
      <c r="Z300" s="255"/>
      <c r="AA300" s="255"/>
      <c r="AB300" s="255"/>
    </row>
    <row r="301">
      <c r="A301" s="255"/>
      <c r="B301" s="255"/>
      <c r="C301" s="261"/>
      <c r="D301" s="262"/>
      <c r="E301" s="364"/>
      <c r="F301" s="364"/>
      <c r="G301" s="355"/>
      <c r="H301" s="255"/>
      <c r="I301" s="255"/>
      <c r="J301" s="255"/>
      <c r="K301" s="255"/>
      <c r="L301" s="255"/>
      <c r="M301" s="255"/>
      <c r="N301" s="255"/>
      <c r="O301" s="255"/>
      <c r="P301" s="255"/>
      <c r="Q301" s="255"/>
      <c r="R301" s="255"/>
      <c r="S301" s="255"/>
      <c r="T301" s="255"/>
      <c r="U301" s="255"/>
      <c r="V301" s="255"/>
      <c r="W301" s="255"/>
      <c r="X301" s="255"/>
      <c r="Y301" s="255"/>
      <c r="Z301" s="255"/>
      <c r="AA301" s="255"/>
      <c r="AB301" s="255"/>
    </row>
    <row r="302">
      <c r="A302" s="255"/>
      <c r="B302" s="255"/>
      <c r="C302" s="261"/>
      <c r="D302" s="262"/>
      <c r="E302" s="364"/>
      <c r="F302" s="364"/>
      <c r="G302" s="355"/>
      <c r="H302" s="255"/>
      <c r="I302" s="255"/>
      <c r="J302" s="255"/>
      <c r="K302" s="255"/>
      <c r="L302" s="255"/>
      <c r="M302" s="255"/>
      <c r="N302" s="255"/>
      <c r="O302" s="255"/>
      <c r="P302" s="255"/>
      <c r="Q302" s="255"/>
      <c r="R302" s="255"/>
      <c r="S302" s="255"/>
      <c r="T302" s="255"/>
      <c r="U302" s="255"/>
      <c r="V302" s="255"/>
      <c r="W302" s="255"/>
      <c r="X302" s="255"/>
      <c r="Y302" s="255"/>
      <c r="Z302" s="255"/>
      <c r="AA302" s="255"/>
      <c r="AB302" s="255"/>
    </row>
    <row r="303">
      <c r="A303" s="255"/>
      <c r="B303" s="255"/>
      <c r="C303" s="261"/>
      <c r="D303" s="262"/>
      <c r="E303" s="364"/>
      <c r="F303" s="364"/>
      <c r="G303" s="355"/>
      <c r="H303" s="255"/>
      <c r="I303" s="255"/>
      <c r="J303" s="255"/>
      <c r="K303" s="255"/>
      <c r="L303" s="255"/>
      <c r="M303" s="255"/>
      <c r="N303" s="255"/>
      <c r="O303" s="255"/>
      <c r="P303" s="255"/>
      <c r="Q303" s="255"/>
      <c r="R303" s="255"/>
      <c r="S303" s="255"/>
      <c r="T303" s="255"/>
      <c r="U303" s="255"/>
      <c r="V303" s="255"/>
      <c r="W303" s="255"/>
      <c r="X303" s="255"/>
      <c r="Y303" s="255"/>
      <c r="Z303" s="255"/>
      <c r="AA303" s="255"/>
      <c r="AB303" s="255"/>
    </row>
    <row r="304">
      <c r="A304" s="255"/>
      <c r="B304" s="255"/>
      <c r="C304" s="261"/>
      <c r="D304" s="262"/>
      <c r="E304" s="364"/>
      <c r="F304" s="364"/>
      <c r="G304" s="355"/>
      <c r="H304" s="255"/>
      <c r="I304" s="255"/>
      <c r="J304" s="255"/>
      <c r="K304" s="255"/>
      <c r="L304" s="255"/>
      <c r="M304" s="255"/>
      <c r="N304" s="255"/>
      <c r="O304" s="255"/>
      <c r="P304" s="255"/>
      <c r="Q304" s="255"/>
      <c r="R304" s="255"/>
      <c r="S304" s="255"/>
      <c r="T304" s="255"/>
      <c r="U304" s="255"/>
      <c r="V304" s="255"/>
      <c r="W304" s="255"/>
      <c r="X304" s="255"/>
      <c r="Y304" s="255"/>
      <c r="Z304" s="255"/>
      <c r="AA304" s="255"/>
      <c r="AB304" s="255"/>
    </row>
    <row r="305">
      <c r="A305" s="255"/>
      <c r="B305" s="255"/>
      <c r="C305" s="261"/>
      <c r="D305" s="262"/>
      <c r="E305" s="364"/>
      <c r="F305" s="364"/>
      <c r="G305" s="355"/>
      <c r="H305" s="255"/>
      <c r="I305" s="255"/>
      <c r="J305" s="255"/>
      <c r="K305" s="255"/>
      <c r="L305" s="255"/>
      <c r="M305" s="255"/>
      <c r="N305" s="255"/>
      <c r="O305" s="255"/>
      <c r="P305" s="255"/>
      <c r="Q305" s="255"/>
      <c r="R305" s="255"/>
      <c r="S305" s="255"/>
      <c r="T305" s="255"/>
      <c r="U305" s="255"/>
      <c r="V305" s="255"/>
      <c r="W305" s="255"/>
      <c r="X305" s="255"/>
      <c r="Y305" s="255"/>
      <c r="Z305" s="255"/>
      <c r="AA305" s="255"/>
      <c r="AB305" s="255"/>
    </row>
    <row r="306">
      <c r="A306" s="255"/>
      <c r="B306" s="255"/>
      <c r="C306" s="261"/>
      <c r="D306" s="262"/>
      <c r="E306" s="364"/>
      <c r="F306" s="364"/>
      <c r="G306" s="355"/>
      <c r="H306" s="255"/>
      <c r="I306" s="255"/>
      <c r="J306" s="255"/>
      <c r="K306" s="255"/>
      <c r="L306" s="255"/>
      <c r="M306" s="255"/>
      <c r="N306" s="255"/>
      <c r="O306" s="255"/>
      <c r="P306" s="255"/>
      <c r="Q306" s="255"/>
      <c r="R306" s="255"/>
      <c r="S306" s="255"/>
      <c r="T306" s="255"/>
      <c r="U306" s="255"/>
      <c r="V306" s="255"/>
      <c r="W306" s="255"/>
      <c r="X306" s="255"/>
      <c r="Y306" s="255"/>
      <c r="Z306" s="255"/>
      <c r="AA306" s="255"/>
      <c r="AB306" s="255"/>
    </row>
    <row r="307">
      <c r="A307" s="255"/>
      <c r="B307" s="255"/>
      <c r="C307" s="261"/>
      <c r="D307" s="262"/>
      <c r="E307" s="364"/>
      <c r="F307" s="364"/>
      <c r="G307" s="355"/>
      <c r="H307" s="255"/>
      <c r="I307" s="255"/>
      <c r="J307" s="255"/>
      <c r="K307" s="255"/>
      <c r="L307" s="255"/>
      <c r="M307" s="255"/>
      <c r="N307" s="255"/>
      <c r="O307" s="255"/>
      <c r="P307" s="255"/>
      <c r="Q307" s="255"/>
      <c r="R307" s="255"/>
      <c r="S307" s="255"/>
      <c r="T307" s="255"/>
      <c r="U307" s="255"/>
      <c r="V307" s="255"/>
      <c r="W307" s="255"/>
      <c r="X307" s="255"/>
      <c r="Y307" s="255"/>
      <c r="Z307" s="255"/>
      <c r="AA307" s="255"/>
      <c r="AB307" s="255"/>
    </row>
    <row r="308">
      <c r="A308" s="255"/>
      <c r="B308" s="255"/>
      <c r="C308" s="261"/>
      <c r="D308" s="262"/>
      <c r="E308" s="364"/>
      <c r="F308" s="364"/>
      <c r="G308" s="355"/>
      <c r="H308" s="255"/>
      <c r="I308" s="255"/>
      <c r="J308" s="255"/>
      <c r="K308" s="255"/>
      <c r="L308" s="255"/>
      <c r="M308" s="255"/>
      <c r="N308" s="255"/>
      <c r="O308" s="255"/>
      <c r="P308" s="255"/>
      <c r="Q308" s="255"/>
      <c r="R308" s="255"/>
      <c r="S308" s="255"/>
      <c r="T308" s="255"/>
      <c r="U308" s="255"/>
      <c r="V308" s="255"/>
      <c r="W308" s="255"/>
      <c r="X308" s="255"/>
      <c r="Y308" s="255"/>
      <c r="Z308" s="255"/>
      <c r="AA308" s="255"/>
      <c r="AB308" s="255"/>
    </row>
    <row r="309">
      <c r="A309" s="255"/>
      <c r="B309" s="255"/>
      <c r="C309" s="261"/>
      <c r="D309" s="262"/>
      <c r="E309" s="364"/>
      <c r="F309" s="364"/>
      <c r="G309" s="355"/>
      <c r="H309" s="255"/>
      <c r="I309" s="255"/>
      <c r="J309" s="255"/>
      <c r="K309" s="255"/>
      <c r="L309" s="255"/>
      <c r="M309" s="255"/>
      <c r="N309" s="255"/>
      <c r="O309" s="255"/>
      <c r="P309" s="255"/>
      <c r="Q309" s="255"/>
      <c r="R309" s="255"/>
      <c r="S309" s="255"/>
      <c r="T309" s="255"/>
      <c r="U309" s="255"/>
      <c r="V309" s="255"/>
      <c r="W309" s="255"/>
      <c r="X309" s="255"/>
      <c r="Y309" s="255"/>
      <c r="Z309" s="255"/>
      <c r="AA309" s="255"/>
      <c r="AB309" s="255"/>
    </row>
    <row r="310">
      <c r="A310" s="255"/>
      <c r="B310" s="255"/>
      <c r="C310" s="261"/>
      <c r="D310" s="262"/>
      <c r="E310" s="364"/>
      <c r="F310" s="364"/>
      <c r="G310" s="355"/>
      <c r="H310" s="255"/>
      <c r="I310" s="255"/>
      <c r="J310" s="255"/>
      <c r="K310" s="255"/>
      <c r="L310" s="255"/>
      <c r="M310" s="255"/>
      <c r="N310" s="255"/>
      <c r="O310" s="255"/>
      <c r="P310" s="255"/>
      <c r="Q310" s="255"/>
      <c r="R310" s="255"/>
      <c r="S310" s="255"/>
      <c r="T310" s="255"/>
      <c r="U310" s="255"/>
      <c r="V310" s="255"/>
      <c r="W310" s="255"/>
      <c r="X310" s="255"/>
      <c r="Y310" s="255"/>
      <c r="Z310" s="255"/>
      <c r="AA310" s="255"/>
      <c r="AB310" s="255"/>
    </row>
    <row r="311">
      <c r="A311" s="255"/>
      <c r="B311" s="255"/>
      <c r="C311" s="261"/>
      <c r="D311" s="262"/>
      <c r="E311" s="364"/>
      <c r="F311" s="364"/>
      <c r="G311" s="355"/>
      <c r="H311" s="255"/>
      <c r="I311" s="255"/>
      <c r="J311" s="255"/>
      <c r="K311" s="255"/>
      <c r="L311" s="255"/>
      <c r="M311" s="255"/>
      <c r="N311" s="255"/>
      <c r="O311" s="255"/>
      <c r="P311" s="255"/>
      <c r="Q311" s="255"/>
      <c r="R311" s="255"/>
      <c r="S311" s="255"/>
      <c r="T311" s="255"/>
      <c r="U311" s="255"/>
      <c r="V311" s="255"/>
      <c r="W311" s="255"/>
      <c r="X311" s="255"/>
      <c r="Y311" s="255"/>
      <c r="Z311" s="255"/>
      <c r="AA311" s="255"/>
      <c r="AB311" s="255"/>
    </row>
    <row r="312">
      <c r="A312" s="255"/>
      <c r="B312" s="255"/>
      <c r="C312" s="261"/>
      <c r="D312" s="262"/>
      <c r="E312" s="364"/>
      <c r="F312" s="364"/>
      <c r="G312" s="355"/>
      <c r="H312" s="255"/>
      <c r="I312" s="255"/>
      <c r="J312" s="255"/>
      <c r="K312" s="255"/>
      <c r="L312" s="255"/>
      <c r="M312" s="255"/>
      <c r="N312" s="255"/>
      <c r="O312" s="255"/>
      <c r="P312" s="255"/>
      <c r="Q312" s="255"/>
      <c r="R312" s="255"/>
      <c r="S312" s="255"/>
      <c r="T312" s="255"/>
      <c r="U312" s="255"/>
      <c r="V312" s="255"/>
      <c r="W312" s="255"/>
      <c r="X312" s="255"/>
      <c r="Y312" s="255"/>
      <c r="Z312" s="255"/>
      <c r="AA312" s="255"/>
      <c r="AB312" s="255"/>
    </row>
    <row r="313">
      <c r="A313" s="255"/>
      <c r="B313" s="255"/>
      <c r="C313" s="261"/>
      <c r="D313" s="262"/>
      <c r="E313" s="364"/>
      <c r="F313" s="364"/>
      <c r="G313" s="355"/>
      <c r="H313" s="255"/>
      <c r="I313" s="255"/>
      <c r="J313" s="255"/>
      <c r="K313" s="255"/>
      <c r="L313" s="255"/>
      <c r="M313" s="255"/>
      <c r="N313" s="255"/>
      <c r="O313" s="255"/>
      <c r="P313" s="255"/>
      <c r="Q313" s="255"/>
      <c r="R313" s="255"/>
      <c r="S313" s="255"/>
      <c r="T313" s="255"/>
      <c r="U313" s="255"/>
      <c r="V313" s="255"/>
      <c r="W313" s="255"/>
      <c r="X313" s="255"/>
      <c r="Y313" s="255"/>
      <c r="Z313" s="255"/>
      <c r="AA313" s="255"/>
      <c r="AB313" s="255"/>
    </row>
    <row r="314">
      <c r="A314" s="255"/>
      <c r="B314" s="255"/>
      <c r="C314" s="261"/>
      <c r="D314" s="262"/>
      <c r="E314" s="364"/>
      <c r="F314" s="364"/>
      <c r="G314" s="355"/>
      <c r="H314" s="255"/>
      <c r="I314" s="255"/>
      <c r="J314" s="255"/>
      <c r="K314" s="255"/>
      <c r="L314" s="255"/>
      <c r="M314" s="255"/>
      <c r="N314" s="255"/>
      <c r="O314" s="255"/>
      <c r="P314" s="255"/>
      <c r="Q314" s="255"/>
      <c r="R314" s="255"/>
      <c r="S314" s="255"/>
      <c r="T314" s="255"/>
      <c r="U314" s="255"/>
      <c r="V314" s="255"/>
      <c r="W314" s="255"/>
      <c r="X314" s="255"/>
      <c r="Y314" s="255"/>
      <c r="Z314" s="255"/>
      <c r="AA314" s="255"/>
      <c r="AB314" s="255"/>
    </row>
    <row r="315">
      <c r="A315" s="255"/>
      <c r="B315" s="255"/>
      <c r="C315" s="261"/>
      <c r="D315" s="262"/>
      <c r="E315" s="364"/>
      <c r="F315" s="364"/>
      <c r="G315" s="355"/>
      <c r="H315" s="255"/>
      <c r="I315" s="255"/>
      <c r="J315" s="255"/>
      <c r="K315" s="255"/>
      <c r="L315" s="255"/>
      <c r="M315" s="255"/>
      <c r="N315" s="255"/>
      <c r="O315" s="255"/>
      <c r="P315" s="255"/>
      <c r="Q315" s="255"/>
      <c r="R315" s="255"/>
      <c r="S315" s="255"/>
      <c r="T315" s="255"/>
      <c r="U315" s="255"/>
      <c r="V315" s="255"/>
      <c r="W315" s="255"/>
      <c r="X315" s="255"/>
      <c r="Y315" s="255"/>
      <c r="Z315" s="255"/>
      <c r="AA315" s="255"/>
      <c r="AB315" s="255"/>
    </row>
    <row r="316">
      <c r="A316" s="255"/>
      <c r="B316" s="255"/>
      <c r="C316" s="261"/>
      <c r="D316" s="262"/>
      <c r="E316" s="364"/>
      <c r="F316" s="364"/>
      <c r="G316" s="355"/>
      <c r="H316" s="255"/>
      <c r="I316" s="255"/>
      <c r="J316" s="255"/>
      <c r="K316" s="255"/>
      <c r="L316" s="255"/>
      <c r="M316" s="255"/>
      <c r="N316" s="255"/>
      <c r="O316" s="255"/>
      <c r="P316" s="255"/>
      <c r="Q316" s="255"/>
      <c r="R316" s="255"/>
      <c r="S316" s="255"/>
      <c r="T316" s="255"/>
      <c r="U316" s="255"/>
      <c r="V316" s="255"/>
      <c r="W316" s="255"/>
      <c r="X316" s="255"/>
      <c r="Y316" s="255"/>
      <c r="Z316" s="255"/>
      <c r="AA316" s="255"/>
      <c r="AB316" s="255"/>
    </row>
    <row r="317">
      <c r="A317" s="255"/>
      <c r="B317" s="255"/>
      <c r="C317" s="261"/>
      <c r="D317" s="262"/>
      <c r="E317" s="364"/>
      <c r="F317" s="364"/>
      <c r="G317" s="355"/>
      <c r="H317" s="255"/>
      <c r="I317" s="255"/>
      <c r="J317" s="255"/>
      <c r="K317" s="255"/>
      <c r="L317" s="255"/>
      <c r="M317" s="255"/>
      <c r="N317" s="255"/>
      <c r="O317" s="255"/>
      <c r="P317" s="255"/>
      <c r="Q317" s="255"/>
      <c r="R317" s="255"/>
      <c r="S317" s="255"/>
      <c r="T317" s="255"/>
      <c r="U317" s="255"/>
      <c r="V317" s="255"/>
      <c r="W317" s="255"/>
      <c r="X317" s="255"/>
      <c r="Y317" s="255"/>
      <c r="Z317" s="255"/>
      <c r="AA317" s="255"/>
      <c r="AB317" s="255"/>
    </row>
    <row r="318">
      <c r="A318" s="255"/>
      <c r="B318" s="255"/>
      <c r="C318" s="261"/>
      <c r="D318" s="262"/>
      <c r="E318" s="364"/>
      <c r="F318" s="364"/>
      <c r="G318" s="355"/>
      <c r="H318" s="255"/>
      <c r="I318" s="255"/>
      <c r="J318" s="255"/>
      <c r="K318" s="255"/>
      <c r="L318" s="255"/>
      <c r="M318" s="255"/>
      <c r="N318" s="255"/>
      <c r="O318" s="255"/>
      <c r="P318" s="255"/>
      <c r="Q318" s="255"/>
      <c r="R318" s="255"/>
      <c r="S318" s="255"/>
      <c r="T318" s="255"/>
      <c r="U318" s="255"/>
      <c r="V318" s="255"/>
      <c r="W318" s="255"/>
      <c r="X318" s="255"/>
      <c r="Y318" s="255"/>
      <c r="Z318" s="255"/>
      <c r="AA318" s="255"/>
      <c r="AB318" s="255"/>
    </row>
    <row r="319">
      <c r="A319" s="255"/>
      <c r="B319" s="255"/>
      <c r="C319" s="261"/>
      <c r="D319" s="262"/>
      <c r="E319" s="364"/>
      <c r="F319" s="364"/>
      <c r="G319" s="355"/>
      <c r="H319" s="255"/>
      <c r="I319" s="255"/>
      <c r="J319" s="255"/>
      <c r="K319" s="255"/>
      <c r="L319" s="255"/>
      <c r="M319" s="255"/>
      <c r="N319" s="255"/>
      <c r="O319" s="255"/>
      <c r="P319" s="255"/>
      <c r="Q319" s="255"/>
      <c r="R319" s="255"/>
      <c r="S319" s="255"/>
      <c r="T319" s="255"/>
      <c r="U319" s="255"/>
      <c r="V319" s="255"/>
      <c r="W319" s="255"/>
      <c r="X319" s="255"/>
      <c r="Y319" s="255"/>
      <c r="Z319" s="255"/>
      <c r="AA319" s="255"/>
      <c r="AB319" s="255"/>
    </row>
    <row r="320">
      <c r="A320" s="255"/>
      <c r="B320" s="255"/>
      <c r="C320" s="261"/>
      <c r="D320" s="262"/>
      <c r="E320" s="364"/>
      <c r="F320" s="364"/>
      <c r="G320" s="355"/>
      <c r="H320" s="255"/>
      <c r="I320" s="255"/>
      <c r="J320" s="255"/>
      <c r="K320" s="255"/>
      <c r="L320" s="255"/>
      <c r="M320" s="255"/>
      <c r="N320" s="255"/>
      <c r="O320" s="255"/>
      <c r="P320" s="255"/>
      <c r="Q320" s="255"/>
      <c r="R320" s="255"/>
      <c r="S320" s="255"/>
      <c r="T320" s="255"/>
      <c r="U320" s="255"/>
      <c r="V320" s="255"/>
      <c r="W320" s="255"/>
      <c r="X320" s="255"/>
      <c r="Y320" s="255"/>
      <c r="Z320" s="255"/>
      <c r="AA320" s="255"/>
      <c r="AB320" s="255"/>
    </row>
    <row r="321">
      <c r="A321" s="255"/>
      <c r="B321" s="255"/>
      <c r="C321" s="261"/>
      <c r="D321" s="262"/>
      <c r="E321" s="364"/>
      <c r="F321" s="364"/>
      <c r="G321" s="355"/>
      <c r="H321" s="255"/>
      <c r="I321" s="255"/>
      <c r="J321" s="255"/>
      <c r="K321" s="255"/>
      <c r="L321" s="255"/>
      <c r="M321" s="255"/>
      <c r="N321" s="255"/>
      <c r="O321" s="255"/>
      <c r="P321" s="255"/>
      <c r="Q321" s="255"/>
      <c r="R321" s="255"/>
      <c r="S321" s="255"/>
      <c r="T321" s="255"/>
      <c r="U321" s="255"/>
      <c r="V321" s="255"/>
      <c r="W321" s="255"/>
      <c r="X321" s="255"/>
      <c r="Y321" s="255"/>
      <c r="Z321" s="255"/>
      <c r="AA321" s="255"/>
      <c r="AB321" s="255"/>
    </row>
    <row r="322">
      <c r="A322" s="255"/>
      <c r="B322" s="255"/>
      <c r="C322" s="261"/>
      <c r="D322" s="262"/>
      <c r="E322" s="364"/>
      <c r="F322" s="364"/>
      <c r="G322" s="355"/>
      <c r="H322" s="255"/>
      <c r="I322" s="255"/>
      <c r="J322" s="255"/>
      <c r="K322" s="255"/>
      <c r="L322" s="255"/>
      <c r="M322" s="255"/>
      <c r="N322" s="255"/>
      <c r="O322" s="255"/>
      <c r="P322" s="255"/>
      <c r="Q322" s="255"/>
      <c r="R322" s="255"/>
      <c r="S322" s="255"/>
      <c r="T322" s="255"/>
      <c r="U322" s="255"/>
      <c r="V322" s="255"/>
      <c r="W322" s="255"/>
      <c r="X322" s="255"/>
      <c r="Y322" s="255"/>
      <c r="Z322" s="255"/>
      <c r="AA322" s="255"/>
      <c r="AB322" s="255"/>
    </row>
    <row r="323">
      <c r="A323" s="255"/>
      <c r="B323" s="255"/>
      <c r="C323" s="261"/>
      <c r="D323" s="262"/>
      <c r="E323" s="364"/>
      <c r="F323" s="364"/>
      <c r="G323" s="355"/>
      <c r="H323" s="255"/>
      <c r="I323" s="255"/>
      <c r="J323" s="255"/>
      <c r="K323" s="255"/>
      <c r="L323" s="255"/>
      <c r="M323" s="255"/>
      <c r="N323" s="255"/>
      <c r="O323" s="255"/>
      <c r="P323" s="255"/>
      <c r="Q323" s="255"/>
      <c r="R323" s="255"/>
      <c r="S323" s="255"/>
      <c r="T323" s="255"/>
      <c r="U323" s="255"/>
      <c r="V323" s="255"/>
      <c r="W323" s="255"/>
      <c r="X323" s="255"/>
      <c r="Y323" s="255"/>
      <c r="Z323" s="255"/>
      <c r="AA323" s="255"/>
      <c r="AB323" s="255"/>
    </row>
    <row r="324">
      <c r="A324" s="255"/>
      <c r="B324" s="255"/>
      <c r="C324" s="261"/>
      <c r="D324" s="262"/>
      <c r="E324" s="364"/>
      <c r="F324" s="364"/>
      <c r="G324" s="355"/>
      <c r="H324" s="255"/>
      <c r="I324" s="255"/>
      <c r="J324" s="255"/>
      <c r="K324" s="255"/>
      <c r="L324" s="255"/>
      <c r="M324" s="255"/>
      <c r="N324" s="255"/>
      <c r="O324" s="255"/>
      <c r="P324" s="255"/>
      <c r="Q324" s="255"/>
      <c r="R324" s="255"/>
      <c r="S324" s="255"/>
      <c r="T324" s="255"/>
      <c r="U324" s="255"/>
      <c r="V324" s="255"/>
      <c r="W324" s="255"/>
      <c r="X324" s="255"/>
      <c r="Y324" s="255"/>
      <c r="Z324" s="255"/>
      <c r="AA324" s="255"/>
      <c r="AB324" s="255"/>
    </row>
    <row r="325">
      <c r="A325" s="255"/>
      <c r="B325" s="255"/>
      <c r="C325" s="261"/>
      <c r="D325" s="262"/>
      <c r="E325" s="364"/>
      <c r="F325" s="364"/>
      <c r="G325" s="355"/>
      <c r="H325" s="255"/>
      <c r="I325" s="255"/>
      <c r="J325" s="255"/>
      <c r="K325" s="255"/>
      <c r="L325" s="255"/>
      <c r="M325" s="255"/>
      <c r="N325" s="255"/>
      <c r="O325" s="255"/>
      <c r="P325" s="255"/>
      <c r="Q325" s="255"/>
      <c r="R325" s="255"/>
      <c r="S325" s="255"/>
      <c r="T325" s="255"/>
      <c r="U325" s="255"/>
      <c r="V325" s="255"/>
      <c r="W325" s="255"/>
      <c r="X325" s="255"/>
      <c r="Y325" s="255"/>
      <c r="Z325" s="255"/>
      <c r="AA325" s="255"/>
      <c r="AB325" s="255"/>
    </row>
    <row r="326">
      <c r="A326" s="255"/>
      <c r="B326" s="255"/>
      <c r="C326" s="261"/>
      <c r="D326" s="262"/>
      <c r="E326" s="364"/>
      <c r="F326" s="364"/>
      <c r="G326" s="355"/>
      <c r="H326" s="255"/>
      <c r="I326" s="255"/>
      <c r="J326" s="255"/>
      <c r="K326" s="255"/>
      <c r="L326" s="255"/>
      <c r="M326" s="255"/>
      <c r="N326" s="255"/>
      <c r="O326" s="255"/>
      <c r="P326" s="255"/>
      <c r="Q326" s="255"/>
      <c r="R326" s="255"/>
      <c r="S326" s="255"/>
      <c r="T326" s="255"/>
      <c r="U326" s="255"/>
      <c r="V326" s="255"/>
      <c r="W326" s="255"/>
      <c r="X326" s="255"/>
      <c r="Y326" s="255"/>
      <c r="Z326" s="255"/>
      <c r="AA326" s="255"/>
      <c r="AB326" s="255"/>
    </row>
    <row r="327">
      <c r="A327" s="255"/>
      <c r="B327" s="255"/>
      <c r="C327" s="261"/>
      <c r="D327" s="262"/>
      <c r="E327" s="364"/>
      <c r="F327" s="364"/>
      <c r="G327" s="355"/>
      <c r="H327" s="255"/>
      <c r="I327" s="255"/>
      <c r="J327" s="255"/>
      <c r="K327" s="255"/>
      <c r="L327" s="255"/>
      <c r="M327" s="255"/>
      <c r="N327" s="255"/>
      <c r="O327" s="255"/>
      <c r="P327" s="255"/>
      <c r="Q327" s="255"/>
      <c r="R327" s="255"/>
      <c r="S327" s="255"/>
      <c r="T327" s="255"/>
      <c r="U327" s="255"/>
      <c r="V327" s="255"/>
      <c r="W327" s="255"/>
      <c r="X327" s="255"/>
      <c r="Y327" s="255"/>
      <c r="Z327" s="255"/>
      <c r="AA327" s="255"/>
      <c r="AB327" s="255"/>
    </row>
    <row r="328">
      <c r="A328" s="255"/>
      <c r="B328" s="255"/>
      <c r="C328" s="261"/>
      <c r="D328" s="262"/>
      <c r="E328" s="364"/>
      <c r="F328" s="364"/>
      <c r="G328" s="355"/>
      <c r="H328" s="255"/>
      <c r="I328" s="255"/>
      <c r="J328" s="255"/>
      <c r="K328" s="255"/>
      <c r="L328" s="255"/>
      <c r="M328" s="255"/>
      <c r="N328" s="255"/>
      <c r="O328" s="255"/>
      <c r="P328" s="255"/>
      <c r="Q328" s="255"/>
      <c r="R328" s="255"/>
      <c r="S328" s="255"/>
      <c r="T328" s="255"/>
      <c r="U328" s="255"/>
      <c r="V328" s="255"/>
      <c r="W328" s="255"/>
      <c r="X328" s="255"/>
      <c r="Y328" s="255"/>
      <c r="Z328" s="255"/>
      <c r="AA328" s="255"/>
      <c r="AB328" s="255"/>
    </row>
    <row r="329">
      <c r="A329" s="255"/>
      <c r="B329" s="255"/>
      <c r="C329" s="261"/>
      <c r="D329" s="262"/>
      <c r="E329" s="364"/>
      <c r="F329" s="364"/>
      <c r="G329" s="355"/>
      <c r="H329" s="255"/>
      <c r="I329" s="255"/>
      <c r="J329" s="255"/>
      <c r="K329" s="255"/>
      <c r="L329" s="255"/>
      <c r="M329" s="255"/>
      <c r="N329" s="255"/>
      <c r="O329" s="255"/>
      <c r="P329" s="255"/>
      <c r="Q329" s="255"/>
      <c r="R329" s="255"/>
      <c r="S329" s="255"/>
      <c r="T329" s="255"/>
      <c r="U329" s="255"/>
      <c r="V329" s="255"/>
      <c r="W329" s="255"/>
      <c r="X329" s="255"/>
      <c r="Y329" s="255"/>
      <c r="Z329" s="255"/>
      <c r="AA329" s="255"/>
      <c r="AB329" s="255"/>
    </row>
    <row r="330">
      <c r="A330" s="255"/>
      <c r="B330" s="255"/>
      <c r="C330" s="261"/>
      <c r="D330" s="262"/>
      <c r="E330" s="364"/>
      <c r="F330" s="364"/>
      <c r="G330" s="355"/>
      <c r="H330" s="255"/>
      <c r="I330" s="255"/>
      <c r="J330" s="255"/>
      <c r="K330" s="255"/>
      <c r="L330" s="255"/>
      <c r="M330" s="255"/>
      <c r="N330" s="255"/>
      <c r="O330" s="255"/>
      <c r="P330" s="255"/>
      <c r="Q330" s="255"/>
      <c r="R330" s="255"/>
      <c r="S330" s="255"/>
      <c r="T330" s="255"/>
      <c r="U330" s="255"/>
      <c r="V330" s="255"/>
      <c r="W330" s="255"/>
      <c r="X330" s="255"/>
      <c r="Y330" s="255"/>
      <c r="Z330" s="255"/>
      <c r="AA330" s="255"/>
      <c r="AB330" s="255"/>
    </row>
    <row r="331">
      <c r="A331" s="255"/>
      <c r="B331" s="255"/>
      <c r="C331" s="261"/>
      <c r="D331" s="262"/>
      <c r="E331" s="364"/>
      <c r="F331" s="364"/>
      <c r="G331" s="355"/>
      <c r="H331" s="255"/>
      <c r="I331" s="255"/>
      <c r="J331" s="255"/>
      <c r="K331" s="255"/>
      <c r="L331" s="255"/>
      <c r="M331" s="255"/>
      <c r="N331" s="255"/>
      <c r="O331" s="255"/>
      <c r="P331" s="255"/>
      <c r="Q331" s="255"/>
      <c r="R331" s="255"/>
      <c r="S331" s="255"/>
      <c r="T331" s="255"/>
      <c r="U331" s="255"/>
      <c r="V331" s="255"/>
      <c r="W331" s="255"/>
      <c r="X331" s="255"/>
      <c r="Y331" s="255"/>
      <c r="Z331" s="255"/>
      <c r="AA331" s="255"/>
      <c r="AB331" s="255"/>
    </row>
    <row r="332">
      <c r="A332" s="255"/>
      <c r="B332" s="255"/>
      <c r="C332" s="261"/>
      <c r="D332" s="262"/>
      <c r="E332" s="364"/>
      <c r="F332" s="364"/>
      <c r="G332" s="355"/>
      <c r="H332" s="255"/>
      <c r="I332" s="255"/>
      <c r="J332" s="255"/>
      <c r="K332" s="255"/>
      <c r="L332" s="255"/>
      <c r="M332" s="255"/>
      <c r="N332" s="255"/>
      <c r="O332" s="255"/>
      <c r="P332" s="255"/>
      <c r="Q332" s="255"/>
      <c r="R332" s="255"/>
      <c r="S332" s="255"/>
      <c r="T332" s="255"/>
      <c r="U332" s="255"/>
      <c r="V332" s="255"/>
      <c r="W332" s="255"/>
      <c r="X332" s="255"/>
      <c r="Y332" s="255"/>
      <c r="Z332" s="255"/>
      <c r="AA332" s="255"/>
      <c r="AB332" s="255"/>
    </row>
    <row r="333">
      <c r="A333" s="255"/>
      <c r="B333" s="255"/>
      <c r="C333" s="261"/>
      <c r="D333" s="262"/>
      <c r="E333" s="364"/>
      <c r="F333" s="364"/>
      <c r="G333" s="355"/>
      <c r="H333" s="255"/>
      <c r="I333" s="255"/>
      <c r="J333" s="255"/>
      <c r="K333" s="255"/>
      <c r="L333" s="255"/>
      <c r="M333" s="255"/>
      <c r="N333" s="255"/>
      <c r="O333" s="255"/>
      <c r="P333" s="255"/>
      <c r="Q333" s="255"/>
      <c r="R333" s="255"/>
      <c r="S333" s="255"/>
      <c r="T333" s="255"/>
      <c r="U333" s="255"/>
      <c r="V333" s="255"/>
      <c r="W333" s="255"/>
      <c r="X333" s="255"/>
      <c r="Y333" s="255"/>
      <c r="Z333" s="255"/>
      <c r="AA333" s="255"/>
      <c r="AB333" s="255"/>
    </row>
    <row r="334">
      <c r="A334" s="255"/>
      <c r="B334" s="255"/>
      <c r="C334" s="261"/>
      <c r="D334" s="262"/>
      <c r="E334" s="364"/>
      <c r="F334" s="364"/>
      <c r="G334" s="355"/>
      <c r="H334" s="255"/>
      <c r="I334" s="255"/>
      <c r="J334" s="255"/>
      <c r="K334" s="255"/>
      <c r="L334" s="255"/>
      <c r="M334" s="255"/>
      <c r="N334" s="255"/>
      <c r="O334" s="255"/>
      <c r="P334" s="255"/>
      <c r="Q334" s="255"/>
      <c r="R334" s="255"/>
      <c r="S334" s="255"/>
      <c r="T334" s="255"/>
      <c r="U334" s="255"/>
      <c r="V334" s="255"/>
      <c r="W334" s="255"/>
      <c r="X334" s="255"/>
      <c r="Y334" s="255"/>
      <c r="Z334" s="255"/>
      <c r="AA334" s="255"/>
      <c r="AB334" s="255"/>
    </row>
    <row r="335">
      <c r="A335" s="255"/>
      <c r="B335" s="255"/>
      <c r="C335" s="261"/>
      <c r="D335" s="262"/>
      <c r="E335" s="364"/>
      <c r="F335" s="364"/>
      <c r="G335" s="355"/>
      <c r="H335" s="255"/>
      <c r="I335" s="255"/>
      <c r="J335" s="255"/>
      <c r="K335" s="255"/>
      <c r="L335" s="255"/>
      <c r="M335" s="255"/>
      <c r="N335" s="255"/>
      <c r="O335" s="255"/>
      <c r="P335" s="255"/>
      <c r="Q335" s="255"/>
      <c r="R335" s="255"/>
      <c r="S335" s="255"/>
      <c r="T335" s="255"/>
      <c r="U335" s="255"/>
      <c r="V335" s="255"/>
      <c r="W335" s="255"/>
      <c r="X335" s="255"/>
      <c r="Y335" s="255"/>
      <c r="Z335" s="255"/>
      <c r="AA335" s="255"/>
      <c r="AB335" s="255"/>
    </row>
    <row r="336">
      <c r="A336" s="255"/>
      <c r="B336" s="255"/>
      <c r="C336" s="261"/>
      <c r="D336" s="262"/>
      <c r="E336" s="364"/>
      <c r="F336" s="364"/>
      <c r="G336" s="355"/>
      <c r="H336" s="255"/>
      <c r="I336" s="255"/>
      <c r="J336" s="255"/>
      <c r="K336" s="255"/>
      <c r="L336" s="255"/>
      <c r="M336" s="255"/>
      <c r="N336" s="255"/>
      <c r="O336" s="255"/>
      <c r="P336" s="255"/>
      <c r="Q336" s="255"/>
      <c r="R336" s="255"/>
      <c r="S336" s="255"/>
      <c r="T336" s="255"/>
      <c r="U336" s="255"/>
      <c r="V336" s="255"/>
      <c r="W336" s="255"/>
      <c r="X336" s="255"/>
      <c r="Y336" s="255"/>
      <c r="Z336" s="255"/>
      <c r="AA336" s="255"/>
      <c r="AB336" s="255"/>
    </row>
    <row r="337">
      <c r="A337" s="255"/>
      <c r="B337" s="255"/>
      <c r="C337" s="261"/>
      <c r="D337" s="262"/>
      <c r="E337" s="364"/>
      <c r="F337" s="364"/>
      <c r="G337" s="355"/>
      <c r="H337" s="255"/>
      <c r="I337" s="255"/>
      <c r="J337" s="255"/>
      <c r="K337" s="255"/>
      <c r="L337" s="255"/>
      <c r="M337" s="255"/>
      <c r="N337" s="255"/>
      <c r="O337" s="255"/>
      <c r="P337" s="255"/>
      <c r="Q337" s="255"/>
      <c r="R337" s="255"/>
      <c r="S337" s="255"/>
      <c r="T337" s="255"/>
      <c r="U337" s="255"/>
      <c r="V337" s="255"/>
      <c r="W337" s="255"/>
      <c r="X337" s="255"/>
      <c r="Y337" s="255"/>
      <c r="Z337" s="255"/>
      <c r="AA337" s="255"/>
      <c r="AB337" s="255"/>
    </row>
    <row r="338">
      <c r="A338" s="255"/>
      <c r="B338" s="255"/>
      <c r="C338" s="261"/>
      <c r="D338" s="262"/>
      <c r="E338" s="364"/>
      <c r="F338" s="364"/>
      <c r="G338" s="355"/>
      <c r="H338" s="255"/>
      <c r="I338" s="255"/>
      <c r="J338" s="255"/>
      <c r="K338" s="255"/>
      <c r="L338" s="255"/>
      <c r="M338" s="255"/>
      <c r="N338" s="255"/>
      <c r="O338" s="255"/>
      <c r="P338" s="255"/>
      <c r="Q338" s="255"/>
      <c r="R338" s="255"/>
      <c r="S338" s="255"/>
      <c r="T338" s="255"/>
      <c r="U338" s="255"/>
      <c r="V338" s="255"/>
      <c r="W338" s="255"/>
      <c r="X338" s="255"/>
      <c r="Y338" s="255"/>
      <c r="Z338" s="255"/>
      <c r="AA338" s="255"/>
      <c r="AB338" s="255"/>
    </row>
    <row r="339">
      <c r="A339" s="255"/>
      <c r="B339" s="255"/>
      <c r="C339" s="261"/>
      <c r="D339" s="262"/>
      <c r="E339" s="364"/>
      <c r="F339" s="364"/>
      <c r="G339" s="355"/>
      <c r="H339" s="255"/>
      <c r="I339" s="255"/>
      <c r="J339" s="255"/>
      <c r="K339" s="255"/>
      <c r="L339" s="255"/>
      <c r="M339" s="255"/>
      <c r="N339" s="255"/>
      <c r="O339" s="255"/>
      <c r="P339" s="255"/>
      <c r="Q339" s="255"/>
      <c r="R339" s="255"/>
      <c r="S339" s="255"/>
      <c r="T339" s="255"/>
      <c r="U339" s="255"/>
      <c r="V339" s="255"/>
      <c r="W339" s="255"/>
      <c r="X339" s="255"/>
      <c r="Y339" s="255"/>
      <c r="Z339" s="255"/>
      <c r="AA339" s="255"/>
      <c r="AB339" s="255"/>
    </row>
    <row r="340">
      <c r="A340" s="255"/>
      <c r="B340" s="255"/>
      <c r="C340" s="261"/>
      <c r="D340" s="262"/>
      <c r="E340" s="364"/>
      <c r="F340" s="364"/>
      <c r="G340" s="355"/>
      <c r="H340" s="255"/>
      <c r="I340" s="255"/>
      <c r="J340" s="255"/>
      <c r="K340" s="255"/>
      <c r="L340" s="255"/>
      <c r="M340" s="255"/>
      <c r="N340" s="255"/>
      <c r="O340" s="255"/>
      <c r="P340" s="255"/>
      <c r="Q340" s="255"/>
      <c r="R340" s="255"/>
      <c r="S340" s="255"/>
      <c r="T340" s="255"/>
      <c r="U340" s="255"/>
      <c r="V340" s="255"/>
      <c r="W340" s="255"/>
      <c r="X340" s="255"/>
      <c r="Y340" s="255"/>
      <c r="Z340" s="255"/>
      <c r="AA340" s="255"/>
      <c r="AB340" s="255"/>
    </row>
    <row r="341">
      <c r="A341" s="255"/>
      <c r="B341" s="255"/>
      <c r="C341" s="261"/>
      <c r="D341" s="262"/>
      <c r="E341" s="364"/>
      <c r="F341" s="364"/>
      <c r="G341" s="355"/>
      <c r="H341" s="255"/>
      <c r="I341" s="255"/>
      <c r="J341" s="255"/>
      <c r="K341" s="255"/>
      <c r="L341" s="255"/>
      <c r="M341" s="255"/>
      <c r="N341" s="255"/>
      <c r="O341" s="255"/>
      <c r="P341" s="255"/>
      <c r="Q341" s="255"/>
      <c r="R341" s="255"/>
      <c r="S341" s="255"/>
      <c r="T341" s="255"/>
      <c r="U341" s="255"/>
      <c r="V341" s="255"/>
      <c r="W341" s="255"/>
      <c r="X341" s="255"/>
      <c r="Y341" s="255"/>
      <c r="Z341" s="255"/>
      <c r="AA341" s="255"/>
      <c r="AB341" s="255"/>
    </row>
    <row r="342">
      <c r="A342" s="255"/>
      <c r="B342" s="255"/>
      <c r="C342" s="261"/>
      <c r="D342" s="262"/>
      <c r="E342" s="364"/>
      <c r="F342" s="364"/>
      <c r="G342" s="355"/>
      <c r="H342" s="255"/>
      <c r="I342" s="255"/>
      <c r="J342" s="255"/>
      <c r="K342" s="255"/>
      <c r="L342" s="255"/>
      <c r="M342" s="255"/>
      <c r="N342" s="255"/>
      <c r="O342" s="255"/>
      <c r="P342" s="255"/>
      <c r="Q342" s="255"/>
      <c r="R342" s="255"/>
      <c r="S342" s="255"/>
      <c r="T342" s="255"/>
      <c r="U342" s="255"/>
      <c r="V342" s="255"/>
      <c r="W342" s="255"/>
      <c r="X342" s="255"/>
      <c r="Y342" s="255"/>
      <c r="Z342" s="255"/>
      <c r="AA342" s="255"/>
      <c r="AB342" s="255"/>
    </row>
    <row r="343">
      <c r="A343" s="255"/>
      <c r="B343" s="255"/>
      <c r="C343" s="261"/>
      <c r="D343" s="262"/>
      <c r="E343" s="364"/>
      <c r="F343" s="364"/>
      <c r="G343" s="355"/>
      <c r="H343" s="255"/>
      <c r="I343" s="255"/>
      <c r="J343" s="255"/>
      <c r="K343" s="255"/>
      <c r="L343" s="255"/>
      <c r="M343" s="255"/>
      <c r="N343" s="255"/>
      <c r="O343" s="255"/>
      <c r="P343" s="255"/>
      <c r="Q343" s="255"/>
      <c r="R343" s="255"/>
      <c r="S343" s="255"/>
      <c r="T343" s="255"/>
      <c r="U343" s="255"/>
      <c r="V343" s="255"/>
      <c r="W343" s="255"/>
      <c r="X343" s="255"/>
      <c r="Y343" s="255"/>
      <c r="Z343" s="255"/>
      <c r="AA343" s="255"/>
      <c r="AB343" s="255"/>
    </row>
    <row r="344">
      <c r="A344" s="255"/>
      <c r="B344" s="255"/>
      <c r="C344" s="261"/>
      <c r="D344" s="262"/>
      <c r="E344" s="364"/>
      <c r="F344" s="364"/>
      <c r="G344" s="355"/>
      <c r="H344" s="255"/>
      <c r="I344" s="255"/>
      <c r="J344" s="255"/>
      <c r="K344" s="255"/>
      <c r="L344" s="255"/>
      <c r="M344" s="255"/>
      <c r="N344" s="255"/>
      <c r="O344" s="255"/>
      <c r="P344" s="255"/>
      <c r="Q344" s="255"/>
      <c r="R344" s="255"/>
      <c r="S344" s="255"/>
      <c r="T344" s="255"/>
      <c r="U344" s="255"/>
      <c r="V344" s="255"/>
      <c r="W344" s="255"/>
      <c r="X344" s="255"/>
      <c r="Y344" s="255"/>
      <c r="Z344" s="255"/>
      <c r="AA344" s="255"/>
      <c r="AB344" s="255"/>
    </row>
    <row r="345">
      <c r="A345" s="255"/>
      <c r="B345" s="255"/>
      <c r="C345" s="261"/>
      <c r="D345" s="262"/>
      <c r="E345" s="364"/>
      <c r="F345" s="364"/>
      <c r="G345" s="355"/>
      <c r="H345" s="255"/>
      <c r="I345" s="255"/>
      <c r="J345" s="255"/>
      <c r="K345" s="255"/>
      <c r="L345" s="255"/>
      <c r="M345" s="255"/>
      <c r="N345" s="255"/>
      <c r="O345" s="255"/>
      <c r="P345" s="255"/>
      <c r="Q345" s="255"/>
      <c r="R345" s="255"/>
      <c r="S345" s="255"/>
      <c r="T345" s="255"/>
      <c r="U345" s="255"/>
      <c r="V345" s="255"/>
      <c r="W345" s="255"/>
      <c r="X345" s="255"/>
      <c r="Y345" s="255"/>
      <c r="Z345" s="255"/>
      <c r="AA345" s="255"/>
      <c r="AB345" s="255"/>
    </row>
    <row r="346">
      <c r="A346" s="255"/>
      <c r="B346" s="255"/>
      <c r="C346" s="261"/>
      <c r="D346" s="262"/>
      <c r="E346" s="364"/>
      <c r="F346" s="364"/>
      <c r="G346" s="355"/>
      <c r="H346" s="255"/>
      <c r="I346" s="255"/>
      <c r="J346" s="255"/>
      <c r="K346" s="255"/>
      <c r="L346" s="255"/>
      <c r="M346" s="255"/>
      <c r="N346" s="255"/>
      <c r="O346" s="255"/>
      <c r="P346" s="255"/>
      <c r="Q346" s="255"/>
      <c r="R346" s="255"/>
      <c r="S346" s="255"/>
      <c r="T346" s="255"/>
      <c r="U346" s="255"/>
      <c r="V346" s="255"/>
      <c r="W346" s="255"/>
      <c r="X346" s="255"/>
      <c r="Y346" s="255"/>
      <c r="Z346" s="255"/>
      <c r="AA346" s="255"/>
      <c r="AB346" s="255"/>
    </row>
    <row r="347">
      <c r="A347" s="255"/>
      <c r="B347" s="255"/>
      <c r="C347" s="261"/>
      <c r="D347" s="262"/>
      <c r="E347" s="364"/>
      <c r="F347" s="364"/>
      <c r="G347" s="355"/>
      <c r="H347" s="255"/>
      <c r="I347" s="255"/>
      <c r="J347" s="255"/>
      <c r="K347" s="255"/>
      <c r="L347" s="255"/>
      <c r="M347" s="255"/>
      <c r="N347" s="255"/>
      <c r="O347" s="255"/>
      <c r="P347" s="255"/>
      <c r="Q347" s="255"/>
      <c r="R347" s="255"/>
      <c r="S347" s="255"/>
      <c r="T347" s="255"/>
      <c r="U347" s="255"/>
      <c r="V347" s="255"/>
      <c r="W347" s="255"/>
      <c r="X347" s="255"/>
      <c r="Y347" s="255"/>
      <c r="Z347" s="255"/>
      <c r="AA347" s="255"/>
      <c r="AB347" s="255"/>
    </row>
    <row r="348">
      <c r="A348" s="255"/>
      <c r="B348" s="255"/>
      <c r="C348" s="261"/>
      <c r="D348" s="262"/>
      <c r="E348" s="364"/>
      <c r="F348" s="364"/>
      <c r="G348" s="355"/>
      <c r="H348" s="255"/>
      <c r="I348" s="255"/>
      <c r="J348" s="255"/>
      <c r="K348" s="255"/>
      <c r="L348" s="255"/>
      <c r="M348" s="255"/>
      <c r="N348" s="255"/>
      <c r="O348" s="255"/>
      <c r="P348" s="255"/>
      <c r="Q348" s="255"/>
      <c r="R348" s="255"/>
      <c r="S348" s="255"/>
      <c r="T348" s="255"/>
      <c r="U348" s="255"/>
      <c r="V348" s="255"/>
      <c r="W348" s="255"/>
      <c r="X348" s="255"/>
      <c r="Y348" s="255"/>
      <c r="Z348" s="255"/>
      <c r="AA348" s="255"/>
      <c r="AB348" s="255"/>
    </row>
    <row r="349">
      <c r="A349" s="255"/>
      <c r="B349" s="255"/>
      <c r="C349" s="261"/>
      <c r="D349" s="262"/>
      <c r="E349" s="364"/>
      <c r="F349" s="364"/>
      <c r="G349" s="355"/>
      <c r="H349" s="255"/>
      <c r="I349" s="255"/>
      <c r="J349" s="255"/>
      <c r="K349" s="255"/>
      <c r="L349" s="255"/>
      <c r="M349" s="255"/>
      <c r="N349" s="255"/>
      <c r="O349" s="255"/>
      <c r="P349" s="255"/>
      <c r="Q349" s="255"/>
      <c r="R349" s="255"/>
      <c r="S349" s="255"/>
      <c r="T349" s="255"/>
      <c r="U349" s="255"/>
      <c r="V349" s="255"/>
      <c r="W349" s="255"/>
      <c r="X349" s="255"/>
      <c r="Y349" s="255"/>
      <c r="Z349" s="255"/>
      <c r="AA349" s="255"/>
      <c r="AB349" s="255"/>
    </row>
    <row r="350">
      <c r="A350" s="255"/>
      <c r="B350" s="255"/>
      <c r="C350" s="261"/>
      <c r="D350" s="262"/>
      <c r="E350" s="364"/>
      <c r="F350" s="364"/>
      <c r="G350" s="355"/>
      <c r="H350" s="255"/>
      <c r="I350" s="255"/>
      <c r="J350" s="255"/>
      <c r="K350" s="255"/>
      <c r="L350" s="255"/>
      <c r="M350" s="255"/>
      <c r="N350" s="255"/>
      <c r="O350" s="255"/>
      <c r="P350" s="255"/>
      <c r="Q350" s="255"/>
      <c r="R350" s="255"/>
      <c r="S350" s="255"/>
      <c r="T350" s="255"/>
      <c r="U350" s="255"/>
      <c r="V350" s="255"/>
      <c r="W350" s="255"/>
      <c r="X350" s="255"/>
      <c r="Y350" s="255"/>
      <c r="Z350" s="255"/>
      <c r="AA350" s="255"/>
      <c r="AB350" s="255"/>
    </row>
    <row r="351">
      <c r="A351" s="255"/>
      <c r="B351" s="255"/>
      <c r="C351" s="261"/>
      <c r="D351" s="262"/>
      <c r="E351" s="364"/>
      <c r="F351" s="364"/>
      <c r="G351" s="355"/>
      <c r="H351" s="255"/>
      <c r="I351" s="255"/>
      <c r="J351" s="255"/>
      <c r="K351" s="255"/>
      <c r="L351" s="255"/>
      <c r="M351" s="255"/>
      <c r="N351" s="255"/>
      <c r="O351" s="255"/>
      <c r="P351" s="255"/>
      <c r="Q351" s="255"/>
      <c r="R351" s="255"/>
      <c r="S351" s="255"/>
      <c r="T351" s="255"/>
      <c r="U351" s="255"/>
      <c r="V351" s="255"/>
      <c r="W351" s="255"/>
      <c r="X351" s="255"/>
      <c r="Y351" s="255"/>
      <c r="Z351" s="255"/>
      <c r="AA351" s="255"/>
      <c r="AB351" s="255"/>
    </row>
    <row r="352">
      <c r="A352" s="255"/>
      <c r="B352" s="255"/>
      <c r="C352" s="261"/>
      <c r="D352" s="262"/>
      <c r="E352" s="364"/>
      <c r="F352" s="364"/>
      <c r="G352" s="355"/>
      <c r="H352" s="255"/>
      <c r="I352" s="255"/>
      <c r="J352" s="255"/>
      <c r="K352" s="255"/>
      <c r="L352" s="255"/>
      <c r="M352" s="255"/>
      <c r="N352" s="255"/>
      <c r="O352" s="255"/>
      <c r="P352" s="255"/>
      <c r="Q352" s="255"/>
      <c r="R352" s="255"/>
      <c r="S352" s="255"/>
      <c r="T352" s="255"/>
      <c r="U352" s="255"/>
      <c r="V352" s="255"/>
      <c r="W352" s="255"/>
      <c r="X352" s="255"/>
      <c r="Y352" s="255"/>
      <c r="Z352" s="255"/>
      <c r="AA352" s="255"/>
      <c r="AB352" s="255"/>
    </row>
    <row r="353">
      <c r="A353" s="255"/>
      <c r="B353" s="255"/>
      <c r="C353" s="261"/>
      <c r="D353" s="262"/>
      <c r="E353" s="364"/>
      <c r="F353" s="364"/>
      <c r="G353" s="355"/>
      <c r="H353" s="255"/>
      <c r="I353" s="255"/>
      <c r="J353" s="255"/>
      <c r="K353" s="255"/>
      <c r="L353" s="255"/>
      <c r="M353" s="255"/>
      <c r="N353" s="255"/>
      <c r="O353" s="255"/>
      <c r="P353" s="255"/>
      <c r="Q353" s="255"/>
      <c r="R353" s="255"/>
      <c r="S353" s="255"/>
      <c r="T353" s="255"/>
      <c r="U353" s="255"/>
      <c r="V353" s="255"/>
      <c r="W353" s="255"/>
      <c r="X353" s="255"/>
      <c r="Y353" s="255"/>
      <c r="Z353" s="255"/>
      <c r="AA353" s="255"/>
      <c r="AB353" s="255"/>
    </row>
    <row r="354">
      <c r="A354" s="255"/>
      <c r="B354" s="255"/>
      <c r="C354" s="261"/>
      <c r="D354" s="262"/>
      <c r="E354" s="364"/>
      <c r="F354" s="364"/>
      <c r="G354" s="355"/>
      <c r="H354" s="255"/>
      <c r="I354" s="255"/>
      <c r="J354" s="255"/>
      <c r="K354" s="255"/>
      <c r="L354" s="255"/>
      <c r="M354" s="255"/>
      <c r="N354" s="255"/>
      <c r="O354" s="255"/>
      <c r="P354" s="255"/>
      <c r="Q354" s="255"/>
      <c r="R354" s="255"/>
      <c r="S354" s="255"/>
      <c r="T354" s="255"/>
      <c r="U354" s="255"/>
      <c r="V354" s="255"/>
      <c r="W354" s="255"/>
      <c r="X354" s="255"/>
      <c r="Y354" s="255"/>
      <c r="Z354" s="255"/>
      <c r="AA354" s="255"/>
      <c r="AB354" s="255"/>
    </row>
    <row r="355">
      <c r="A355" s="255"/>
      <c r="B355" s="255"/>
      <c r="C355" s="261"/>
      <c r="D355" s="262"/>
      <c r="E355" s="364"/>
      <c r="F355" s="364"/>
      <c r="G355" s="355"/>
      <c r="H355" s="255"/>
      <c r="I355" s="255"/>
      <c r="J355" s="255"/>
      <c r="K355" s="255"/>
      <c r="L355" s="255"/>
      <c r="M355" s="255"/>
      <c r="N355" s="255"/>
      <c r="O355" s="255"/>
      <c r="P355" s="255"/>
      <c r="Q355" s="255"/>
      <c r="R355" s="255"/>
      <c r="S355" s="255"/>
      <c r="T355" s="255"/>
      <c r="U355" s="255"/>
      <c r="V355" s="255"/>
      <c r="W355" s="255"/>
      <c r="X355" s="255"/>
      <c r="Y355" s="255"/>
      <c r="Z355" s="255"/>
      <c r="AA355" s="255"/>
      <c r="AB355" s="255"/>
    </row>
    <row r="356">
      <c r="A356" s="255"/>
      <c r="B356" s="255"/>
      <c r="C356" s="261"/>
      <c r="D356" s="262"/>
      <c r="E356" s="364"/>
      <c r="F356" s="364"/>
      <c r="G356" s="355"/>
      <c r="H356" s="255"/>
      <c r="I356" s="255"/>
      <c r="J356" s="255"/>
      <c r="K356" s="255"/>
      <c r="L356" s="255"/>
      <c r="M356" s="255"/>
      <c r="N356" s="255"/>
      <c r="O356" s="255"/>
      <c r="P356" s="255"/>
      <c r="Q356" s="255"/>
      <c r="R356" s="255"/>
      <c r="S356" s="255"/>
      <c r="T356" s="255"/>
      <c r="U356" s="255"/>
      <c r="V356" s="255"/>
      <c r="W356" s="255"/>
      <c r="X356" s="255"/>
      <c r="Y356" s="255"/>
      <c r="Z356" s="255"/>
      <c r="AA356" s="255"/>
      <c r="AB356" s="255"/>
    </row>
    <row r="357">
      <c r="A357" s="255"/>
      <c r="B357" s="255"/>
      <c r="C357" s="261"/>
      <c r="D357" s="262"/>
      <c r="E357" s="364"/>
      <c r="F357" s="364"/>
      <c r="G357" s="355"/>
      <c r="H357" s="255"/>
      <c r="I357" s="255"/>
      <c r="J357" s="255"/>
      <c r="K357" s="255"/>
      <c r="L357" s="255"/>
      <c r="M357" s="255"/>
      <c r="N357" s="255"/>
      <c r="O357" s="255"/>
      <c r="P357" s="255"/>
      <c r="Q357" s="255"/>
      <c r="R357" s="255"/>
      <c r="S357" s="255"/>
      <c r="T357" s="255"/>
      <c r="U357" s="255"/>
      <c r="V357" s="255"/>
      <c r="W357" s="255"/>
      <c r="X357" s="255"/>
      <c r="Y357" s="255"/>
      <c r="Z357" s="255"/>
      <c r="AA357" s="255"/>
      <c r="AB357" s="255"/>
    </row>
    <row r="358">
      <c r="A358" s="255"/>
      <c r="B358" s="255"/>
      <c r="C358" s="261"/>
      <c r="D358" s="262"/>
      <c r="E358" s="364"/>
      <c r="F358" s="364"/>
      <c r="G358" s="355"/>
      <c r="H358" s="255"/>
      <c r="I358" s="255"/>
      <c r="J358" s="255"/>
      <c r="K358" s="255"/>
      <c r="L358" s="255"/>
      <c r="M358" s="255"/>
      <c r="N358" s="255"/>
      <c r="O358" s="255"/>
      <c r="P358" s="255"/>
      <c r="Q358" s="255"/>
      <c r="R358" s="255"/>
      <c r="S358" s="255"/>
      <c r="T358" s="255"/>
      <c r="U358" s="255"/>
      <c r="V358" s="255"/>
      <c r="W358" s="255"/>
      <c r="X358" s="255"/>
      <c r="Y358" s="255"/>
      <c r="Z358" s="255"/>
      <c r="AA358" s="255"/>
      <c r="AB358" s="255"/>
    </row>
    <row r="359">
      <c r="A359" s="255"/>
      <c r="B359" s="255"/>
      <c r="C359" s="261"/>
      <c r="D359" s="262"/>
      <c r="E359" s="364"/>
      <c r="F359" s="364"/>
      <c r="G359" s="355"/>
      <c r="H359" s="255"/>
      <c r="I359" s="255"/>
      <c r="J359" s="255"/>
      <c r="K359" s="255"/>
      <c r="L359" s="255"/>
      <c r="M359" s="255"/>
      <c r="N359" s="255"/>
      <c r="O359" s="255"/>
      <c r="P359" s="255"/>
      <c r="Q359" s="255"/>
      <c r="R359" s="255"/>
      <c r="S359" s="255"/>
      <c r="T359" s="255"/>
      <c r="U359" s="255"/>
      <c r="V359" s="255"/>
      <c r="W359" s="255"/>
      <c r="X359" s="255"/>
      <c r="Y359" s="255"/>
      <c r="Z359" s="255"/>
      <c r="AA359" s="255"/>
      <c r="AB359" s="255"/>
    </row>
    <row r="360">
      <c r="A360" s="255"/>
      <c r="B360" s="255"/>
      <c r="C360" s="261"/>
      <c r="D360" s="262"/>
      <c r="E360" s="364"/>
      <c r="F360" s="364"/>
      <c r="G360" s="355"/>
      <c r="H360" s="255"/>
      <c r="I360" s="255"/>
      <c r="J360" s="255"/>
      <c r="K360" s="255"/>
      <c r="L360" s="255"/>
      <c r="M360" s="255"/>
      <c r="N360" s="255"/>
      <c r="O360" s="255"/>
      <c r="P360" s="255"/>
      <c r="Q360" s="255"/>
      <c r="R360" s="255"/>
      <c r="S360" s="255"/>
      <c r="T360" s="255"/>
      <c r="U360" s="255"/>
      <c r="V360" s="255"/>
      <c r="W360" s="255"/>
      <c r="X360" s="255"/>
      <c r="Y360" s="255"/>
      <c r="Z360" s="255"/>
      <c r="AA360" s="255"/>
      <c r="AB360" s="255"/>
    </row>
    <row r="361">
      <c r="A361" s="255"/>
      <c r="B361" s="255"/>
      <c r="C361" s="261"/>
      <c r="D361" s="262"/>
      <c r="E361" s="364"/>
      <c r="F361" s="364"/>
      <c r="G361" s="355"/>
      <c r="H361" s="255"/>
      <c r="I361" s="255"/>
      <c r="J361" s="255"/>
      <c r="K361" s="255"/>
      <c r="L361" s="255"/>
      <c r="M361" s="255"/>
      <c r="N361" s="255"/>
      <c r="O361" s="255"/>
      <c r="P361" s="255"/>
      <c r="Q361" s="255"/>
      <c r="R361" s="255"/>
      <c r="S361" s="255"/>
      <c r="T361" s="255"/>
      <c r="U361" s="255"/>
      <c r="V361" s="255"/>
      <c r="W361" s="255"/>
      <c r="X361" s="255"/>
      <c r="Y361" s="255"/>
      <c r="Z361" s="255"/>
      <c r="AA361" s="255"/>
      <c r="AB361" s="255"/>
    </row>
    <row r="362">
      <c r="A362" s="255"/>
      <c r="B362" s="255"/>
      <c r="C362" s="261"/>
      <c r="D362" s="262"/>
      <c r="E362" s="364"/>
      <c r="F362" s="364"/>
      <c r="G362" s="355"/>
      <c r="H362" s="255"/>
      <c r="I362" s="255"/>
      <c r="J362" s="255"/>
      <c r="K362" s="255"/>
      <c r="L362" s="255"/>
      <c r="M362" s="255"/>
      <c r="N362" s="255"/>
      <c r="O362" s="255"/>
      <c r="P362" s="255"/>
      <c r="Q362" s="255"/>
      <c r="R362" s="255"/>
      <c r="S362" s="255"/>
      <c r="T362" s="255"/>
      <c r="U362" s="255"/>
      <c r="V362" s="255"/>
      <c r="W362" s="255"/>
      <c r="X362" s="255"/>
      <c r="Y362" s="255"/>
      <c r="Z362" s="255"/>
      <c r="AA362" s="255"/>
      <c r="AB362" s="255"/>
    </row>
    <row r="363">
      <c r="A363" s="255"/>
      <c r="B363" s="255"/>
      <c r="C363" s="261"/>
      <c r="D363" s="262"/>
      <c r="E363" s="364"/>
      <c r="F363" s="364"/>
      <c r="G363" s="355"/>
      <c r="H363" s="255"/>
      <c r="I363" s="255"/>
      <c r="J363" s="255"/>
      <c r="K363" s="255"/>
      <c r="L363" s="255"/>
      <c r="M363" s="255"/>
      <c r="N363" s="255"/>
      <c r="O363" s="255"/>
      <c r="P363" s="255"/>
      <c r="Q363" s="255"/>
      <c r="R363" s="255"/>
      <c r="S363" s="255"/>
      <c r="T363" s="255"/>
      <c r="U363" s="255"/>
      <c r="V363" s="255"/>
      <c r="W363" s="255"/>
      <c r="X363" s="255"/>
      <c r="Y363" s="255"/>
      <c r="Z363" s="255"/>
      <c r="AA363" s="255"/>
      <c r="AB363" s="255"/>
    </row>
    <row r="364">
      <c r="A364" s="255"/>
      <c r="B364" s="255"/>
      <c r="C364" s="261"/>
      <c r="D364" s="262"/>
      <c r="E364" s="364"/>
      <c r="F364" s="364"/>
      <c r="G364" s="355"/>
      <c r="H364" s="255"/>
      <c r="I364" s="255"/>
      <c r="J364" s="255"/>
      <c r="K364" s="255"/>
      <c r="L364" s="255"/>
      <c r="M364" s="255"/>
      <c r="N364" s="255"/>
      <c r="O364" s="255"/>
      <c r="P364" s="255"/>
      <c r="Q364" s="255"/>
      <c r="R364" s="255"/>
      <c r="S364" s="255"/>
      <c r="T364" s="255"/>
      <c r="U364" s="255"/>
      <c r="V364" s="255"/>
      <c r="W364" s="255"/>
      <c r="X364" s="255"/>
      <c r="Y364" s="255"/>
      <c r="Z364" s="255"/>
      <c r="AA364" s="255"/>
      <c r="AB364" s="255"/>
    </row>
    <row r="365">
      <c r="A365" s="255"/>
      <c r="B365" s="255"/>
      <c r="C365" s="261"/>
      <c r="D365" s="262"/>
      <c r="E365" s="364"/>
      <c r="F365" s="364"/>
      <c r="G365" s="355"/>
      <c r="H365" s="255"/>
      <c r="I365" s="255"/>
      <c r="J365" s="255"/>
      <c r="K365" s="255"/>
      <c r="L365" s="255"/>
      <c r="M365" s="255"/>
      <c r="N365" s="255"/>
      <c r="O365" s="255"/>
      <c r="P365" s="255"/>
      <c r="Q365" s="255"/>
      <c r="R365" s="255"/>
      <c r="S365" s="255"/>
      <c r="T365" s="255"/>
      <c r="U365" s="255"/>
      <c r="V365" s="255"/>
      <c r="W365" s="255"/>
      <c r="X365" s="255"/>
      <c r="Y365" s="255"/>
      <c r="Z365" s="255"/>
      <c r="AA365" s="255"/>
      <c r="AB365" s="255"/>
    </row>
    <row r="366">
      <c r="A366" s="255"/>
      <c r="B366" s="255"/>
      <c r="C366" s="261"/>
      <c r="D366" s="262"/>
      <c r="E366" s="364"/>
      <c r="F366" s="364"/>
      <c r="G366" s="355"/>
      <c r="H366" s="255"/>
      <c r="I366" s="255"/>
      <c r="J366" s="255"/>
      <c r="K366" s="255"/>
      <c r="L366" s="255"/>
      <c r="M366" s="255"/>
      <c r="N366" s="255"/>
      <c r="O366" s="255"/>
      <c r="P366" s="255"/>
      <c r="Q366" s="255"/>
      <c r="R366" s="255"/>
      <c r="S366" s="255"/>
      <c r="T366" s="255"/>
      <c r="U366" s="255"/>
      <c r="V366" s="255"/>
      <c r="W366" s="255"/>
      <c r="X366" s="255"/>
      <c r="Y366" s="255"/>
      <c r="Z366" s="255"/>
      <c r="AA366" s="255"/>
      <c r="AB366" s="255"/>
    </row>
    <row r="367">
      <c r="A367" s="255"/>
      <c r="B367" s="255"/>
      <c r="C367" s="261"/>
      <c r="D367" s="262"/>
      <c r="E367" s="364"/>
      <c r="F367" s="364"/>
      <c r="G367" s="355"/>
      <c r="H367" s="255"/>
      <c r="I367" s="255"/>
      <c r="J367" s="255"/>
      <c r="K367" s="255"/>
      <c r="L367" s="255"/>
      <c r="M367" s="255"/>
      <c r="N367" s="255"/>
      <c r="O367" s="255"/>
      <c r="P367" s="255"/>
      <c r="Q367" s="255"/>
      <c r="R367" s="255"/>
      <c r="S367" s="255"/>
      <c r="T367" s="255"/>
      <c r="U367" s="255"/>
      <c r="V367" s="255"/>
      <c r="W367" s="255"/>
      <c r="X367" s="255"/>
      <c r="Y367" s="255"/>
      <c r="Z367" s="255"/>
      <c r="AA367" s="255"/>
      <c r="AB367" s="255"/>
    </row>
    <row r="368">
      <c r="A368" s="255"/>
      <c r="B368" s="255"/>
      <c r="C368" s="261"/>
      <c r="D368" s="262"/>
      <c r="E368" s="364"/>
      <c r="F368" s="364"/>
      <c r="G368" s="355"/>
      <c r="H368" s="255"/>
      <c r="I368" s="255"/>
      <c r="J368" s="255"/>
      <c r="K368" s="255"/>
      <c r="L368" s="255"/>
      <c r="M368" s="255"/>
      <c r="N368" s="255"/>
      <c r="O368" s="255"/>
      <c r="P368" s="255"/>
      <c r="Q368" s="255"/>
      <c r="R368" s="255"/>
      <c r="S368" s="255"/>
      <c r="T368" s="255"/>
      <c r="U368" s="255"/>
      <c r="V368" s="255"/>
      <c r="W368" s="255"/>
      <c r="X368" s="255"/>
      <c r="Y368" s="255"/>
      <c r="Z368" s="255"/>
      <c r="AA368" s="255"/>
      <c r="AB368" s="255"/>
    </row>
    <row r="369">
      <c r="A369" s="255"/>
      <c r="B369" s="255"/>
      <c r="C369" s="261"/>
      <c r="D369" s="262"/>
      <c r="E369" s="364"/>
      <c r="F369" s="364"/>
      <c r="G369" s="355"/>
      <c r="H369" s="255"/>
      <c r="I369" s="255"/>
      <c r="J369" s="255"/>
      <c r="K369" s="255"/>
      <c r="L369" s="255"/>
      <c r="M369" s="255"/>
      <c r="N369" s="255"/>
      <c r="O369" s="255"/>
      <c r="P369" s="255"/>
      <c r="Q369" s="255"/>
      <c r="R369" s="255"/>
      <c r="S369" s="255"/>
      <c r="T369" s="255"/>
      <c r="U369" s="255"/>
      <c r="V369" s="255"/>
      <c r="W369" s="255"/>
      <c r="X369" s="255"/>
      <c r="Y369" s="255"/>
      <c r="Z369" s="255"/>
      <c r="AA369" s="255"/>
      <c r="AB369" s="255"/>
    </row>
    <row r="370">
      <c r="A370" s="255"/>
      <c r="B370" s="255"/>
      <c r="C370" s="261"/>
      <c r="D370" s="262"/>
      <c r="E370" s="364"/>
      <c r="F370" s="364"/>
      <c r="G370" s="355"/>
      <c r="H370" s="255"/>
      <c r="I370" s="255"/>
      <c r="J370" s="255"/>
      <c r="K370" s="255"/>
      <c r="L370" s="255"/>
      <c r="M370" s="255"/>
      <c r="N370" s="255"/>
      <c r="O370" s="255"/>
      <c r="P370" s="255"/>
      <c r="Q370" s="255"/>
      <c r="R370" s="255"/>
      <c r="S370" s="255"/>
      <c r="T370" s="255"/>
      <c r="U370" s="255"/>
      <c r="V370" s="255"/>
      <c r="W370" s="255"/>
      <c r="X370" s="255"/>
      <c r="Y370" s="255"/>
      <c r="Z370" s="255"/>
      <c r="AA370" s="255"/>
      <c r="AB370" s="255"/>
    </row>
    <row r="371">
      <c r="A371" s="255"/>
      <c r="B371" s="255"/>
      <c r="C371" s="261"/>
      <c r="D371" s="262"/>
      <c r="E371" s="364"/>
      <c r="F371" s="364"/>
      <c r="G371" s="355"/>
      <c r="H371" s="255"/>
      <c r="I371" s="255"/>
      <c r="J371" s="255"/>
      <c r="K371" s="255"/>
      <c r="L371" s="255"/>
      <c r="M371" s="255"/>
      <c r="N371" s="255"/>
      <c r="O371" s="255"/>
      <c r="P371" s="255"/>
      <c r="Q371" s="255"/>
      <c r="R371" s="255"/>
      <c r="S371" s="255"/>
      <c r="T371" s="255"/>
      <c r="U371" s="255"/>
      <c r="V371" s="255"/>
      <c r="W371" s="255"/>
      <c r="X371" s="255"/>
      <c r="Y371" s="255"/>
      <c r="Z371" s="255"/>
      <c r="AA371" s="255"/>
      <c r="AB371" s="255"/>
    </row>
    <row r="372">
      <c r="A372" s="255"/>
      <c r="B372" s="255"/>
      <c r="C372" s="261"/>
      <c r="D372" s="262"/>
      <c r="E372" s="364"/>
      <c r="F372" s="364"/>
      <c r="G372" s="355"/>
      <c r="H372" s="255"/>
      <c r="I372" s="255"/>
      <c r="J372" s="255"/>
      <c r="K372" s="255"/>
      <c r="L372" s="255"/>
      <c r="M372" s="255"/>
      <c r="N372" s="255"/>
      <c r="O372" s="255"/>
      <c r="P372" s="255"/>
      <c r="Q372" s="255"/>
      <c r="R372" s="255"/>
      <c r="S372" s="255"/>
      <c r="T372" s="255"/>
      <c r="U372" s="255"/>
      <c r="V372" s="255"/>
      <c r="W372" s="255"/>
      <c r="X372" s="255"/>
      <c r="Y372" s="255"/>
      <c r="Z372" s="255"/>
      <c r="AA372" s="255"/>
      <c r="AB372" s="255"/>
    </row>
    <row r="373">
      <c r="A373" s="255"/>
      <c r="B373" s="255"/>
      <c r="C373" s="261"/>
      <c r="D373" s="262"/>
      <c r="E373" s="364"/>
      <c r="F373" s="364"/>
      <c r="G373" s="355"/>
      <c r="H373" s="255"/>
      <c r="I373" s="255"/>
      <c r="J373" s="255"/>
      <c r="K373" s="255"/>
      <c r="L373" s="255"/>
      <c r="M373" s="255"/>
      <c r="N373" s="255"/>
      <c r="O373" s="255"/>
      <c r="P373" s="255"/>
      <c r="Q373" s="255"/>
      <c r="R373" s="255"/>
      <c r="S373" s="255"/>
      <c r="T373" s="255"/>
      <c r="U373" s="255"/>
      <c r="V373" s="255"/>
      <c r="W373" s="255"/>
      <c r="X373" s="255"/>
      <c r="Y373" s="255"/>
      <c r="Z373" s="255"/>
      <c r="AA373" s="255"/>
      <c r="AB373" s="255"/>
    </row>
    <row r="374">
      <c r="A374" s="255"/>
      <c r="B374" s="255"/>
      <c r="C374" s="261"/>
      <c r="D374" s="262"/>
      <c r="E374" s="364"/>
      <c r="F374" s="364"/>
      <c r="G374" s="355"/>
      <c r="H374" s="255"/>
      <c r="I374" s="255"/>
      <c r="J374" s="255"/>
      <c r="K374" s="255"/>
      <c r="L374" s="255"/>
      <c r="M374" s="255"/>
      <c r="N374" s="255"/>
      <c r="O374" s="255"/>
      <c r="P374" s="255"/>
      <c r="Q374" s="255"/>
      <c r="R374" s="255"/>
      <c r="S374" s="255"/>
      <c r="T374" s="255"/>
      <c r="U374" s="255"/>
      <c r="V374" s="255"/>
      <c r="W374" s="255"/>
      <c r="X374" s="255"/>
      <c r="Y374" s="255"/>
      <c r="Z374" s="255"/>
      <c r="AA374" s="255"/>
      <c r="AB374" s="255"/>
    </row>
    <row r="375">
      <c r="A375" s="255"/>
      <c r="B375" s="255"/>
      <c r="C375" s="261"/>
      <c r="D375" s="262"/>
      <c r="E375" s="364"/>
      <c r="F375" s="364"/>
      <c r="G375" s="355"/>
      <c r="H375" s="255"/>
      <c r="I375" s="255"/>
      <c r="J375" s="255"/>
      <c r="K375" s="255"/>
      <c r="L375" s="255"/>
      <c r="M375" s="255"/>
      <c r="N375" s="255"/>
      <c r="O375" s="255"/>
      <c r="P375" s="255"/>
      <c r="Q375" s="255"/>
      <c r="R375" s="255"/>
      <c r="S375" s="255"/>
      <c r="T375" s="255"/>
      <c r="U375" s="255"/>
      <c r="V375" s="255"/>
      <c r="W375" s="255"/>
      <c r="X375" s="255"/>
      <c r="Y375" s="255"/>
      <c r="Z375" s="255"/>
      <c r="AA375" s="255"/>
      <c r="AB375" s="255"/>
    </row>
    <row r="376">
      <c r="A376" s="255"/>
      <c r="B376" s="255"/>
      <c r="C376" s="261"/>
      <c r="D376" s="262"/>
      <c r="E376" s="364"/>
      <c r="F376" s="364"/>
      <c r="G376" s="355"/>
      <c r="H376" s="255"/>
      <c r="I376" s="255"/>
      <c r="J376" s="255"/>
      <c r="K376" s="255"/>
      <c r="L376" s="255"/>
      <c r="M376" s="255"/>
      <c r="N376" s="255"/>
      <c r="O376" s="255"/>
      <c r="P376" s="255"/>
      <c r="Q376" s="255"/>
      <c r="R376" s="255"/>
      <c r="S376" s="255"/>
      <c r="T376" s="255"/>
      <c r="U376" s="255"/>
      <c r="V376" s="255"/>
      <c r="W376" s="255"/>
      <c r="X376" s="255"/>
      <c r="Y376" s="255"/>
      <c r="Z376" s="255"/>
      <c r="AA376" s="255"/>
      <c r="AB376" s="255"/>
    </row>
    <row r="377">
      <c r="A377" s="255"/>
      <c r="B377" s="255"/>
      <c r="C377" s="261"/>
      <c r="D377" s="262"/>
      <c r="E377" s="364"/>
      <c r="F377" s="364"/>
      <c r="G377" s="355"/>
      <c r="H377" s="255"/>
      <c r="I377" s="255"/>
      <c r="J377" s="255"/>
      <c r="K377" s="255"/>
      <c r="L377" s="255"/>
      <c r="M377" s="255"/>
      <c r="N377" s="255"/>
      <c r="O377" s="255"/>
      <c r="P377" s="255"/>
      <c r="Q377" s="255"/>
      <c r="R377" s="255"/>
      <c r="S377" s="255"/>
      <c r="T377" s="255"/>
      <c r="U377" s="255"/>
      <c r="V377" s="255"/>
      <c r="W377" s="255"/>
      <c r="X377" s="255"/>
      <c r="Y377" s="255"/>
      <c r="Z377" s="255"/>
      <c r="AA377" s="255"/>
      <c r="AB377" s="255"/>
    </row>
    <row r="378">
      <c r="A378" s="255"/>
      <c r="B378" s="255"/>
      <c r="C378" s="261"/>
      <c r="D378" s="262"/>
      <c r="E378" s="364"/>
      <c r="F378" s="364"/>
      <c r="G378" s="355"/>
      <c r="H378" s="255"/>
      <c r="I378" s="255"/>
      <c r="J378" s="255"/>
      <c r="K378" s="255"/>
      <c r="L378" s="255"/>
      <c r="M378" s="255"/>
      <c r="N378" s="255"/>
      <c r="O378" s="255"/>
      <c r="P378" s="255"/>
      <c r="Q378" s="255"/>
      <c r="R378" s="255"/>
      <c r="S378" s="255"/>
      <c r="T378" s="255"/>
      <c r="U378" s="255"/>
      <c r="V378" s="255"/>
      <c r="W378" s="255"/>
      <c r="X378" s="255"/>
      <c r="Y378" s="255"/>
      <c r="Z378" s="255"/>
      <c r="AA378" s="255"/>
      <c r="AB378" s="255"/>
    </row>
    <row r="379">
      <c r="A379" s="255"/>
      <c r="B379" s="255"/>
      <c r="C379" s="261"/>
      <c r="D379" s="262"/>
      <c r="E379" s="364"/>
      <c r="F379" s="364"/>
      <c r="G379" s="355"/>
      <c r="H379" s="255"/>
      <c r="I379" s="255"/>
      <c r="J379" s="255"/>
      <c r="K379" s="255"/>
      <c r="L379" s="255"/>
      <c r="M379" s="255"/>
      <c r="N379" s="255"/>
      <c r="O379" s="255"/>
      <c r="P379" s="255"/>
      <c r="Q379" s="255"/>
      <c r="R379" s="255"/>
      <c r="S379" s="255"/>
      <c r="T379" s="255"/>
      <c r="U379" s="255"/>
      <c r="V379" s="255"/>
      <c r="W379" s="255"/>
      <c r="X379" s="255"/>
      <c r="Y379" s="255"/>
      <c r="Z379" s="255"/>
      <c r="AA379" s="255"/>
      <c r="AB379" s="255"/>
    </row>
    <row r="380">
      <c r="A380" s="255"/>
      <c r="B380" s="255"/>
      <c r="C380" s="261"/>
      <c r="D380" s="262"/>
      <c r="E380" s="364"/>
      <c r="F380" s="364"/>
      <c r="G380" s="355"/>
      <c r="H380" s="255"/>
      <c r="I380" s="255"/>
      <c r="J380" s="255"/>
      <c r="K380" s="255"/>
      <c r="L380" s="255"/>
      <c r="M380" s="255"/>
      <c r="N380" s="255"/>
      <c r="O380" s="255"/>
      <c r="P380" s="255"/>
      <c r="Q380" s="255"/>
      <c r="R380" s="255"/>
      <c r="S380" s="255"/>
      <c r="T380" s="255"/>
      <c r="U380" s="255"/>
      <c r="V380" s="255"/>
      <c r="W380" s="255"/>
      <c r="X380" s="255"/>
      <c r="Y380" s="255"/>
      <c r="Z380" s="255"/>
      <c r="AA380" s="255"/>
      <c r="AB380" s="255"/>
    </row>
    <row r="381">
      <c r="A381" s="255"/>
      <c r="B381" s="255"/>
      <c r="C381" s="261"/>
      <c r="D381" s="262"/>
      <c r="E381" s="364"/>
      <c r="F381" s="364"/>
      <c r="G381" s="355"/>
      <c r="H381" s="255"/>
      <c r="I381" s="255"/>
      <c r="J381" s="255"/>
      <c r="K381" s="255"/>
      <c r="L381" s="255"/>
      <c r="M381" s="255"/>
      <c r="N381" s="255"/>
      <c r="O381" s="255"/>
      <c r="P381" s="255"/>
      <c r="Q381" s="255"/>
      <c r="R381" s="255"/>
      <c r="S381" s="255"/>
      <c r="T381" s="255"/>
      <c r="U381" s="255"/>
      <c r="V381" s="255"/>
      <c r="W381" s="255"/>
      <c r="X381" s="255"/>
      <c r="Y381" s="255"/>
      <c r="Z381" s="255"/>
      <c r="AA381" s="255"/>
      <c r="AB381" s="255"/>
    </row>
    <row r="382">
      <c r="A382" s="255"/>
      <c r="B382" s="255"/>
      <c r="C382" s="261"/>
      <c r="D382" s="262"/>
      <c r="E382" s="364"/>
      <c r="F382" s="364"/>
      <c r="G382" s="355"/>
      <c r="H382" s="255"/>
      <c r="I382" s="255"/>
      <c r="J382" s="255"/>
      <c r="K382" s="255"/>
      <c r="L382" s="255"/>
      <c r="M382" s="255"/>
      <c r="N382" s="255"/>
      <c r="O382" s="255"/>
      <c r="P382" s="255"/>
      <c r="Q382" s="255"/>
      <c r="R382" s="255"/>
      <c r="S382" s="255"/>
      <c r="T382" s="255"/>
      <c r="U382" s="255"/>
      <c r="V382" s="255"/>
      <c r="W382" s="255"/>
      <c r="X382" s="255"/>
      <c r="Y382" s="255"/>
      <c r="Z382" s="255"/>
      <c r="AA382" s="255"/>
      <c r="AB382" s="255"/>
    </row>
    <row r="383">
      <c r="A383" s="255"/>
      <c r="B383" s="255"/>
      <c r="C383" s="261"/>
      <c r="D383" s="262"/>
      <c r="E383" s="364"/>
      <c r="F383" s="364"/>
      <c r="G383" s="355"/>
      <c r="H383" s="255"/>
      <c r="I383" s="255"/>
      <c r="J383" s="255"/>
      <c r="K383" s="255"/>
      <c r="L383" s="255"/>
      <c r="M383" s="255"/>
      <c r="N383" s="255"/>
      <c r="O383" s="255"/>
      <c r="P383" s="255"/>
      <c r="Q383" s="255"/>
      <c r="R383" s="255"/>
      <c r="S383" s="255"/>
      <c r="T383" s="255"/>
      <c r="U383" s="255"/>
      <c r="V383" s="255"/>
      <c r="W383" s="255"/>
      <c r="X383" s="255"/>
      <c r="Y383" s="255"/>
      <c r="Z383" s="255"/>
      <c r="AA383" s="255"/>
      <c r="AB383" s="255"/>
    </row>
    <row r="384">
      <c r="A384" s="255"/>
      <c r="B384" s="255"/>
      <c r="C384" s="261"/>
      <c r="D384" s="262"/>
      <c r="E384" s="364"/>
      <c r="F384" s="364"/>
      <c r="G384" s="355"/>
      <c r="H384" s="255"/>
      <c r="I384" s="255"/>
      <c r="J384" s="255"/>
      <c r="K384" s="255"/>
      <c r="L384" s="255"/>
      <c r="M384" s="255"/>
      <c r="N384" s="255"/>
      <c r="O384" s="255"/>
      <c r="P384" s="255"/>
      <c r="Q384" s="255"/>
      <c r="R384" s="255"/>
      <c r="S384" s="255"/>
      <c r="T384" s="255"/>
      <c r="U384" s="255"/>
      <c r="V384" s="255"/>
      <c r="W384" s="255"/>
      <c r="X384" s="255"/>
      <c r="Y384" s="255"/>
      <c r="Z384" s="255"/>
      <c r="AA384" s="255"/>
      <c r="AB384" s="255"/>
    </row>
    <row r="385">
      <c r="A385" s="255"/>
      <c r="B385" s="255"/>
      <c r="C385" s="261"/>
      <c r="D385" s="262"/>
      <c r="E385" s="364"/>
      <c r="F385" s="364"/>
      <c r="G385" s="355"/>
      <c r="H385" s="255"/>
      <c r="I385" s="255"/>
      <c r="J385" s="255"/>
      <c r="K385" s="255"/>
      <c r="L385" s="255"/>
      <c r="M385" s="255"/>
      <c r="N385" s="255"/>
      <c r="O385" s="255"/>
      <c r="P385" s="255"/>
      <c r="Q385" s="255"/>
      <c r="R385" s="255"/>
      <c r="S385" s="255"/>
      <c r="T385" s="255"/>
      <c r="U385" s="255"/>
      <c r="V385" s="255"/>
      <c r="W385" s="255"/>
      <c r="X385" s="255"/>
      <c r="Y385" s="255"/>
      <c r="Z385" s="255"/>
      <c r="AA385" s="255"/>
      <c r="AB385" s="255"/>
    </row>
    <row r="386">
      <c r="A386" s="255"/>
      <c r="B386" s="255"/>
      <c r="C386" s="261"/>
      <c r="D386" s="262"/>
      <c r="E386" s="364"/>
      <c r="F386" s="364"/>
      <c r="G386" s="355"/>
      <c r="H386" s="255"/>
      <c r="I386" s="255"/>
      <c r="J386" s="255"/>
      <c r="K386" s="255"/>
      <c r="L386" s="255"/>
      <c r="M386" s="255"/>
      <c r="N386" s="255"/>
      <c r="O386" s="255"/>
      <c r="P386" s="255"/>
      <c r="Q386" s="255"/>
      <c r="R386" s="255"/>
      <c r="S386" s="255"/>
      <c r="T386" s="255"/>
      <c r="U386" s="255"/>
      <c r="V386" s="255"/>
      <c r="W386" s="255"/>
      <c r="X386" s="255"/>
      <c r="Y386" s="255"/>
      <c r="Z386" s="255"/>
      <c r="AA386" s="255"/>
      <c r="AB386" s="255"/>
    </row>
    <row r="387">
      <c r="A387" s="255"/>
      <c r="B387" s="255"/>
      <c r="C387" s="261"/>
      <c r="D387" s="262"/>
      <c r="E387" s="364"/>
      <c r="F387" s="364"/>
      <c r="G387" s="355"/>
      <c r="H387" s="255"/>
      <c r="I387" s="255"/>
      <c r="J387" s="255"/>
      <c r="K387" s="255"/>
      <c r="L387" s="255"/>
      <c r="M387" s="255"/>
      <c r="N387" s="255"/>
      <c r="O387" s="255"/>
      <c r="P387" s="255"/>
      <c r="Q387" s="255"/>
      <c r="R387" s="255"/>
      <c r="S387" s="255"/>
      <c r="T387" s="255"/>
      <c r="U387" s="255"/>
      <c r="V387" s="255"/>
      <c r="W387" s="255"/>
      <c r="X387" s="255"/>
      <c r="Y387" s="255"/>
      <c r="Z387" s="255"/>
      <c r="AA387" s="255"/>
      <c r="AB387" s="255"/>
    </row>
    <row r="388">
      <c r="A388" s="255"/>
      <c r="B388" s="255"/>
      <c r="C388" s="261"/>
      <c r="D388" s="262"/>
      <c r="E388" s="364"/>
      <c r="F388" s="364"/>
      <c r="G388" s="355"/>
      <c r="H388" s="255"/>
      <c r="I388" s="255"/>
      <c r="J388" s="255"/>
      <c r="K388" s="255"/>
      <c r="L388" s="255"/>
      <c r="M388" s="255"/>
      <c r="N388" s="255"/>
      <c r="O388" s="255"/>
      <c r="P388" s="255"/>
      <c r="Q388" s="255"/>
      <c r="R388" s="255"/>
      <c r="S388" s="255"/>
      <c r="T388" s="255"/>
      <c r="U388" s="255"/>
      <c r="V388" s="255"/>
      <c r="W388" s="255"/>
      <c r="X388" s="255"/>
      <c r="Y388" s="255"/>
      <c r="Z388" s="255"/>
      <c r="AA388" s="255"/>
      <c r="AB388" s="255"/>
    </row>
    <row r="389">
      <c r="A389" s="255"/>
      <c r="B389" s="255"/>
      <c r="C389" s="261"/>
      <c r="D389" s="262"/>
      <c r="E389" s="364"/>
      <c r="F389" s="364"/>
      <c r="G389" s="355"/>
      <c r="H389" s="255"/>
      <c r="I389" s="255"/>
      <c r="J389" s="255"/>
      <c r="K389" s="255"/>
      <c r="L389" s="255"/>
      <c r="M389" s="255"/>
      <c r="N389" s="255"/>
      <c r="O389" s="255"/>
      <c r="P389" s="255"/>
      <c r="Q389" s="255"/>
      <c r="R389" s="255"/>
      <c r="S389" s="255"/>
      <c r="T389" s="255"/>
      <c r="U389" s="255"/>
      <c r="V389" s="255"/>
      <c r="W389" s="255"/>
      <c r="X389" s="255"/>
      <c r="Y389" s="255"/>
      <c r="Z389" s="255"/>
      <c r="AA389" s="255"/>
      <c r="AB389" s="255"/>
    </row>
    <row r="390">
      <c r="A390" s="255"/>
      <c r="B390" s="255"/>
      <c r="C390" s="261"/>
      <c r="D390" s="262"/>
      <c r="E390" s="364"/>
      <c r="F390" s="364"/>
      <c r="G390" s="355"/>
      <c r="H390" s="255"/>
      <c r="I390" s="255"/>
      <c r="J390" s="255"/>
      <c r="K390" s="255"/>
      <c r="L390" s="255"/>
      <c r="M390" s="255"/>
      <c r="N390" s="255"/>
      <c r="O390" s="255"/>
      <c r="P390" s="255"/>
      <c r="Q390" s="255"/>
      <c r="R390" s="255"/>
      <c r="S390" s="255"/>
      <c r="T390" s="255"/>
      <c r="U390" s="255"/>
      <c r="V390" s="255"/>
      <c r="W390" s="255"/>
      <c r="X390" s="255"/>
      <c r="Y390" s="255"/>
      <c r="Z390" s="255"/>
      <c r="AA390" s="255"/>
      <c r="AB390" s="255"/>
    </row>
    <row r="391">
      <c r="A391" s="255"/>
      <c r="B391" s="255"/>
      <c r="C391" s="261"/>
      <c r="D391" s="262"/>
      <c r="E391" s="364"/>
      <c r="F391" s="364"/>
      <c r="G391" s="355"/>
      <c r="H391" s="255"/>
      <c r="I391" s="255"/>
      <c r="J391" s="255"/>
      <c r="K391" s="255"/>
      <c r="L391" s="255"/>
      <c r="M391" s="255"/>
      <c r="N391" s="255"/>
      <c r="O391" s="255"/>
      <c r="P391" s="255"/>
      <c r="Q391" s="255"/>
      <c r="R391" s="255"/>
      <c r="S391" s="255"/>
      <c r="T391" s="255"/>
      <c r="U391" s="255"/>
      <c r="V391" s="255"/>
      <c r="W391" s="255"/>
      <c r="X391" s="255"/>
      <c r="Y391" s="255"/>
      <c r="Z391" s="255"/>
      <c r="AA391" s="255"/>
      <c r="AB391" s="255"/>
    </row>
    <row r="392">
      <c r="A392" s="255"/>
      <c r="B392" s="255"/>
      <c r="C392" s="261"/>
      <c r="D392" s="262"/>
      <c r="E392" s="364"/>
      <c r="F392" s="364"/>
      <c r="G392" s="355"/>
      <c r="H392" s="255"/>
      <c r="I392" s="255"/>
      <c r="J392" s="255"/>
      <c r="K392" s="255"/>
      <c r="L392" s="255"/>
      <c r="M392" s="255"/>
      <c r="N392" s="255"/>
      <c r="O392" s="255"/>
      <c r="P392" s="255"/>
      <c r="Q392" s="255"/>
      <c r="R392" s="255"/>
      <c r="S392" s="255"/>
      <c r="T392" s="255"/>
      <c r="U392" s="255"/>
      <c r="V392" s="255"/>
      <c r="W392" s="255"/>
      <c r="X392" s="255"/>
      <c r="Y392" s="255"/>
      <c r="Z392" s="255"/>
      <c r="AA392" s="255"/>
      <c r="AB392" s="255"/>
    </row>
    <row r="393">
      <c r="A393" s="255"/>
      <c r="B393" s="255"/>
      <c r="C393" s="261"/>
      <c r="D393" s="262"/>
      <c r="E393" s="364"/>
      <c r="F393" s="364"/>
      <c r="G393" s="355"/>
      <c r="H393" s="255"/>
      <c r="I393" s="255"/>
      <c r="J393" s="255"/>
      <c r="K393" s="255"/>
      <c r="L393" s="255"/>
      <c r="M393" s="255"/>
      <c r="N393" s="255"/>
      <c r="O393" s="255"/>
      <c r="P393" s="255"/>
      <c r="Q393" s="255"/>
      <c r="R393" s="255"/>
      <c r="S393" s="255"/>
      <c r="T393" s="255"/>
      <c r="U393" s="255"/>
      <c r="V393" s="255"/>
      <c r="W393" s="255"/>
      <c r="X393" s="255"/>
      <c r="Y393" s="255"/>
      <c r="Z393" s="255"/>
      <c r="AA393" s="255"/>
      <c r="AB393" s="255"/>
    </row>
    <row r="394">
      <c r="A394" s="255"/>
      <c r="B394" s="255"/>
      <c r="C394" s="261"/>
      <c r="D394" s="262"/>
      <c r="E394" s="364"/>
      <c r="F394" s="364"/>
      <c r="G394" s="355"/>
      <c r="H394" s="255"/>
      <c r="I394" s="255"/>
      <c r="J394" s="255"/>
      <c r="K394" s="255"/>
      <c r="L394" s="255"/>
      <c r="M394" s="255"/>
      <c r="N394" s="255"/>
      <c r="O394" s="255"/>
      <c r="P394" s="255"/>
      <c r="Q394" s="255"/>
      <c r="R394" s="255"/>
      <c r="S394" s="255"/>
      <c r="T394" s="255"/>
      <c r="U394" s="255"/>
      <c r="V394" s="255"/>
      <c r="W394" s="255"/>
      <c r="X394" s="255"/>
      <c r="Y394" s="255"/>
      <c r="Z394" s="255"/>
      <c r="AA394" s="255"/>
      <c r="AB394" s="255"/>
    </row>
    <row r="395">
      <c r="A395" s="255"/>
      <c r="B395" s="255"/>
      <c r="C395" s="261"/>
      <c r="D395" s="262"/>
      <c r="E395" s="364"/>
      <c r="F395" s="364"/>
      <c r="G395" s="355"/>
      <c r="H395" s="255"/>
      <c r="I395" s="255"/>
      <c r="J395" s="255"/>
      <c r="K395" s="255"/>
      <c r="L395" s="255"/>
      <c r="M395" s="255"/>
      <c r="N395" s="255"/>
      <c r="O395" s="255"/>
      <c r="P395" s="255"/>
      <c r="Q395" s="255"/>
      <c r="R395" s="255"/>
      <c r="S395" s="255"/>
      <c r="T395" s="255"/>
      <c r="U395" s="255"/>
      <c r="V395" s="255"/>
      <c r="W395" s="255"/>
      <c r="X395" s="255"/>
      <c r="Y395" s="255"/>
      <c r="Z395" s="255"/>
      <c r="AA395" s="255"/>
      <c r="AB395" s="255"/>
    </row>
    <row r="396">
      <c r="A396" s="255"/>
      <c r="B396" s="255"/>
      <c r="C396" s="261"/>
      <c r="D396" s="262"/>
      <c r="E396" s="364"/>
      <c r="F396" s="364"/>
      <c r="G396" s="355"/>
      <c r="H396" s="255"/>
      <c r="I396" s="255"/>
      <c r="J396" s="255"/>
      <c r="K396" s="255"/>
      <c r="L396" s="255"/>
      <c r="M396" s="255"/>
      <c r="N396" s="255"/>
      <c r="O396" s="255"/>
      <c r="P396" s="255"/>
      <c r="Q396" s="255"/>
      <c r="R396" s="255"/>
      <c r="S396" s="255"/>
      <c r="T396" s="255"/>
      <c r="U396" s="255"/>
      <c r="V396" s="255"/>
      <c r="W396" s="255"/>
      <c r="X396" s="255"/>
      <c r="Y396" s="255"/>
      <c r="Z396" s="255"/>
      <c r="AA396" s="255"/>
      <c r="AB396" s="255"/>
    </row>
    <row r="397">
      <c r="A397" s="255"/>
      <c r="B397" s="255"/>
      <c r="C397" s="261"/>
      <c r="D397" s="262"/>
      <c r="E397" s="364"/>
      <c r="F397" s="364"/>
      <c r="G397" s="355"/>
      <c r="H397" s="255"/>
      <c r="I397" s="255"/>
      <c r="J397" s="255"/>
      <c r="K397" s="255"/>
      <c r="L397" s="255"/>
      <c r="M397" s="255"/>
      <c r="N397" s="255"/>
      <c r="O397" s="255"/>
      <c r="P397" s="255"/>
      <c r="Q397" s="255"/>
      <c r="R397" s="255"/>
      <c r="S397" s="255"/>
      <c r="T397" s="255"/>
      <c r="U397" s="255"/>
      <c r="V397" s="255"/>
      <c r="W397" s="255"/>
      <c r="X397" s="255"/>
      <c r="Y397" s="255"/>
      <c r="Z397" s="255"/>
      <c r="AA397" s="255"/>
      <c r="AB397" s="255"/>
    </row>
    <row r="398">
      <c r="A398" s="255"/>
      <c r="B398" s="255"/>
      <c r="C398" s="261"/>
      <c r="D398" s="262"/>
      <c r="E398" s="364"/>
      <c r="F398" s="364"/>
      <c r="G398" s="355"/>
      <c r="H398" s="255"/>
      <c r="I398" s="255"/>
      <c r="J398" s="255"/>
      <c r="K398" s="255"/>
      <c r="L398" s="255"/>
      <c r="M398" s="255"/>
      <c r="N398" s="255"/>
      <c r="O398" s="255"/>
      <c r="P398" s="255"/>
      <c r="Q398" s="255"/>
      <c r="R398" s="255"/>
      <c r="S398" s="255"/>
      <c r="T398" s="255"/>
      <c r="U398" s="255"/>
      <c r="V398" s="255"/>
      <c r="W398" s="255"/>
      <c r="X398" s="255"/>
      <c r="Y398" s="255"/>
      <c r="Z398" s="255"/>
      <c r="AA398" s="255"/>
      <c r="AB398" s="255"/>
    </row>
    <row r="399">
      <c r="A399" s="255"/>
      <c r="B399" s="255"/>
      <c r="C399" s="261"/>
      <c r="D399" s="262"/>
      <c r="E399" s="364"/>
      <c r="F399" s="364"/>
      <c r="G399" s="355"/>
      <c r="H399" s="255"/>
      <c r="I399" s="255"/>
      <c r="J399" s="255"/>
      <c r="K399" s="255"/>
      <c r="L399" s="255"/>
      <c r="M399" s="255"/>
      <c r="N399" s="255"/>
      <c r="O399" s="255"/>
      <c r="P399" s="255"/>
      <c r="Q399" s="255"/>
      <c r="R399" s="255"/>
      <c r="S399" s="255"/>
      <c r="T399" s="255"/>
      <c r="U399" s="255"/>
      <c r="V399" s="255"/>
      <c r="W399" s="255"/>
      <c r="X399" s="255"/>
      <c r="Y399" s="255"/>
      <c r="Z399" s="255"/>
      <c r="AA399" s="255"/>
      <c r="AB399" s="255"/>
    </row>
    <row r="400">
      <c r="A400" s="255"/>
      <c r="B400" s="255"/>
      <c r="C400" s="261"/>
      <c r="D400" s="262"/>
      <c r="E400" s="364"/>
      <c r="F400" s="364"/>
      <c r="G400" s="355"/>
      <c r="H400" s="255"/>
      <c r="I400" s="255"/>
      <c r="J400" s="255"/>
      <c r="K400" s="255"/>
      <c r="L400" s="255"/>
      <c r="M400" s="255"/>
      <c r="N400" s="255"/>
      <c r="O400" s="255"/>
      <c r="P400" s="255"/>
      <c r="Q400" s="255"/>
      <c r="R400" s="255"/>
      <c r="S400" s="255"/>
      <c r="T400" s="255"/>
      <c r="U400" s="255"/>
      <c r="V400" s="255"/>
      <c r="W400" s="255"/>
      <c r="X400" s="255"/>
      <c r="Y400" s="255"/>
      <c r="Z400" s="255"/>
      <c r="AA400" s="255"/>
      <c r="AB400" s="255"/>
    </row>
    <row r="401">
      <c r="A401" s="255"/>
      <c r="B401" s="255"/>
      <c r="C401" s="261"/>
      <c r="D401" s="262"/>
      <c r="E401" s="364"/>
      <c r="F401" s="364"/>
      <c r="G401" s="355"/>
      <c r="H401" s="255"/>
      <c r="I401" s="255"/>
      <c r="J401" s="255"/>
      <c r="K401" s="255"/>
      <c r="L401" s="255"/>
      <c r="M401" s="255"/>
      <c r="N401" s="255"/>
      <c r="O401" s="255"/>
      <c r="P401" s="255"/>
      <c r="Q401" s="255"/>
      <c r="R401" s="255"/>
      <c r="S401" s="255"/>
      <c r="T401" s="255"/>
      <c r="U401" s="255"/>
      <c r="V401" s="255"/>
      <c r="W401" s="255"/>
      <c r="X401" s="255"/>
      <c r="Y401" s="255"/>
      <c r="Z401" s="255"/>
      <c r="AA401" s="255"/>
      <c r="AB401" s="255"/>
    </row>
    <row r="402">
      <c r="A402" s="255"/>
      <c r="B402" s="255"/>
      <c r="C402" s="261"/>
      <c r="D402" s="262"/>
      <c r="E402" s="364"/>
      <c r="F402" s="364"/>
      <c r="G402" s="355"/>
      <c r="H402" s="255"/>
      <c r="I402" s="255"/>
      <c r="J402" s="255"/>
      <c r="K402" s="255"/>
      <c r="L402" s="255"/>
      <c r="M402" s="255"/>
      <c r="N402" s="255"/>
      <c r="O402" s="255"/>
      <c r="P402" s="255"/>
      <c r="Q402" s="255"/>
      <c r="R402" s="255"/>
      <c r="S402" s="255"/>
      <c r="T402" s="255"/>
      <c r="U402" s="255"/>
      <c r="V402" s="255"/>
      <c r="W402" s="255"/>
      <c r="X402" s="255"/>
      <c r="Y402" s="255"/>
      <c r="Z402" s="255"/>
      <c r="AA402" s="255"/>
      <c r="AB402" s="255"/>
    </row>
    <row r="403">
      <c r="A403" s="255"/>
      <c r="B403" s="255"/>
      <c r="C403" s="261"/>
      <c r="D403" s="262"/>
      <c r="E403" s="364"/>
      <c r="F403" s="364"/>
      <c r="G403" s="355"/>
      <c r="H403" s="255"/>
      <c r="I403" s="255"/>
      <c r="J403" s="255"/>
      <c r="K403" s="255"/>
      <c r="L403" s="255"/>
      <c r="M403" s="255"/>
      <c r="N403" s="255"/>
      <c r="O403" s="255"/>
      <c r="P403" s="255"/>
      <c r="Q403" s="255"/>
      <c r="R403" s="255"/>
      <c r="S403" s="255"/>
      <c r="T403" s="255"/>
      <c r="U403" s="255"/>
      <c r="V403" s="255"/>
      <c r="W403" s="255"/>
      <c r="X403" s="255"/>
      <c r="Y403" s="255"/>
      <c r="Z403" s="255"/>
      <c r="AA403" s="255"/>
      <c r="AB403" s="255"/>
    </row>
    <row r="404">
      <c r="A404" s="255"/>
      <c r="B404" s="255"/>
      <c r="C404" s="261"/>
      <c r="D404" s="262"/>
      <c r="E404" s="364"/>
      <c r="F404" s="364"/>
      <c r="G404" s="355"/>
      <c r="H404" s="255"/>
      <c r="I404" s="255"/>
      <c r="J404" s="255"/>
      <c r="K404" s="255"/>
      <c r="L404" s="255"/>
      <c r="M404" s="255"/>
      <c r="N404" s="255"/>
      <c r="O404" s="255"/>
      <c r="P404" s="255"/>
      <c r="Q404" s="255"/>
      <c r="R404" s="255"/>
      <c r="S404" s="255"/>
      <c r="T404" s="255"/>
      <c r="U404" s="255"/>
      <c r="V404" s="255"/>
      <c r="W404" s="255"/>
      <c r="X404" s="255"/>
      <c r="Y404" s="255"/>
      <c r="Z404" s="255"/>
      <c r="AA404" s="255"/>
      <c r="AB404" s="255"/>
    </row>
    <row r="405">
      <c r="A405" s="255"/>
      <c r="B405" s="255"/>
      <c r="C405" s="261"/>
      <c r="D405" s="262"/>
      <c r="E405" s="364"/>
      <c r="F405" s="364"/>
      <c r="G405" s="355"/>
      <c r="H405" s="255"/>
      <c r="I405" s="255"/>
      <c r="J405" s="255"/>
      <c r="K405" s="255"/>
      <c r="L405" s="255"/>
      <c r="M405" s="255"/>
      <c r="N405" s="255"/>
      <c r="O405" s="255"/>
      <c r="P405" s="255"/>
      <c r="Q405" s="255"/>
      <c r="R405" s="255"/>
      <c r="S405" s="255"/>
      <c r="T405" s="255"/>
      <c r="U405" s="255"/>
      <c r="V405" s="255"/>
      <c r="W405" s="255"/>
      <c r="X405" s="255"/>
      <c r="Y405" s="255"/>
      <c r="Z405" s="255"/>
      <c r="AA405" s="255"/>
      <c r="AB405" s="255"/>
    </row>
    <row r="406">
      <c r="A406" s="255"/>
      <c r="B406" s="255"/>
      <c r="C406" s="261"/>
      <c r="D406" s="262"/>
      <c r="E406" s="364"/>
      <c r="F406" s="364"/>
      <c r="G406" s="355"/>
      <c r="H406" s="255"/>
      <c r="I406" s="255"/>
      <c r="J406" s="255"/>
      <c r="K406" s="255"/>
      <c r="L406" s="255"/>
      <c r="M406" s="255"/>
      <c r="N406" s="255"/>
      <c r="O406" s="255"/>
      <c r="P406" s="255"/>
      <c r="Q406" s="255"/>
      <c r="R406" s="255"/>
      <c r="S406" s="255"/>
      <c r="T406" s="255"/>
      <c r="U406" s="255"/>
      <c r="V406" s="255"/>
      <c r="W406" s="255"/>
      <c r="X406" s="255"/>
      <c r="Y406" s="255"/>
      <c r="Z406" s="255"/>
      <c r="AA406" s="255"/>
      <c r="AB406" s="255"/>
    </row>
    <row r="407">
      <c r="A407" s="255"/>
      <c r="B407" s="255"/>
      <c r="C407" s="261"/>
      <c r="D407" s="262"/>
      <c r="E407" s="364"/>
      <c r="F407" s="364"/>
      <c r="G407" s="355"/>
      <c r="H407" s="255"/>
      <c r="I407" s="255"/>
      <c r="J407" s="255"/>
      <c r="K407" s="255"/>
      <c r="L407" s="255"/>
      <c r="M407" s="255"/>
      <c r="N407" s="255"/>
      <c r="O407" s="255"/>
      <c r="P407" s="255"/>
      <c r="Q407" s="255"/>
      <c r="R407" s="255"/>
      <c r="S407" s="255"/>
      <c r="T407" s="255"/>
      <c r="U407" s="255"/>
      <c r="V407" s="255"/>
      <c r="W407" s="255"/>
      <c r="X407" s="255"/>
      <c r="Y407" s="255"/>
      <c r="Z407" s="255"/>
      <c r="AA407" s="255"/>
      <c r="AB407" s="255"/>
    </row>
    <row r="408">
      <c r="A408" s="255"/>
      <c r="B408" s="255"/>
      <c r="C408" s="261"/>
      <c r="D408" s="262"/>
      <c r="E408" s="364"/>
      <c r="F408" s="364"/>
      <c r="G408" s="355"/>
      <c r="H408" s="255"/>
      <c r="I408" s="255"/>
      <c r="J408" s="255"/>
      <c r="K408" s="255"/>
      <c r="L408" s="255"/>
      <c r="M408" s="255"/>
      <c r="N408" s="255"/>
      <c r="O408" s="255"/>
      <c r="P408" s="255"/>
      <c r="Q408" s="255"/>
      <c r="R408" s="255"/>
      <c r="S408" s="255"/>
      <c r="T408" s="255"/>
      <c r="U408" s="255"/>
      <c r="V408" s="255"/>
      <c r="W408" s="255"/>
      <c r="X408" s="255"/>
      <c r="Y408" s="255"/>
      <c r="Z408" s="255"/>
      <c r="AA408" s="255"/>
      <c r="AB408" s="255"/>
    </row>
    <row r="409">
      <c r="A409" s="255"/>
      <c r="B409" s="255"/>
      <c r="C409" s="261"/>
      <c r="D409" s="262"/>
      <c r="E409" s="364"/>
      <c r="F409" s="364"/>
      <c r="G409" s="355"/>
      <c r="H409" s="255"/>
      <c r="I409" s="255"/>
      <c r="J409" s="255"/>
      <c r="K409" s="255"/>
      <c r="L409" s="255"/>
      <c r="M409" s="255"/>
      <c r="N409" s="255"/>
      <c r="O409" s="255"/>
      <c r="P409" s="255"/>
      <c r="Q409" s="255"/>
      <c r="R409" s="255"/>
      <c r="S409" s="255"/>
      <c r="T409" s="255"/>
      <c r="U409" s="255"/>
      <c r="V409" s="255"/>
      <c r="W409" s="255"/>
      <c r="X409" s="255"/>
      <c r="Y409" s="255"/>
      <c r="Z409" s="255"/>
      <c r="AA409" s="255"/>
      <c r="AB409" s="255"/>
    </row>
    <row r="410">
      <c r="A410" s="255"/>
      <c r="B410" s="255"/>
      <c r="C410" s="261"/>
      <c r="D410" s="262"/>
      <c r="E410" s="364"/>
      <c r="F410" s="364"/>
      <c r="G410" s="355"/>
      <c r="H410" s="255"/>
      <c r="I410" s="255"/>
      <c r="J410" s="255"/>
      <c r="K410" s="255"/>
      <c r="L410" s="255"/>
      <c r="M410" s="255"/>
      <c r="N410" s="255"/>
      <c r="O410" s="255"/>
      <c r="P410" s="255"/>
      <c r="Q410" s="255"/>
      <c r="R410" s="255"/>
      <c r="S410" s="255"/>
      <c r="T410" s="255"/>
      <c r="U410" s="255"/>
      <c r="V410" s="255"/>
      <c r="W410" s="255"/>
      <c r="X410" s="255"/>
      <c r="Y410" s="255"/>
      <c r="Z410" s="255"/>
      <c r="AA410" s="255"/>
      <c r="AB410" s="255"/>
    </row>
    <row r="411">
      <c r="A411" s="255"/>
      <c r="B411" s="255"/>
      <c r="C411" s="261"/>
      <c r="D411" s="262"/>
      <c r="E411" s="364"/>
      <c r="F411" s="364"/>
      <c r="G411" s="355"/>
      <c r="H411" s="255"/>
      <c r="I411" s="255"/>
      <c r="J411" s="255"/>
      <c r="K411" s="255"/>
      <c r="L411" s="255"/>
      <c r="M411" s="255"/>
      <c r="N411" s="255"/>
      <c r="O411" s="255"/>
      <c r="P411" s="255"/>
      <c r="Q411" s="255"/>
      <c r="R411" s="255"/>
      <c r="S411" s="255"/>
      <c r="T411" s="255"/>
      <c r="U411" s="255"/>
      <c r="V411" s="255"/>
      <c r="W411" s="255"/>
      <c r="X411" s="255"/>
      <c r="Y411" s="255"/>
      <c r="Z411" s="255"/>
      <c r="AA411" s="255"/>
      <c r="AB411" s="255"/>
    </row>
    <row r="412">
      <c r="A412" s="255"/>
      <c r="B412" s="255"/>
      <c r="C412" s="261"/>
      <c r="D412" s="262"/>
      <c r="E412" s="364"/>
      <c r="F412" s="364"/>
      <c r="G412" s="355"/>
      <c r="H412" s="255"/>
      <c r="I412" s="255"/>
      <c r="J412" s="255"/>
      <c r="K412" s="255"/>
      <c r="L412" s="255"/>
      <c r="M412" s="255"/>
      <c r="N412" s="255"/>
      <c r="O412" s="255"/>
      <c r="P412" s="255"/>
      <c r="Q412" s="255"/>
      <c r="R412" s="255"/>
      <c r="S412" s="255"/>
      <c r="T412" s="255"/>
      <c r="U412" s="255"/>
      <c r="V412" s="255"/>
      <c r="W412" s="255"/>
      <c r="X412" s="255"/>
      <c r="Y412" s="255"/>
      <c r="Z412" s="255"/>
      <c r="AA412" s="255"/>
      <c r="AB412" s="255"/>
    </row>
    <row r="413">
      <c r="A413" s="255"/>
      <c r="B413" s="255"/>
      <c r="C413" s="261"/>
      <c r="D413" s="262"/>
      <c r="E413" s="364"/>
      <c r="F413" s="364"/>
      <c r="G413" s="355"/>
      <c r="H413" s="255"/>
      <c r="I413" s="255"/>
      <c r="J413" s="255"/>
      <c r="K413" s="255"/>
      <c r="L413" s="255"/>
      <c r="M413" s="255"/>
      <c r="N413" s="255"/>
      <c r="O413" s="255"/>
      <c r="P413" s="255"/>
      <c r="Q413" s="255"/>
      <c r="R413" s="255"/>
      <c r="S413" s="255"/>
      <c r="T413" s="255"/>
      <c r="U413" s="255"/>
      <c r="V413" s="255"/>
      <c r="W413" s="255"/>
      <c r="X413" s="255"/>
      <c r="Y413" s="255"/>
      <c r="Z413" s="255"/>
      <c r="AA413" s="255"/>
      <c r="AB413" s="255"/>
    </row>
    <row r="414">
      <c r="A414" s="255"/>
      <c r="B414" s="255"/>
      <c r="C414" s="261"/>
      <c r="D414" s="262"/>
      <c r="E414" s="364"/>
      <c r="F414" s="364"/>
      <c r="G414" s="355"/>
      <c r="H414" s="255"/>
      <c r="I414" s="255"/>
      <c r="J414" s="255"/>
      <c r="K414" s="255"/>
      <c r="L414" s="255"/>
      <c r="M414" s="255"/>
      <c r="N414" s="255"/>
      <c r="O414" s="255"/>
      <c r="P414" s="255"/>
      <c r="Q414" s="255"/>
      <c r="R414" s="255"/>
      <c r="S414" s="255"/>
      <c r="T414" s="255"/>
      <c r="U414" s="255"/>
      <c r="V414" s="255"/>
      <c r="W414" s="255"/>
      <c r="X414" s="255"/>
      <c r="Y414" s="255"/>
      <c r="Z414" s="255"/>
      <c r="AA414" s="255"/>
      <c r="AB414" s="255"/>
    </row>
    <row r="415">
      <c r="A415" s="255"/>
      <c r="B415" s="255"/>
      <c r="C415" s="261"/>
      <c r="D415" s="262"/>
      <c r="E415" s="364"/>
      <c r="F415" s="364"/>
      <c r="G415" s="355"/>
      <c r="H415" s="255"/>
      <c r="I415" s="255"/>
      <c r="J415" s="255"/>
      <c r="K415" s="255"/>
      <c r="L415" s="255"/>
      <c r="M415" s="255"/>
      <c r="N415" s="255"/>
      <c r="O415" s="255"/>
      <c r="P415" s="255"/>
      <c r="Q415" s="255"/>
      <c r="R415" s="255"/>
      <c r="S415" s="255"/>
      <c r="T415" s="255"/>
      <c r="U415" s="255"/>
      <c r="V415" s="255"/>
      <c r="W415" s="255"/>
      <c r="X415" s="255"/>
      <c r="Y415" s="255"/>
      <c r="Z415" s="255"/>
      <c r="AA415" s="255"/>
      <c r="AB415" s="255"/>
    </row>
    <row r="416">
      <c r="A416" s="255"/>
      <c r="B416" s="255"/>
      <c r="C416" s="261"/>
      <c r="D416" s="262"/>
      <c r="E416" s="364"/>
      <c r="F416" s="364"/>
      <c r="G416" s="355"/>
      <c r="H416" s="255"/>
      <c r="I416" s="255"/>
      <c r="J416" s="255"/>
      <c r="K416" s="255"/>
      <c r="L416" s="255"/>
      <c r="M416" s="255"/>
      <c r="N416" s="255"/>
      <c r="O416" s="255"/>
      <c r="P416" s="255"/>
      <c r="Q416" s="255"/>
      <c r="R416" s="255"/>
      <c r="S416" s="255"/>
      <c r="T416" s="255"/>
      <c r="U416" s="255"/>
      <c r="V416" s="255"/>
      <c r="W416" s="255"/>
      <c r="X416" s="255"/>
      <c r="Y416" s="255"/>
      <c r="Z416" s="255"/>
      <c r="AA416" s="255"/>
      <c r="AB416" s="255"/>
    </row>
    <row r="417">
      <c r="A417" s="255"/>
      <c r="B417" s="255"/>
      <c r="C417" s="261"/>
      <c r="D417" s="262"/>
      <c r="E417" s="364"/>
      <c r="F417" s="364"/>
      <c r="G417" s="355"/>
      <c r="H417" s="255"/>
      <c r="I417" s="255"/>
      <c r="J417" s="255"/>
      <c r="K417" s="255"/>
      <c r="L417" s="255"/>
      <c r="M417" s="255"/>
      <c r="N417" s="255"/>
      <c r="O417" s="255"/>
      <c r="P417" s="255"/>
      <c r="Q417" s="255"/>
      <c r="R417" s="255"/>
      <c r="S417" s="255"/>
      <c r="T417" s="255"/>
      <c r="U417" s="255"/>
      <c r="V417" s="255"/>
      <c r="W417" s="255"/>
      <c r="X417" s="255"/>
      <c r="Y417" s="255"/>
      <c r="Z417" s="255"/>
      <c r="AA417" s="255"/>
      <c r="AB417" s="255"/>
    </row>
    <row r="418">
      <c r="A418" s="255"/>
      <c r="B418" s="255"/>
      <c r="C418" s="261"/>
      <c r="D418" s="262"/>
      <c r="E418" s="364"/>
      <c r="F418" s="364"/>
      <c r="G418" s="355"/>
      <c r="H418" s="255"/>
      <c r="I418" s="255"/>
      <c r="J418" s="255"/>
      <c r="K418" s="255"/>
      <c r="L418" s="255"/>
      <c r="M418" s="255"/>
      <c r="N418" s="255"/>
      <c r="O418" s="255"/>
      <c r="P418" s="255"/>
      <c r="Q418" s="255"/>
      <c r="R418" s="255"/>
      <c r="S418" s="255"/>
      <c r="T418" s="255"/>
      <c r="U418" s="255"/>
      <c r="V418" s="255"/>
      <c r="W418" s="255"/>
      <c r="X418" s="255"/>
      <c r="Y418" s="255"/>
      <c r="Z418" s="255"/>
      <c r="AA418" s="255"/>
      <c r="AB418" s="255"/>
    </row>
    <row r="419">
      <c r="A419" s="255"/>
      <c r="B419" s="255"/>
      <c r="C419" s="261"/>
      <c r="D419" s="262"/>
      <c r="E419" s="364"/>
      <c r="F419" s="364"/>
      <c r="G419" s="355"/>
      <c r="H419" s="255"/>
      <c r="I419" s="255"/>
      <c r="J419" s="255"/>
      <c r="K419" s="255"/>
      <c r="L419" s="255"/>
      <c r="M419" s="255"/>
      <c r="N419" s="255"/>
      <c r="O419" s="255"/>
      <c r="P419" s="255"/>
      <c r="Q419" s="255"/>
      <c r="R419" s="255"/>
      <c r="S419" s="255"/>
      <c r="T419" s="255"/>
      <c r="U419" s="255"/>
      <c r="V419" s="255"/>
      <c r="W419" s="255"/>
      <c r="X419" s="255"/>
      <c r="Y419" s="255"/>
      <c r="Z419" s="255"/>
      <c r="AA419" s="255"/>
      <c r="AB419" s="255"/>
    </row>
    <row r="420">
      <c r="A420" s="255"/>
      <c r="B420" s="255"/>
      <c r="C420" s="261"/>
      <c r="D420" s="262"/>
      <c r="E420" s="364"/>
      <c r="F420" s="364"/>
      <c r="G420" s="355"/>
      <c r="H420" s="255"/>
      <c r="I420" s="255"/>
      <c r="J420" s="255"/>
      <c r="K420" s="255"/>
      <c r="L420" s="255"/>
      <c r="M420" s="255"/>
      <c r="N420" s="255"/>
      <c r="O420" s="255"/>
      <c r="P420" s="255"/>
      <c r="Q420" s="255"/>
      <c r="R420" s="255"/>
      <c r="S420" s="255"/>
      <c r="T420" s="255"/>
      <c r="U420" s="255"/>
      <c r="V420" s="255"/>
      <c r="W420" s="255"/>
      <c r="X420" s="255"/>
      <c r="Y420" s="255"/>
      <c r="Z420" s="255"/>
      <c r="AA420" s="255"/>
      <c r="AB420" s="255"/>
    </row>
    <row r="421">
      <c r="A421" s="255"/>
      <c r="B421" s="255"/>
      <c r="C421" s="261"/>
      <c r="D421" s="262"/>
      <c r="E421" s="364"/>
      <c r="F421" s="364"/>
      <c r="G421" s="355"/>
      <c r="H421" s="255"/>
      <c r="I421" s="255"/>
      <c r="J421" s="255"/>
      <c r="K421" s="255"/>
      <c r="L421" s="255"/>
      <c r="M421" s="255"/>
      <c r="N421" s="255"/>
      <c r="O421" s="255"/>
      <c r="P421" s="255"/>
      <c r="Q421" s="255"/>
      <c r="R421" s="255"/>
      <c r="S421" s="255"/>
      <c r="T421" s="255"/>
      <c r="U421" s="255"/>
      <c r="V421" s="255"/>
      <c r="W421" s="255"/>
      <c r="X421" s="255"/>
      <c r="Y421" s="255"/>
      <c r="Z421" s="255"/>
      <c r="AA421" s="255"/>
      <c r="AB421" s="255"/>
    </row>
    <row r="422">
      <c r="A422" s="255"/>
      <c r="B422" s="255"/>
      <c r="C422" s="261"/>
      <c r="D422" s="262"/>
      <c r="E422" s="364"/>
      <c r="F422" s="364"/>
      <c r="G422" s="355"/>
      <c r="H422" s="255"/>
      <c r="I422" s="255"/>
      <c r="J422" s="255"/>
      <c r="K422" s="255"/>
      <c r="L422" s="255"/>
      <c r="M422" s="255"/>
      <c r="N422" s="255"/>
      <c r="O422" s="255"/>
      <c r="P422" s="255"/>
      <c r="Q422" s="255"/>
      <c r="R422" s="255"/>
      <c r="S422" s="255"/>
      <c r="T422" s="255"/>
      <c r="U422" s="255"/>
      <c r="V422" s="255"/>
      <c r="W422" s="255"/>
      <c r="X422" s="255"/>
      <c r="Y422" s="255"/>
      <c r="Z422" s="255"/>
      <c r="AA422" s="255"/>
      <c r="AB422" s="255"/>
    </row>
    <row r="423">
      <c r="A423" s="255"/>
      <c r="B423" s="255"/>
      <c r="C423" s="261"/>
      <c r="D423" s="262"/>
      <c r="E423" s="364"/>
      <c r="F423" s="364"/>
      <c r="G423" s="355"/>
      <c r="H423" s="255"/>
      <c r="I423" s="255"/>
      <c r="J423" s="255"/>
      <c r="K423" s="255"/>
      <c r="L423" s="255"/>
      <c r="M423" s="255"/>
      <c r="N423" s="255"/>
      <c r="O423" s="255"/>
      <c r="P423" s="255"/>
      <c r="Q423" s="255"/>
      <c r="R423" s="255"/>
      <c r="S423" s="255"/>
      <c r="T423" s="255"/>
      <c r="U423" s="255"/>
      <c r="V423" s="255"/>
      <c r="W423" s="255"/>
      <c r="X423" s="255"/>
      <c r="Y423" s="255"/>
      <c r="Z423" s="255"/>
      <c r="AA423" s="255"/>
      <c r="AB423" s="255"/>
    </row>
    <row r="424">
      <c r="A424" s="255"/>
      <c r="B424" s="255"/>
      <c r="C424" s="261"/>
      <c r="D424" s="262"/>
      <c r="E424" s="364"/>
      <c r="F424" s="364"/>
      <c r="G424" s="355"/>
      <c r="H424" s="255"/>
      <c r="I424" s="255"/>
      <c r="J424" s="255"/>
      <c r="K424" s="255"/>
      <c r="L424" s="255"/>
      <c r="M424" s="255"/>
      <c r="N424" s="255"/>
      <c r="O424" s="255"/>
      <c r="P424" s="255"/>
      <c r="Q424" s="255"/>
      <c r="R424" s="255"/>
      <c r="S424" s="255"/>
      <c r="T424" s="255"/>
      <c r="U424" s="255"/>
      <c r="V424" s="255"/>
      <c r="W424" s="255"/>
      <c r="X424" s="255"/>
      <c r="Y424" s="255"/>
      <c r="Z424" s="255"/>
      <c r="AA424" s="255"/>
      <c r="AB424" s="255"/>
    </row>
    <row r="425">
      <c r="A425" s="255"/>
      <c r="B425" s="255"/>
      <c r="C425" s="261"/>
      <c r="D425" s="262"/>
      <c r="E425" s="364"/>
      <c r="F425" s="364"/>
      <c r="G425" s="355"/>
      <c r="H425" s="255"/>
      <c r="I425" s="255"/>
      <c r="J425" s="255"/>
      <c r="K425" s="255"/>
      <c r="L425" s="255"/>
      <c r="M425" s="255"/>
      <c r="N425" s="255"/>
      <c r="O425" s="255"/>
      <c r="P425" s="255"/>
      <c r="Q425" s="255"/>
      <c r="R425" s="255"/>
      <c r="S425" s="255"/>
      <c r="T425" s="255"/>
      <c r="U425" s="255"/>
      <c r="V425" s="255"/>
      <c r="W425" s="255"/>
      <c r="X425" s="255"/>
      <c r="Y425" s="255"/>
      <c r="Z425" s="255"/>
      <c r="AA425" s="255"/>
      <c r="AB425" s="255"/>
    </row>
    <row r="426">
      <c r="A426" s="255"/>
      <c r="B426" s="255"/>
      <c r="C426" s="261"/>
      <c r="D426" s="262"/>
      <c r="E426" s="364"/>
      <c r="F426" s="364"/>
      <c r="G426" s="355"/>
      <c r="H426" s="255"/>
      <c r="I426" s="255"/>
      <c r="J426" s="255"/>
      <c r="K426" s="255"/>
      <c r="L426" s="255"/>
      <c r="M426" s="255"/>
      <c r="N426" s="255"/>
      <c r="O426" s="255"/>
      <c r="P426" s="255"/>
      <c r="Q426" s="255"/>
      <c r="R426" s="255"/>
      <c r="S426" s="255"/>
      <c r="T426" s="255"/>
      <c r="U426" s="255"/>
      <c r="V426" s="255"/>
      <c r="W426" s="255"/>
      <c r="X426" s="255"/>
      <c r="Y426" s="255"/>
      <c r="Z426" s="255"/>
      <c r="AA426" s="255"/>
      <c r="AB426" s="255"/>
    </row>
    <row r="427">
      <c r="A427" s="255"/>
      <c r="B427" s="255"/>
      <c r="C427" s="261"/>
      <c r="D427" s="262"/>
      <c r="E427" s="364"/>
      <c r="F427" s="364"/>
      <c r="G427" s="355"/>
      <c r="H427" s="255"/>
      <c r="I427" s="255"/>
      <c r="J427" s="255"/>
      <c r="K427" s="255"/>
      <c r="L427" s="255"/>
      <c r="M427" s="255"/>
      <c r="N427" s="255"/>
      <c r="O427" s="255"/>
      <c r="P427" s="255"/>
      <c r="Q427" s="255"/>
      <c r="R427" s="255"/>
      <c r="S427" s="255"/>
      <c r="T427" s="255"/>
      <c r="U427" s="255"/>
      <c r="V427" s="255"/>
      <c r="W427" s="255"/>
      <c r="X427" s="255"/>
      <c r="Y427" s="255"/>
      <c r="Z427" s="255"/>
      <c r="AA427" s="255"/>
      <c r="AB427" s="255"/>
    </row>
    <row r="428">
      <c r="A428" s="255"/>
      <c r="B428" s="255"/>
      <c r="C428" s="261"/>
      <c r="D428" s="262"/>
      <c r="E428" s="364"/>
      <c r="F428" s="364"/>
      <c r="G428" s="355"/>
      <c r="H428" s="255"/>
      <c r="I428" s="255"/>
      <c r="J428" s="255"/>
      <c r="K428" s="255"/>
      <c r="L428" s="255"/>
      <c r="M428" s="255"/>
      <c r="N428" s="255"/>
      <c r="O428" s="255"/>
      <c r="P428" s="255"/>
      <c r="Q428" s="255"/>
      <c r="R428" s="255"/>
      <c r="S428" s="255"/>
      <c r="T428" s="255"/>
      <c r="U428" s="255"/>
      <c r="V428" s="255"/>
      <c r="W428" s="255"/>
      <c r="X428" s="255"/>
      <c r="Y428" s="255"/>
      <c r="Z428" s="255"/>
      <c r="AA428" s="255"/>
      <c r="AB428" s="255"/>
    </row>
    <row r="429">
      <c r="A429" s="255"/>
      <c r="B429" s="255"/>
      <c r="C429" s="261"/>
      <c r="D429" s="262"/>
      <c r="E429" s="364"/>
      <c r="F429" s="364"/>
      <c r="G429" s="355"/>
      <c r="H429" s="255"/>
      <c r="I429" s="255"/>
      <c r="J429" s="255"/>
      <c r="K429" s="255"/>
      <c r="L429" s="255"/>
      <c r="M429" s="255"/>
      <c r="N429" s="255"/>
      <c r="O429" s="255"/>
      <c r="P429" s="255"/>
      <c r="Q429" s="255"/>
      <c r="R429" s="255"/>
      <c r="S429" s="255"/>
      <c r="T429" s="255"/>
      <c r="U429" s="255"/>
      <c r="V429" s="255"/>
      <c r="W429" s="255"/>
      <c r="X429" s="255"/>
      <c r="Y429" s="255"/>
      <c r="Z429" s="255"/>
      <c r="AA429" s="255"/>
      <c r="AB429" s="255"/>
    </row>
    <row r="430">
      <c r="A430" s="255"/>
      <c r="B430" s="255"/>
      <c r="C430" s="261"/>
      <c r="D430" s="262"/>
      <c r="E430" s="364"/>
      <c r="F430" s="364"/>
      <c r="G430" s="355"/>
      <c r="H430" s="255"/>
      <c r="I430" s="255"/>
      <c r="J430" s="255"/>
      <c r="K430" s="255"/>
      <c r="L430" s="255"/>
      <c r="M430" s="255"/>
      <c r="N430" s="255"/>
      <c r="O430" s="255"/>
      <c r="P430" s="255"/>
      <c r="Q430" s="255"/>
      <c r="R430" s="255"/>
      <c r="S430" s="255"/>
      <c r="T430" s="255"/>
      <c r="U430" s="255"/>
      <c r="V430" s="255"/>
      <c r="W430" s="255"/>
      <c r="X430" s="255"/>
      <c r="Y430" s="255"/>
      <c r="Z430" s="255"/>
      <c r="AA430" s="255"/>
      <c r="AB430" s="255"/>
    </row>
    <row r="431">
      <c r="A431" s="255"/>
      <c r="B431" s="255"/>
      <c r="C431" s="261"/>
      <c r="D431" s="262"/>
      <c r="E431" s="364"/>
      <c r="F431" s="364"/>
      <c r="G431" s="355"/>
      <c r="H431" s="255"/>
      <c r="I431" s="255"/>
      <c r="J431" s="255"/>
      <c r="K431" s="255"/>
      <c r="L431" s="255"/>
      <c r="M431" s="255"/>
      <c r="N431" s="255"/>
      <c r="O431" s="255"/>
      <c r="P431" s="255"/>
      <c r="Q431" s="255"/>
      <c r="R431" s="255"/>
      <c r="S431" s="255"/>
      <c r="T431" s="255"/>
      <c r="U431" s="255"/>
      <c r="V431" s="255"/>
      <c r="W431" s="255"/>
      <c r="X431" s="255"/>
      <c r="Y431" s="255"/>
      <c r="Z431" s="255"/>
      <c r="AA431" s="255"/>
      <c r="AB431" s="255"/>
    </row>
    <row r="432">
      <c r="A432" s="255"/>
      <c r="B432" s="255"/>
      <c r="C432" s="261"/>
      <c r="D432" s="262"/>
      <c r="E432" s="364"/>
      <c r="F432" s="364"/>
      <c r="G432" s="355"/>
      <c r="H432" s="255"/>
      <c r="I432" s="255"/>
      <c r="J432" s="255"/>
      <c r="K432" s="255"/>
      <c r="L432" s="255"/>
      <c r="M432" s="255"/>
      <c r="N432" s="255"/>
      <c r="O432" s="255"/>
      <c r="P432" s="255"/>
      <c r="Q432" s="255"/>
      <c r="R432" s="255"/>
      <c r="S432" s="255"/>
      <c r="T432" s="255"/>
      <c r="U432" s="255"/>
      <c r="V432" s="255"/>
      <c r="W432" s="255"/>
      <c r="X432" s="255"/>
      <c r="Y432" s="255"/>
      <c r="Z432" s="255"/>
      <c r="AA432" s="255"/>
      <c r="AB432" s="255"/>
    </row>
    <row r="433">
      <c r="A433" s="255"/>
      <c r="B433" s="255"/>
      <c r="C433" s="261"/>
      <c r="D433" s="262"/>
      <c r="E433" s="364"/>
      <c r="F433" s="364"/>
      <c r="G433" s="355"/>
      <c r="H433" s="255"/>
      <c r="I433" s="255"/>
      <c r="J433" s="255"/>
      <c r="K433" s="255"/>
      <c r="L433" s="255"/>
      <c r="M433" s="255"/>
      <c r="N433" s="255"/>
      <c r="O433" s="255"/>
      <c r="P433" s="255"/>
      <c r="Q433" s="255"/>
      <c r="R433" s="255"/>
      <c r="S433" s="255"/>
      <c r="T433" s="255"/>
      <c r="U433" s="255"/>
      <c r="V433" s="255"/>
      <c r="W433" s="255"/>
      <c r="X433" s="255"/>
      <c r="Y433" s="255"/>
      <c r="Z433" s="255"/>
      <c r="AA433" s="255"/>
      <c r="AB433" s="255"/>
    </row>
    <row r="434">
      <c r="A434" s="255"/>
      <c r="B434" s="255"/>
      <c r="C434" s="261"/>
      <c r="D434" s="262"/>
      <c r="E434" s="364"/>
      <c r="F434" s="364"/>
      <c r="G434" s="355"/>
      <c r="H434" s="255"/>
      <c r="I434" s="255"/>
      <c r="J434" s="255"/>
      <c r="K434" s="255"/>
      <c r="L434" s="255"/>
      <c r="M434" s="255"/>
      <c r="N434" s="255"/>
      <c r="O434" s="255"/>
      <c r="P434" s="255"/>
      <c r="Q434" s="255"/>
      <c r="R434" s="255"/>
      <c r="S434" s="255"/>
      <c r="T434" s="255"/>
      <c r="U434" s="255"/>
      <c r="V434" s="255"/>
      <c r="W434" s="255"/>
      <c r="X434" s="255"/>
      <c r="Y434" s="255"/>
      <c r="Z434" s="255"/>
      <c r="AA434" s="255"/>
      <c r="AB434" s="255"/>
    </row>
    <row r="435">
      <c r="A435" s="255"/>
      <c r="B435" s="255"/>
      <c r="C435" s="261"/>
      <c r="D435" s="262"/>
      <c r="E435" s="364"/>
      <c r="F435" s="364"/>
      <c r="G435" s="355"/>
      <c r="H435" s="255"/>
      <c r="I435" s="255"/>
      <c r="J435" s="255"/>
      <c r="K435" s="255"/>
      <c r="L435" s="255"/>
      <c r="M435" s="255"/>
      <c r="N435" s="255"/>
      <c r="O435" s="255"/>
      <c r="P435" s="255"/>
      <c r="Q435" s="255"/>
      <c r="R435" s="255"/>
      <c r="S435" s="255"/>
      <c r="T435" s="255"/>
      <c r="U435" s="255"/>
      <c r="V435" s="255"/>
      <c r="W435" s="255"/>
      <c r="X435" s="255"/>
      <c r="Y435" s="255"/>
      <c r="Z435" s="255"/>
      <c r="AA435" s="255"/>
      <c r="AB435" s="255"/>
    </row>
    <row r="436">
      <c r="A436" s="255"/>
      <c r="B436" s="255"/>
      <c r="C436" s="261"/>
      <c r="D436" s="262"/>
      <c r="E436" s="364"/>
      <c r="F436" s="364"/>
      <c r="G436" s="355"/>
      <c r="H436" s="255"/>
      <c r="I436" s="255"/>
      <c r="J436" s="255"/>
      <c r="K436" s="255"/>
      <c r="L436" s="255"/>
      <c r="M436" s="255"/>
      <c r="N436" s="255"/>
      <c r="O436" s="255"/>
      <c r="P436" s="255"/>
      <c r="Q436" s="255"/>
      <c r="R436" s="255"/>
      <c r="S436" s="255"/>
      <c r="T436" s="255"/>
      <c r="U436" s="255"/>
      <c r="V436" s="255"/>
      <c r="W436" s="255"/>
      <c r="X436" s="255"/>
      <c r="Y436" s="255"/>
      <c r="Z436" s="255"/>
      <c r="AA436" s="255"/>
      <c r="AB436" s="255"/>
    </row>
    <row r="437">
      <c r="A437" s="255"/>
      <c r="B437" s="255"/>
      <c r="C437" s="261"/>
      <c r="D437" s="262"/>
      <c r="E437" s="364"/>
      <c r="F437" s="364"/>
      <c r="G437" s="355"/>
      <c r="H437" s="255"/>
      <c r="I437" s="255"/>
      <c r="J437" s="255"/>
      <c r="K437" s="255"/>
      <c r="L437" s="255"/>
      <c r="M437" s="255"/>
      <c r="N437" s="255"/>
      <c r="O437" s="255"/>
      <c r="P437" s="255"/>
      <c r="Q437" s="255"/>
      <c r="R437" s="255"/>
      <c r="S437" s="255"/>
      <c r="T437" s="255"/>
      <c r="U437" s="255"/>
      <c r="V437" s="255"/>
      <c r="W437" s="255"/>
      <c r="X437" s="255"/>
      <c r="Y437" s="255"/>
      <c r="Z437" s="255"/>
      <c r="AA437" s="255"/>
      <c r="AB437" s="255"/>
    </row>
    <row r="438">
      <c r="A438" s="255"/>
      <c r="B438" s="255"/>
      <c r="C438" s="261"/>
      <c r="D438" s="262"/>
      <c r="E438" s="364"/>
      <c r="F438" s="364"/>
      <c r="G438" s="355"/>
      <c r="H438" s="255"/>
      <c r="I438" s="255"/>
      <c r="J438" s="255"/>
      <c r="K438" s="255"/>
      <c r="L438" s="255"/>
      <c r="M438" s="255"/>
      <c r="N438" s="255"/>
      <c r="O438" s="255"/>
      <c r="P438" s="255"/>
      <c r="Q438" s="255"/>
      <c r="R438" s="255"/>
      <c r="S438" s="255"/>
      <c r="T438" s="255"/>
      <c r="U438" s="255"/>
      <c r="V438" s="255"/>
      <c r="W438" s="255"/>
      <c r="X438" s="255"/>
      <c r="Y438" s="255"/>
      <c r="Z438" s="255"/>
      <c r="AA438" s="255"/>
      <c r="AB438" s="255"/>
    </row>
    <row r="439">
      <c r="A439" s="255"/>
      <c r="B439" s="255"/>
      <c r="C439" s="261"/>
      <c r="D439" s="262"/>
      <c r="E439" s="364"/>
      <c r="F439" s="364"/>
      <c r="G439" s="355"/>
      <c r="H439" s="255"/>
      <c r="I439" s="255"/>
      <c r="J439" s="255"/>
      <c r="K439" s="255"/>
      <c r="L439" s="255"/>
      <c r="M439" s="255"/>
      <c r="N439" s="255"/>
      <c r="O439" s="255"/>
      <c r="P439" s="255"/>
      <c r="Q439" s="255"/>
      <c r="R439" s="255"/>
      <c r="S439" s="255"/>
      <c r="T439" s="255"/>
      <c r="U439" s="255"/>
      <c r="V439" s="255"/>
      <c r="W439" s="255"/>
      <c r="X439" s="255"/>
      <c r="Y439" s="255"/>
      <c r="Z439" s="255"/>
      <c r="AA439" s="255"/>
      <c r="AB439" s="255"/>
    </row>
    <row r="440">
      <c r="A440" s="255"/>
      <c r="B440" s="255"/>
      <c r="C440" s="261"/>
      <c r="D440" s="262"/>
      <c r="E440" s="364"/>
      <c r="F440" s="364"/>
      <c r="G440" s="355"/>
      <c r="H440" s="255"/>
      <c r="I440" s="255"/>
      <c r="J440" s="255"/>
      <c r="K440" s="255"/>
      <c r="L440" s="255"/>
      <c r="M440" s="255"/>
      <c r="N440" s="255"/>
      <c r="O440" s="255"/>
      <c r="P440" s="255"/>
      <c r="Q440" s="255"/>
      <c r="R440" s="255"/>
      <c r="S440" s="255"/>
      <c r="T440" s="255"/>
      <c r="U440" s="255"/>
      <c r="V440" s="255"/>
      <c r="W440" s="255"/>
      <c r="X440" s="255"/>
      <c r="Y440" s="255"/>
      <c r="Z440" s="255"/>
      <c r="AA440" s="255"/>
      <c r="AB440" s="255"/>
    </row>
    <row r="441">
      <c r="A441" s="255"/>
      <c r="B441" s="255"/>
      <c r="C441" s="261"/>
      <c r="D441" s="262"/>
      <c r="E441" s="364"/>
      <c r="F441" s="364"/>
      <c r="G441" s="355"/>
      <c r="H441" s="255"/>
      <c r="I441" s="255"/>
      <c r="J441" s="255"/>
      <c r="K441" s="255"/>
      <c r="L441" s="255"/>
      <c r="M441" s="255"/>
      <c r="N441" s="255"/>
      <c r="O441" s="255"/>
      <c r="P441" s="255"/>
      <c r="Q441" s="255"/>
      <c r="R441" s="255"/>
      <c r="S441" s="255"/>
      <c r="T441" s="255"/>
      <c r="U441" s="255"/>
      <c r="V441" s="255"/>
      <c r="W441" s="255"/>
      <c r="X441" s="255"/>
      <c r="Y441" s="255"/>
      <c r="Z441" s="255"/>
      <c r="AA441" s="255"/>
      <c r="AB441" s="255"/>
    </row>
    <row r="442">
      <c r="A442" s="255"/>
      <c r="B442" s="255"/>
      <c r="C442" s="261"/>
      <c r="D442" s="262"/>
      <c r="E442" s="364"/>
      <c r="F442" s="364"/>
      <c r="G442" s="355"/>
      <c r="H442" s="255"/>
      <c r="I442" s="255"/>
      <c r="J442" s="255"/>
      <c r="K442" s="255"/>
      <c r="L442" s="255"/>
      <c r="M442" s="255"/>
      <c r="N442" s="255"/>
      <c r="O442" s="255"/>
      <c r="P442" s="255"/>
      <c r="Q442" s="255"/>
      <c r="R442" s="255"/>
      <c r="S442" s="255"/>
      <c r="T442" s="255"/>
      <c r="U442" s="255"/>
      <c r="V442" s="255"/>
      <c r="W442" s="255"/>
      <c r="X442" s="255"/>
      <c r="Y442" s="255"/>
      <c r="Z442" s="255"/>
      <c r="AA442" s="255"/>
      <c r="AB442" s="255"/>
    </row>
    <row r="443">
      <c r="A443" s="255"/>
      <c r="B443" s="255"/>
      <c r="C443" s="261"/>
      <c r="D443" s="262"/>
      <c r="E443" s="364"/>
      <c r="F443" s="364"/>
      <c r="G443" s="355"/>
      <c r="H443" s="255"/>
      <c r="I443" s="255"/>
      <c r="J443" s="255"/>
      <c r="K443" s="255"/>
      <c r="L443" s="255"/>
      <c r="M443" s="255"/>
      <c r="N443" s="255"/>
      <c r="O443" s="255"/>
      <c r="P443" s="255"/>
      <c r="Q443" s="255"/>
      <c r="R443" s="255"/>
      <c r="S443" s="255"/>
      <c r="T443" s="255"/>
      <c r="U443" s="255"/>
      <c r="V443" s="255"/>
      <c r="W443" s="255"/>
      <c r="X443" s="255"/>
      <c r="Y443" s="255"/>
      <c r="Z443" s="255"/>
      <c r="AA443" s="255"/>
      <c r="AB443" s="255"/>
    </row>
    <row r="444">
      <c r="A444" s="255"/>
      <c r="B444" s="255"/>
      <c r="C444" s="261"/>
      <c r="D444" s="262"/>
      <c r="E444" s="364"/>
      <c r="F444" s="364"/>
      <c r="G444" s="355"/>
      <c r="H444" s="255"/>
      <c r="I444" s="255"/>
      <c r="J444" s="255"/>
      <c r="K444" s="255"/>
      <c r="L444" s="255"/>
      <c r="M444" s="255"/>
      <c r="N444" s="255"/>
      <c r="O444" s="255"/>
      <c r="P444" s="255"/>
      <c r="Q444" s="255"/>
      <c r="R444" s="255"/>
      <c r="S444" s="255"/>
      <c r="T444" s="255"/>
      <c r="U444" s="255"/>
      <c r="V444" s="255"/>
      <c r="W444" s="255"/>
      <c r="X444" s="255"/>
      <c r="Y444" s="255"/>
      <c r="Z444" s="255"/>
      <c r="AA444" s="255"/>
      <c r="AB444" s="255"/>
    </row>
    <row r="445">
      <c r="A445" s="255"/>
      <c r="B445" s="255"/>
      <c r="C445" s="261"/>
      <c r="D445" s="262"/>
      <c r="E445" s="364"/>
      <c r="F445" s="364"/>
      <c r="G445" s="355"/>
      <c r="H445" s="255"/>
      <c r="I445" s="255"/>
      <c r="J445" s="255"/>
      <c r="K445" s="255"/>
      <c r="L445" s="255"/>
      <c r="M445" s="255"/>
      <c r="N445" s="255"/>
      <c r="O445" s="255"/>
      <c r="P445" s="255"/>
      <c r="Q445" s="255"/>
      <c r="R445" s="255"/>
      <c r="S445" s="255"/>
      <c r="T445" s="255"/>
      <c r="U445" s="255"/>
      <c r="V445" s="255"/>
      <c r="W445" s="255"/>
      <c r="X445" s="255"/>
      <c r="Y445" s="255"/>
      <c r="Z445" s="255"/>
      <c r="AA445" s="255"/>
      <c r="AB445" s="255"/>
    </row>
    <row r="446">
      <c r="A446" s="255"/>
      <c r="B446" s="255"/>
      <c r="C446" s="261"/>
      <c r="D446" s="262"/>
      <c r="E446" s="364"/>
      <c r="F446" s="364"/>
      <c r="G446" s="355"/>
      <c r="H446" s="255"/>
      <c r="I446" s="255"/>
      <c r="J446" s="255"/>
      <c r="K446" s="255"/>
      <c r="L446" s="255"/>
      <c r="M446" s="255"/>
      <c r="N446" s="255"/>
      <c r="O446" s="255"/>
      <c r="P446" s="255"/>
      <c r="Q446" s="255"/>
      <c r="R446" s="255"/>
      <c r="S446" s="255"/>
      <c r="T446" s="255"/>
      <c r="U446" s="255"/>
      <c r="V446" s="255"/>
      <c r="W446" s="255"/>
      <c r="X446" s="255"/>
      <c r="Y446" s="255"/>
      <c r="Z446" s="255"/>
      <c r="AA446" s="255"/>
      <c r="AB446" s="255"/>
    </row>
    <row r="447">
      <c r="A447" s="255"/>
      <c r="B447" s="255"/>
      <c r="C447" s="261"/>
      <c r="D447" s="262"/>
      <c r="E447" s="364"/>
      <c r="F447" s="364"/>
      <c r="G447" s="355"/>
      <c r="H447" s="255"/>
      <c r="I447" s="255"/>
      <c r="J447" s="255"/>
      <c r="K447" s="255"/>
      <c r="L447" s="255"/>
      <c r="M447" s="255"/>
      <c r="N447" s="255"/>
      <c r="O447" s="255"/>
      <c r="P447" s="255"/>
      <c r="Q447" s="255"/>
      <c r="R447" s="255"/>
      <c r="S447" s="255"/>
      <c r="T447" s="255"/>
      <c r="U447" s="255"/>
      <c r="V447" s="255"/>
      <c r="W447" s="255"/>
      <c r="X447" s="255"/>
      <c r="Y447" s="255"/>
      <c r="Z447" s="255"/>
      <c r="AA447" s="255"/>
      <c r="AB447" s="255"/>
    </row>
    <row r="448">
      <c r="A448" s="255"/>
      <c r="B448" s="255"/>
      <c r="C448" s="261"/>
      <c r="D448" s="262"/>
      <c r="E448" s="364"/>
      <c r="F448" s="364"/>
      <c r="G448" s="355"/>
      <c r="H448" s="255"/>
      <c r="I448" s="255"/>
      <c r="J448" s="255"/>
      <c r="K448" s="255"/>
      <c r="L448" s="255"/>
      <c r="M448" s="255"/>
      <c r="N448" s="255"/>
      <c r="O448" s="255"/>
      <c r="P448" s="255"/>
      <c r="Q448" s="255"/>
      <c r="R448" s="255"/>
      <c r="S448" s="255"/>
      <c r="T448" s="255"/>
      <c r="U448" s="255"/>
      <c r="V448" s="255"/>
      <c r="W448" s="255"/>
      <c r="X448" s="255"/>
      <c r="Y448" s="255"/>
      <c r="Z448" s="255"/>
      <c r="AA448" s="255"/>
      <c r="AB448" s="255"/>
    </row>
    <row r="449">
      <c r="A449" s="255"/>
      <c r="B449" s="255"/>
      <c r="C449" s="261"/>
      <c r="D449" s="262"/>
      <c r="E449" s="364"/>
      <c r="F449" s="364"/>
      <c r="G449" s="355"/>
      <c r="H449" s="255"/>
      <c r="I449" s="255"/>
      <c r="J449" s="255"/>
      <c r="K449" s="255"/>
      <c r="L449" s="255"/>
      <c r="M449" s="255"/>
      <c r="N449" s="255"/>
      <c r="O449" s="255"/>
      <c r="P449" s="255"/>
      <c r="Q449" s="255"/>
      <c r="R449" s="255"/>
      <c r="S449" s="255"/>
      <c r="T449" s="255"/>
      <c r="U449" s="255"/>
      <c r="V449" s="255"/>
      <c r="W449" s="255"/>
      <c r="X449" s="255"/>
      <c r="Y449" s="255"/>
      <c r="Z449" s="255"/>
      <c r="AA449" s="255"/>
      <c r="AB449" s="255"/>
    </row>
    <row r="450">
      <c r="A450" s="255"/>
      <c r="B450" s="255"/>
      <c r="C450" s="261"/>
      <c r="D450" s="262"/>
      <c r="E450" s="364"/>
      <c r="F450" s="364"/>
      <c r="G450" s="355"/>
      <c r="H450" s="255"/>
      <c r="I450" s="255"/>
      <c r="J450" s="255"/>
      <c r="K450" s="255"/>
      <c r="L450" s="255"/>
      <c r="M450" s="255"/>
      <c r="N450" s="255"/>
      <c r="O450" s="255"/>
      <c r="P450" s="255"/>
      <c r="Q450" s="255"/>
      <c r="R450" s="255"/>
      <c r="S450" s="255"/>
      <c r="T450" s="255"/>
      <c r="U450" s="255"/>
      <c r="V450" s="255"/>
      <c r="W450" s="255"/>
      <c r="X450" s="255"/>
      <c r="Y450" s="255"/>
      <c r="Z450" s="255"/>
      <c r="AA450" s="255"/>
      <c r="AB450" s="255"/>
    </row>
    <row r="451">
      <c r="A451" s="255"/>
      <c r="B451" s="255"/>
      <c r="C451" s="261"/>
      <c r="D451" s="262"/>
      <c r="E451" s="364"/>
      <c r="F451" s="364"/>
      <c r="G451" s="355"/>
      <c r="H451" s="255"/>
      <c r="I451" s="255"/>
      <c r="J451" s="255"/>
      <c r="K451" s="255"/>
      <c r="L451" s="255"/>
      <c r="M451" s="255"/>
      <c r="N451" s="255"/>
      <c r="O451" s="255"/>
      <c r="P451" s="255"/>
      <c r="Q451" s="255"/>
      <c r="R451" s="255"/>
      <c r="S451" s="255"/>
      <c r="T451" s="255"/>
      <c r="U451" s="255"/>
      <c r="V451" s="255"/>
      <c r="W451" s="255"/>
      <c r="X451" s="255"/>
      <c r="Y451" s="255"/>
      <c r="Z451" s="255"/>
      <c r="AA451" s="255"/>
      <c r="AB451" s="255"/>
    </row>
    <row r="452">
      <c r="A452" s="255"/>
      <c r="B452" s="255"/>
      <c r="C452" s="261"/>
      <c r="D452" s="262"/>
      <c r="E452" s="364"/>
      <c r="F452" s="364"/>
      <c r="G452" s="355"/>
      <c r="H452" s="255"/>
      <c r="I452" s="255"/>
      <c r="J452" s="255"/>
      <c r="K452" s="255"/>
      <c r="L452" s="255"/>
      <c r="M452" s="255"/>
      <c r="N452" s="255"/>
      <c r="O452" s="255"/>
      <c r="P452" s="255"/>
      <c r="Q452" s="255"/>
      <c r="R452" s="255"/>
      <c r="S452" s="255"/>
      <c r="T452" s="255"/>
      <c r="U452" s="255"/>
      <c r="V452" s="255"/>
      <c r="W452" s="255"/>
      <c r="X452" s="255"/>
      <c r="Y452" s="255"/>
      <c r="Z452" s="255"/>
      <c r="AA452" s="255"/>
      <c r="AB452" s="255"/>
    </row>
    <row r="453">
      <c r="A453" s="255"/>
      <c r="B453" s="255"/>
      <c r="C453" s="261"/>
      <c r="D453" s="262"/>
      <c r="E453" s="364"/>
      <c r="F453" s="364"/>
      <c r="G453" s="355"/>
      <c r="H453" s="255"/>
      <c r="I453" s="255"/>
      <c r="J453" s="255"/>
      <c r="K453" s="255"/>
      <c r="L453" s="255"/>
      <c r="M453" s="255"/>
      <c r="N453" s="255"/>
      <c r="O453" s="255"/>
      <c r="P453" s="255"/>
      <c r="Q453" s="255"/>
      <c r="R453" s="255"/>
      <c r="S453" s="255"/>
      <c r="T453" s="255"/>
      <c r="U453" s="255"/>
      <c r="V453" s="255"/>
      <c r="W453" s="255"/>
      <c r="X453" s="255"/>
      <c r="Y453" s="255"/>
      <c r="Z453" s="255"/>
      <c r="AA453" s="255"/>
      <c r="AB453" s="255"/>
    </row>
    <row r="454">
      <c r="A454" s="255"/>
      <c r="B454" s="255"/>
      <c r="C454" s="261"/>
      <c r="D454" s="262"/>
      <c r="E454" s="364"/>
      <c r="F454" s="364"/>
      <c r="G454" s="355"/>
      <c r="H454" s="255"/>
      <c r="I454" s="255"/>
      <c r="J454" s="255"/>
      <c r="K454" s="255"/>
      <c r="L454" s="255"/>
      <c r="M454" s="255"/>
      <c r="N454" s="255"/>
      <c r="O454" s="255"/>
      <c r="P454" s="255"/>
      <c r="Q454" s="255"/>
      <c r="R454" s="255"/>
      <c r="S454" s="255"/>
      <c r="T454" s="255"/>
      <c r="U454" s="255"/>
      <c r="V454" s="255"/>
      <c r="W454" s="255"/>
      <c r="X454" s="255"/>
      <c r="Y454" s="255"/>
      <c r="Z454" s="255"/>
      <c r="AA454" s="255"/>
      <c r="AB454" s="255"/>
    </row>
    <row r="455">
      <c r="A455" s="255"/>
      <c r="B455" s="255"/>
      <c r="C455" s="261"/>
      <c r="D455" s="262"/>
      <c r="E455" s="364"/>
      <c r="F455" s="364"/>
      <c r="G455" s="355"/>
      <c r="H455" s="255"/>
      <c r="I455" s="255"/>
      <c r="J455" s="255"/>
      <c r="K455" s="255"/>
      <c r="L455" s="255"/>
      <c r="M455" s="255"/>
      <c r="N455" s="255"/>
      <c r="O455" s="255"/>
      <c r="P455" s="255"/>
      <c r="Q455" s="255"/>
      <c r="R455" s="255"/>
      <c r="S455" s="255"/>
      <c r="T455" s="255"/>
      <c r="U455" s="255"/>
      <c r="V455" s="255"/>
      <c r="W455" s="255"/>
      <c r="X455" s="255"/>
      <c r="Y455" s="255"/>
      <c r="Z455" s="255"/>
      <c r="AA455" s="255"/>
      <c r="AB455" s="255"/>
    </row>
    <row r="456">
      <c r="A456" s="255"/>
      <c r="B456" s="255"/>
      <c r="C456" s="261"/>
      <c r="D456" s="262"/>
      <c r="E456" s="364"/>
      <c r="F456" s="364"/>
      <c r="G456" s="355"/>
      <c r="H456" s="255"/>
      <c r="I456" s="255"/>
      <c r="J456" s="255"/>
      <c r="K456" s="255"/>
      <c r="L456" s="255"/>
      <c r="M456" s="255"/>
      <c r="N456" s="255"/>
      <c r="O456" s="255"/>
      <c r="P456" s="255"/>
      <c r="Q456" s="255"/>
      <c r="R456" s="255"/>
      <c r="S456" s="255"/>
      <c r="T456" s="255"/>
      <c r="U456" s="255"/>
      <c r="V456" s="255"/>
      <c r="W456" s="255"/>
      <c r="X456" s="255"/>
      <c r="Y456" s="255"/>
      <c r="Z456" s="255"/>
      <c r="AA456" s="255"/>
      <c r="AB456" s="255"/>
    </row>
    <row r="457">
      <c r="A457" s="255"/>
      <c r="B457" s="255"/>
      <c r="C457" s="261"/>
      <c r="D457" s="262"/>
      <c r="E457" s="364"/>
      <c r="F457" s="364"/>
      <c r="G457" s="355"/>
      <c r="H457" s="255"/>
      <c r="I457" s="255"/>
      <c r="J457" s="255"/>
      <c r="K457" s="255"/>
      <c r="L457" s="255"/>
      <c r="M457" s="255"/>
      <c r="N457" s="255"/>
      <c r="O457" s="255"/>
      <c r="P457" s="255"/>
      <c r="Q457" s="255"/>
      <c r="R457" s="255"/>
      <c r="S457" s="255"/>
      <c r="T457" s="255"/>
      <c r="U457" s="255"/>
      <c r="V457" s="255"/>
      <c r="W457" s="255"/>
      <c r="X457" s="255"/>
      <c r="Y457" s="255"/>
      <c r="Z457" s="255"/>
      <c r="AA457" s="255"/>
      <c r="AB457" s="255"/>
    </row>
    <row r="458">
      <c r="A458" s="255"/>
      <c r="B458" s="255"/>
      <c r="C458" s="261"/>
      <c r="D458" s="262"/>
      <c r="E458" s="364"/>
      <c r="F458" s="364"/>
      <c r="G458" s="355"/>
      <c r="H458" s="255"/>
      <c r="I458" s="255"/>
      <c r="J458" s="255"/>
      <c r="K458" s="255"/>
      <c r="L458" s="255"/>
      <c r="M458" s="255"/>
      <c r="N458" s="255"/>
      <c r="O458" s="255"/>
      <c r="P458" s="255"/>
      <c r="Q458" s="255"/>
      <c r="R458" s="255"/>
      <c r="S458" s="255"/>
      <c r="T458" s="255"/>
      <c r="U458" s="255"/>
      <c r="V458" s="255"/>
      <c r="W458" s="255"/>
      <c r="X458" s="255"/>
      <c r="Y458" s="255"/>
      <c r="Z458" s="255"/>
      <c r="AA458" s="255"/>
      <c r="AB458" s="255"/>
    </row>
    <row r="459">
      <c r="A459" s="255"/>
      <c r="B459" s="255"/>
      <c r="C459" s="261"/>
      <c r="D459" s="262"/>
      <c r="E459" s="364"/>
      <c r="F459" s="364"/>
      <c r="G459" s="355"/>
      <c r="H459" s="255"/>
      <c r="I459" s="255"/>
      <c r="J459" s="255"/>
      <c r="K459" s="255"/>
      <c r="L459" s="255"/>
      <c r="M459" s="255"/>
      <c r="N459" s="255"/>
      <c r="O459" s="255"/>
      <c r="P459" s="255"/>
      <c r="Q459" s="255"/>
      <c r="R459" s="255"/>
      <c r="S459" s="255"/>
      <c r="T459" s="255"/>
      <c r="U459" s="255"/>
      <c r="V459" s="255"/>
      <c r="W459" s="255"/>
      <c r="X459" s="255"/>
      <c r="Y459" s="255"/>
      <c r="Z459" s="255"/>
      <c r="AA459" s="255"/>
      <c r="AB459" s="255"/>
    </row>
    <row r="460">
      <c r="A460" s="255"/>
      <c r="B460" s="255"/>
      <c r="C460" s="261"/>
      <c r="D460" s="262"/>
      <c r="E460" s="364"/>
      <c r="F460" s="364"/>
      <c r="G460" s="355"/>
      <c r="H460" s="255"/>
      <c r="I460" s="255"/>
      <c r="J460" s="255"/>
      <c r="K460" s="255"/>
      <c r="L460" s="255"/>
      <c r="M460" s="255"/>
      <c r="N460" s="255"/>
      <c r="O460" s="255"/>
      <c r="P460" s="255"/>
      <c r="Q460" s="255"/>
      <c r="R460" s="255"/>
      <c r="S460" s="255"/>
      <c r="T460" s="255"/>
      <c r="U460" s="255"/>
      <c r="V460" s="255"/>
      <c r="W460" s="255"/>
      <c r="X460" s="255"/>
      <c r="Y460" s="255"/>
      <c r="Z460" s="255"/>
      <c r="AA460" s="255"/>
      <c r="AB460" s="255"/>
    </row>
    <row r="461">
      <c r="A461" s="255"/>
      <c r="B461" s="255"/>
      <c r="C461" s="261"/>
      <c r="D461" s="262"/>
      <c r="E461" s="364"/>
      <c r="F461" s="364"/>
      <c r="G461" s="355"/>
      <c r="H461" s="255"/>
      <c r="I461" s="255"/>
      <c r="J461" s="255"/>
      <c r="K461" s="255"/>
      <c r="L461" s="255"/>
      <c r="M461" s="255"/>
      <c r="N461" s="255"/>
      <c r="O461" s="255"/>
      <c r="P461" s="255"/>
      <c r="Q461" s="255"/>
      <c r="R461" s="255"/>
      <c r="S461" s="255"/>
      <c r="T461" s="255"/>
      <c r="U461" s="255"/>
      <c r="V461" s="255"/>
      <c r="W461" s="255"/>
      <c r="X461" s="255"/>
      <c r="Y461" s="255"/>
      <c r="Z461" s="255"/>
      <c r="AA461" s="255"/>
      <c r="AB461" s="255"/>
    </row>
    <row r="462">
      <c r="A462" s="255"/>
      <c r="B462" s="255"/>
      <c r="C462" s="261"/>
      <c r="D462" s="262"/>
      <c r="E462" s="364"/>
      <c r="F462" s="364"/>
      <c r="G462" s="355"/>
      <c r="H462" s="255"/>
      <c r="I462" s="255"/>
      <c r="J462" s="255"/>
      <c r="K462" s="255"/>
      <c r="L462" s="255"/>
      <c r="M462" s="255"/>
      <c r="N462" s="255"/>
      <c r="O462" s="255"/>
      <c r="P462" s="255"/>
      <c r="Q462" s="255"/>
      <c r="R462" s="255"/>
      <c r="S462" s="255"/>
      <c r="T462" s="255"/>
      <c r="U462" s="255"/>
      <c r="V462" s="255"/>
      <c r="W462" s="255"/>
      <c r="X462" s="255"/>
      <c r="Y462" s="255"/>
      <c r="Z462" s="255"/>
      <c r="AA462" s="255"/>
      <c r="AB462" s="255"/>
    </row>
    <row r="463">
      <c r="A463" s="255"/>
      <c r="B463" s="255"/>
      <c r="C463" s="261"/>
      <c r="D463" s="262"/>
      <c r="E463" s="364"/>
      <c r="F463" s="364"/>
      <c r="G463" s="355"/>
      <c r="H463" s="255"/>
      <c r="I463" s="255"/>
      <c r="J463" s="255"/>
      <c r="K463" s="255"/>
      <c r="L463" s="255"/>
      <c r="M463" s="255"/>
      <c r="N463" s="255"/>
      <c r="O463" s="255"/>
      <c r="P463" s="255"/>
      <c r="Q463" s="255"/>
      <c r="R463" s="255"/>
      <c r="S463" s="255"/>
      <c r="T463" s="255"/>
      <c r="U463" s="255"/>
      <c r="V463" s="255"/>
      <c r="W463" s="255"/>
      <c r="X463" s="255"/>
      <c r="Y463" s="255"/>
      <c r="Z463" s="255"/>
      <c r="AA463" s="255"/>
      <c r="AB463" s="255"/>
    </row>
    <row r="464">
      <c r="A464" s="255"/>
      <c r="B464" s="255"/>
      <c r="C464" s="261"/>
      <c r="D464" s="262"/>
      <c r="E464" s="364"/>
      <c r="F464" s="364"/>
      <c r="G464" s="355"/>
      <c r="H464" s="255"/>
      <c r="I464" s="255"/>
      <c r="J464" s="255"/>
      <c r="K464" s="255"/>
      <c r="L464" s="255"/>
      <c r="M464" s="255"/>
      <c r="N464" s="255"/>
      <c r="O464" s="255"/>
      <c r="P464" s="255"/>
      <c r="Q464" s="255"/>
      <c r="R464" s="255"/>
      <c r="S464" s="255"/>
      <c r="T464" s="255"/>
      <c r="U464" s="255"/>
      <c r="V464" s="255"/>
      <c r="W464" s="255"/>
      <c r="X464" s="255"/>
      <c r="Y464" s="255"/>
      <c r="Z464" s="255"/>
      <c r="AA464" s="255"/>
      <c r="AB464" s="255"/>
    </row>
    <row r="465">
      <c r="A465" s="255"/>
      <c r="B465" s="255"/>
      <c r="C465" s="261"/>
      <c r="D465" s="262"/>
      <c r="E465" s="364"/>
      <c r="F465" s="364"/>
      <c r="G465" s="355"/>
      <c r="H465" s="255"/>
      <c r="I465" s="255"/>
      <c r="J465" s="255"/>
      <c r="K465" s="255"/>
      <c r="L465" s="255"/>
      <c r="M465" s="255"/>
      <c r="N465" s="255"/>
      <c r="O465" s="255"/>
      <c r="P465" s="255"/>
      <c r="Q465" s="255"/>
      <c r="R465" s="255"/>
      <c r="S465" s="255"/>
      <c r="T465" s="255"/>
      <c r="U465" s="255"/>
      <c r="V465" s="255"/>
      <c r="W465" s="255"/>
      <c r="X465" s="255"/>
      <c r="Y465" s="255"/>
      <c r="Z465" s="255"/>
      <c r="AA465" s="255"/>
      <c r="AB465" s="255"/>
    </row>
    <row r="466">
      <c r="A466" s="255"/>
      <c r="B466" s="255"/>
      <c r="C466" s="261"/>
      <c r="D466" s="262"/>
      <c r="E466" s="364"/>
      <c r="F466" s="364"/>
      <c r="G466" s="355"/>
      <c r="H466" s="255"/>
      <c r="I466" s="255"/>
      <c r="J466" s="255"/>
      <c r="K466" s="255"/>
      <c r="L466" s="255"/>
      <c r="M466" s="255"/>
      <c r="N466" s="255"/>
      <c r="O466" s="255"/>
      <c r="P466" s="255"/>
      <c r="Q466" s="255"/>
      <c r="R466" s="255"/>
      <c r="S466" s="255"/>
      <c r="T466" s="255"/>
      <c r="U466" s="255"/>
      <c r="V466" s="255"/>
      <c r="W466" s="255"/>
      <c r="X466" s="255"/>
      <c r="Y466" s="255"/>
      <c r="Z466" s="255"/>
      <c r="AA466" s="255"/>
      <c r="AB466" s="255"/>
    </row>
    <row r="467">
      <c r="A467" s="255"/>
      <c r="B467" s="255"/>
      <c r="C467" s="261"/>
      <c r="D467" s="262"/>
      <c r="E467" s="364"/>
      <c r="F467" s="364"/>
      <c r="G467" s="355"/>
      <c r="H467" s="255"/>
      <c r="I467" s="255"/>
      <c r="J467" s="255"/>
      <c r="K467" s="255"/>
      <c r="L467" s="255"/>
      <c r="M467" s="255"/>
      <c r="N467" s="255"/>
      <c r="O467" s="255"/>
      <c r="P467" s="255"/>
      <c r="Q467" s="255"/>
      <c r="R467" s="255"/>
      <c r="S467" s="255"/>
      <c r="T467" s="255"/>
      <c r="U467" s="255"/>
      <c r="V467" s="255"/>
      <c r="W467" s="255"/>
      <c r="X467" s="255"/>
      <c r="Y467" s="255"/>
      <c r="Z467" s="255"/>
      <c r="AA467" s="255"/>
      <c r="AB467" s="255"/>
    </row>
    <row r="468">
      <c r="A468" s="255"/>
      <c r="B468" s="255"/>
      <c r="C468" s="261"/>
      <c r="D468" s="262"/>
      <c r="E468" s="364"/>
      <c r="F468" s="364"/>
      <c r="G468" s="355"/>
      <c r="H468" s="255"/>
      <c r="I468" s="255"/>
      <c r="J468" s="255"/>
      <c r="K468" s="255"/>
      <c r="L468" s="255"/>
      <c r="M468" s="255"/>
      <c r="N468" s="255"/>
      <c r="O468" s="255"/>
      <c r="P468" s="255"/>
      <c r="Q468" s="255"/>
      <c r="R468" s="255"/>
      <c r="S468" s="255"/>
      <c r="T468" s="255"/>
      <c r="U468" s="255"/>
      <c r="V468" s="255"/>
      <c r="W468" s="255"/>
      <c r="X468" s="255"/>
      <c r="Y468" s="255"/>
      <c r="Z468" s="255"/>
      <c r="AA468" s="255"/>
      <c r="AB468" s="255"/>
    </row>
    <row r="469">
      <c r="A469" s="255"/>
      <c r="B469" s="255"/>
      <c r="C469" s="261"/>
      <c r="D469" s="262"/>
      <c r="E469" s="364"/>
      <c r="F469" s="364"/>
      <c r="G469" s="355"/>
      <c r="H469" s="255"/>
      <c r="I469" s="255"/>
      <c r="J469" s="255"/>
      <c r="K469" s="255"/>
      <c r="L469" s="255"/>
      <c r="M469" s="255"/>
      <c r="N469" s="255"/>
      <c r="O469" s="255"/>
      <c r="P469" s="255"/>
      <c r="Q469" s="255"/>
      <c r="R469" s="255"/>
      <c r="S469" s="255"/>
      <c r="T469" s="255"/>
      <c r="U469" s="255"/>
      <c r="V469" s="255"/>
      <c r="W469" s="255"/>
      <c r="X469" s="255"/>
      <c r="Y469" s="255"/>
      <c r="Z469" s="255"/>
      <c r="AA469" s="255"/>
      <c r="AB469" s="255"/>
    </row>
    <row r="470">
      <c r="A470" s="255"/>
      <c r="B470" s="255"/>
      <c r="C470" s="261"/>
      <c r="D470" s="262"/>
      <c r="E470" s="364"/>
      <c r="F470" s="364"/>
      <c r="G470" s="355"/>
      <c r="H470" s="255"/>
      <c r="I470" s="255"/>
      <c r="J470" s="255"/>
      <c r="K470" s="255"/>
      <c r="L470" s="255"/>
      <c r="M470" s="255"/>
      <c r="N470" s="255"/>
      <c r="O470" s="255"/>
      <c r="P470" s="255"/>
      <c r="Q470" s="255"/>
      <c r="R470" s="255"/>
      <c r="S470" s="255"/>
      <c r="T470" s="255"/>
      <c r="U470" s="255"/>
      <c r="V470" s="255"/>
      <c r="W470" s="255"/>
      <c r="X470" s="255"/>
      <c r="Y470" s="255"/>
      <c r="Z470" s="255"/>
      <c r="AA470" s="255"/>
      <c r="AB470" s="255"/>
    </row>
    <row r="471">
      <c r="A471" s="255"/>
      <c r="B471" s="255"/>
      <c r="C471" s="261"/>
      <c r="D471" s="262"/>
      <c r="E471" s="364"/>
      <c r="F471" s="364"/>
      <c r="G471" s="355"/>
      <c r="H471" s="255"/>
      <c r="I471" s="255"/>
      <c r="J471" s="255"/>
      <c r="K471" s="255"/>
      <c r="L471" s="255"/>
      <c r="M471" s="255"/>
      <c r="N471" s="255"/>
      <c r="O471" s="255"/>
      <c r="P471" s="255"/>
      <c r="Q471" s="255"/>
      <c r="R471" s="255"/>
      <c r="S471" s="255"/>
      <c r="T471" s="255"/>
      <c r="U471" s="255"/>
      <c r="V471" s="255"/>
      <c r="W471" s="255"/>
      <c r="X471" s="255"/>
      <c r="Y471" s="255"/>
      <c r="Z471" s="255"/>
      <c r="AA471" s="255"/>
      <c r="AB471" s="255"/>
    </row>
    <row r="472">
      <c r="A472" s="255"/>
      <c r="B472" s="255"/>
      <c r="C472" s="261"/>
      <c r="D472" s="262"/>
      <c r="E472" s="364"/>
      <c r="F472" s="364"/>
      <c r="G472" s="355"/>
      <c r="H472" s="255"/>
      <c r="I472" s="255"/>
      <c r="J472" s="255"/>
      <c r="K472" s="255"/>
      <c r="L472" s="255"/>
      <c r="M472" s="255"/>
      <c r="N472" s="255"/>
      <c r="O472" s="255"/>
      <c r="P472" s="255"/>
      <c r="Q472" s="255"/>
      <c r="R472" s="255"/>
      <c r="S472" s="255"/>
      <c r="T472" s="255"/>
      <c r="U472" s="255"/>
      <c r="V472" s="255"/>
      <c r="W472" s="255"/>
      <c r="X472" s="255"/>
      <c r="Y472" s="255"/>
      <c r="Z472" s="255"/>
      <c r="AA472" s="255"/>
      <c r="AB472" s="255"/>
    </row>
    <row r="473">
      <c r="A473" s="255"/>
      <c r="B473" s="255"/>
      <c r="C473" s="261"/>
      <c r="D473" s="262"/>
      <c r="E473" s="364"/>
      <c r="F473" s="364"/>
      <c r="G473" s="355"/>
      <c r="H473" s="255"/>
      <c r="I473" s="255"/>
      <c r="J473" s="255"/>
      <c r="K473" s="255"/>
      <c r="L473" s="255"/>
      <c r="M473" s="255"/>
      <c r="N473" s="255"/>
      <c r="O473" s="255"/>
      <c r="P473" s="255"/>
      <c r="Q473" s="255"/>
      <c r="R473" s="255"/>
      <c r="S473" s="255"/>
      <c r="T473" s="255"/>
      <c r="U473" s="255"/>
      <c r="V473" s="255"/>
      <c r="W473" s="255"/>
      <c r="X473" s="255"/>
      <c r="Y473" s="255"/>
      <c r="Z473" s="255"/>
      <c r="AA473" s="255"/>
      <c r="AB473" s="255"/>
    </row>
    <row r="474">
      <c r="A474" s="255"/>
      <c r="B474" s="255"/>
      <c r="C474" s="261"/>
      <c r="D474" s="262"/>
      <c r="E474" s="364"/>
      <c r="F474" s="364"/>
      <c r="G474" s="355"/>
      <c r="H474" s="255"/>
      <c r="I474" s="255"/>
      <c r="J474" s="255"/>
      <c r="K474" s="255"/>
      <c r="L474" s="255"/>
      <c r="M474" s="255"/>
      <c r="N474" s="255"/>
      <c r="O474" s="255"/>
      <c r="P474" s="255"/>
      <c r="Q474" s="255"/>
      <c r="R474" s="255"/>
      <c r="S474" s="255"/>
      <c r="T474" s="255"/>
      <c r="U474" s="255"/>
      <c r="V474" s="255"/>
      <c r="W474" s="255"/>
      <c r="X474" s="255"/>
      <c r="Y474" s="255"/>
      <c r="Z474" s="255"/>
      <c r="AA474" s="255"/>
      <c r="AB474" s="255"/>
    </row>
    <row r="475">
      <c r="A475" s="255"/>
      <c r="B475" s="255"/>
      <c r="C475" s="261"/>
      <c r="D475" s="262"/>
      <c r="E475" s="364"/>
      <c r="F475" s="364"/>
      <c r="G475" s="355"/>
      <c r="H475" s="255"/>
      <c r="I475" s="255"/>
      <c r="J475" s="255"/>
      <c r="K475" s="255"/>
      <c r="L475" s="255"/>
      <c r="M475" s="255"/>
      <c r="N475" s="255"/>
      <c r="O475" s="255"/>
      <c r="P475" s="255"/>
      <c r="Q475" s="255"/>
      <c r="R475" s="255"/>
      <c r="S475" s="255"/>
      <c r="T475" s="255"/>
      <c r="U475" s="255"/>
      <c r="V475" s="255"/>
      <c r="W475" s="255"/>
      <c r="X475" s="255"/>
      <c r="Y475" s="255"/>
      <c r="Z475" s="255"/>
      <c r="AA475" s="255"/>
      <c r="AB475" s="255"/>
    </row>
    <row r="476">
      <c r="A476" s="255"/>
      <c r="B476" s="255"/>
      <c r="C476" s="261"/>
      <c r="D476" s="262"/>
      <c r="E476" s="364"/>
      <c r="F476" s="364"/>
      <c r="G476" s="355"/>
      <c r="H476" s="255"/>
      <c r="I476" s="255"/>
      <c r="J476" s="255"/>
      <c r="K476" s="255"/>
      <c r="L476" s="255"/>
      <c r="M476" s="255"/>
      <c r="N476" s="255"/>
      <c r="O476" s="255"/>
      <c r="P476" s="255"/>
      <c r="Q476" s="255"/>
      <c r="R476" s="255"/>
      <c r="S476" s="255"/>
      <c r="T476" s="255"/>
      <c r="U476" s="255"/>
      <c r="V476" s="255"/>
      <c r="W476" s="255"/>
      <c r="X476" s="255"/>
      <c r="Y476" s="255"/>
      <c r="Z476" s="255"/>
      <c r="AA476" s="255"/>
      <c r="AB476" s="255"/>
    </row>
    <row r="477">
      <c r="A477" s="255"/>
      <c r="B477" s="255"/>
      <c r="C477" s="261"/>
      <c r="D477" s="262"/>
      <c r="E477" s="364"/>
      <c r="F477" s="364"/>
      <c r="G477" s="355"/>
      <c r="H477" s="255"/>
      <c r="I477" s="255"/>
      <c r="J477" s="255"/>
      <c r="K477" s="255"/>
      <c r="L477" s="255"/>
      <c r="M477" s="255"/>
      <c r="N477" s="255"/>
      <c r="O477" s="255"/>
      <c r="P477" s="255"/>
      <c r="Q477" s="255"/>
      <c r="R477" s="255"/>
      <c r="S477" s="255"/>
      <c r="T477" s="255"/>
      <c r="U477" s="255"/>
      <c r="V477" s="255"/>
      <c r="W477" s="255"/>
      <c r="X477" s="255"/>
      <c r="Y477" s="255"/>
      <c r="Z477" s="255"/>
      <c r="AA477" s="255"/>
      <c r="AB477" s="255"/>
    </row>
    <row r="478">
      <c r="A478" s="255"/>
      <c r="B478" s="255"/>
      <c r="C478" s="261"/>
      <c r="D478" s="262"/>
      <c r="E478" s="364"/>
      <c r="F478" s="364"/>
      <c r="G478" s="355"/>
      <c r="H478" s="255"/>
      <c r="I478" s="255"/>
      <c r="J478" s="255"/>
      <c r="K478" s="255"/>
      <c r="L478" s="255"/>
      <c r="M478" s="255"/>
      <c r="N478" s="255"/>
      <c r="O478" s="255"/>
      <c r="P478" s="255"/>
      <c r="Q478" s="255"/>
      <c r="R478" s="255"/>
      <c r="S478" s="255"/>
      <c r="T478" s="255"/>
      <c r="U478" s="255"/>
      <c r="V478" s="255"/>
      <c r="W478" s="255"/>
      <c r="X478" s="255"/>
      <c r="Y478" s="255"/>
      <c r="Z478" s="255"/>
      <c r="AA478" s="255"/>
      <c r="AB478" s="255"/>
    </row>
    <row r="479">
      <c r="A479" s="255"/>
      <c r="B479" s="255"/>
      <c r="C479" s="261"/>
      <c r="D479" s="262"/>
      <c r="E479" s="364"/>
      <c r="F479" s="364"/>
      <c r="G479" s="355"/>
      <c r="H479" s="255"/>
      <c r="I479" s="255"/>
      <c r="J479" s="255"/>
      <c r="K479" s="255"/>
      <c r="L479" s="255"/>
      <c r="M479" s="255"/>
      <c r="N479" s="255"/>
      <c r="O479" s="255"/>
      <c r="P479" s="255"/>
      <c r="Q479" s="255"/>
      <c r="R479" s="255"/>
      <c r="S479" s="255"/>
      <c r="T479" s="255"/>
      <c r="U479" s="255"/>
      <c r="V479" s="255"/>
      <c r="W479" s="255"/>
      <c r="X479" s="255"/>
      <c r="Y479" s="255"/>
      <c r="Z479" s="255"/>
      <c r="AA479" s="255"/>
      <c r="AB479" s="255"/>
    </row>
    <row r="480">
      <c r="A480" s="255"/>
      <c r="B480" s="255"/>
      <c r="C480" s="261"/>
      <c r="D480" s="262"/>
      <c r="E480" s="364"/>
      <c r="F480" s="364"/>
      <c r="G480" s="355"/>
      <c r="H480" s="255"/>
      <c r="I480" s="255"/>
      <c r="J480" s="255"/>
      <c r="K480" s="255"/>
      <c r="L480" s="255"/>
      <c r="M480" s="255"/>
      <c r="N480" s="255"/>
      <c r="O480" s="255"/>
      <c r="P480" s="255"/>
      <c r="Q480" s="255"/>
      <c r="R480" s="255"/>
      <c r="S480" s="255"/>
      <c r="T480" s="255"/>
      <c r="U480" s="255"/>
      <c r="V480" s="255"/>
      <c r="W480" s="255"/>
      <c r="X480" s="255"/>
      <c r="Y480" s="255"/>
      <c r="Z480" s="255"/>
      <c r="AA480" s="255"/>
      <c r="AB480" s="255"/>
    </row>
    <row r="481">
      <c r="A481" s="255"/>
      <c r="B481" s="255"/>
      <c r="C481" s="261"/>
      <c r="D481" s="262"/>
      <c r="E481" s="364"/>
      <c r="F481" s="364"/>
      <c r="G481" s="355"/>
      <c r="H481" s="255"/>
      <c r="I481" s="255"/>
      <c r="J481" s="255"/>
      <c r="K481" s="255"/>
      <c r="L481" s="255"/>
      <c r="M481" s="255"/>
      <c r="N481" s="255"/>
      <c r="O481" s="255"/>
      <c r="P481" s="255"/>
      <c r="Q481" s="255"/>
      <c r="R481" s="255"/>
      <c r="S481" s="255"/>
      <c r="T481" s="255"/>
      <c r="U481" s="255"/>
      <c r="V481" s="255"/>
      <c r="W481" s="255"/>
      <c r="X481" s="255"/>
      <c r="Y481" s="255"/>
      <c r="Z481" s="255"/>
      <c r="AA481" s="255"/>
      <c r="AB481" s="255"/>
    </row>
    <row r="482">
      <c r="A482" s="255"/>
      <c r="B482" s="255"/>
      <c r="C482" s="261"/>
      <c r="D482" s="262"/>
      <c r="E482" s="364"/>
      <c r="F482" s="364"/>
      <c r="G482" s="355"/>
      <c r="H482" s="255"/>
      <c r="I482" s="255"/>
      <c r="J482" s="255"/>
      <c r="K482" s="255"/>
      <c r="L482" s="255"/>
      <c r="M482" s="255"/>
      <c r="N482" s="255"/>
      <c r="O482" s="255"/>
      <c r="P482" s="255"/>
      <c r="Q482" s="255"/>
      <c r="R482" s="255"/>
      <c r="S482" s="255"/>
      <c r="T482" s="255"/>
      <c r="U482" s="255"/>
      <c r="V482" s="255"/>
      <c r="W482" s="255"/>
      <c r="X482" s="255"/>
      <c r="Y482" s="255"/>
      <c r="Z482" s="255"/>
      <c r="AA482" s="255"/>
      <c r="AB482" s="255"/>
    </row>
    <row r="483">
      <c r="A483" s="255"/>
      <c r="B483" s="255"/>
      <c r="C483" s="261"/>
      <c r="D483" s="262"/>
      <c r="E483" s="364"/>
      <c r="F483" s="364"/>
      <c r="G483" s="355"/>
      <c r="H483" s="255"/>
      <c r="I483" s="255"/>
      <c r="J483" s="255"/>
      <c r="K483" s="255"/>
      <c r="L483" s="255"/>
      <c r="M483" s="255"/>
      <c r="N483" s="255"/>
      <c r="O483" s="255"/>
      <c r="P483" s="255"/>
      <c r="Q483" s="255"/>
      <c r="R483" s="255"/>
      <c r="S483" s="255"/>
      <c r="T483" s="255"/>
      <c r="U483" s="255"/>
      <c r="V483" s="255"/>
      <c r="W483" s="255"/>
      <c r="X483" s="255"/>
      <c r="Y483" s="255"/>
      <c r="Z483" s="255"/>
      <c r="AA483" s="255"/>
      <c r="AB483" s="255"/>
    </row>
    <row r="484">
      <c r="A484" s="255"/>
      <c r="B484" s="255"/>
      <c r="C484" s="261"/>
      <c r="D484" s="262"/>
      <c r="E484" s="364"/>
      <c r="F484" s="364"/>
      <c r="G484" s="355"/>
      <c r="H484" s="255"/>
      <c r="I484" s="255"/>
      <c r="J484" s="255"/>
      <c r="K484" s="255"/>
      <c r="L484" s="255"/>
      <c r="M484" s="255"/>
      <c r="N484" s="255"/>
      <c r="O484" s="255"/>
      <c r="P484" s="255"/>
      <c r="Q484" s="255"/>
      <c r="R484" s="255"/>
      <c r="S484" s="255"/>
      <c r="T484" s="255"/>
      <c r="U484" s="255"/>
      <c r="V484" s="255"/>
      <c r="W484" s="255"/>
      <c r="X484" s="255"/>
      <c r="Y484" s="255"/>
      <c r="Z484" s="255"/>
      <c r="AA484" s="255"/>
      <c r="AB484" s="255"/>
    </row>
    <row r="485">
      <c r="A485" s="255"/>
      <c r="B485" s="255"/>
      <c r="C485" s="261"/>
      <c r="D485" s="262"/>
      <c r="E485" s="364"/>
      <c r="F485" s="364"/>
      <c r="G485" s="355"/>
      <c r="H485" s="255"/>
      <c r="I485" s="255"/>
      <c r="J485" s="255"/>
      <c r="K485" s="255"/>
      <c r="L485" s="255"/>
      <c r="M485" s="255"/>
      <c r="N485" s="255"/>
      <c r="O485" s="255"/>
      <c r="P485" s="255"/>
      <c r="Q485" s="255"/>
      <c r="R485" s="255"/>
      <c r="S485" s="255"/>
      <c r="T485" s="255"/>
      <c r="U485" s="255"/>
      <c r="V485" s="255"/>
      <c r="W485" s="255"/>
      <c r="X485" s="255"/>
      <c r="Y485" s="255"/>
      <c r="Z485" s="255"/>
      <c r="AA485" s="255"/>
      <c r="AB485" s="255"/>
    </row>
    <row r="486">
      <c r="A486" s="255"/>
      <c r="B486" s="255"/>
      <c r="C486" s="261"/>
      <c r="D486" s="262"/>
      <c r="E486" s="364"/>
      <c r="F486" s="364"/>
      <c r="G486" s="355"/>
      <c r="H486" s="255"/>
      <c r="I486" s="255"/>
      <c r="J486" s="255"/>
      <c r="K486" s="255"/>
      <c r="L486" s="255"/>
      <c r="M486" s="255"/>
      <c r="N486" s="255"/>
      <c r="O486" s="255"/>
      <c r="P486" s="255"/>
      <c r="Q486" s="255"/>
      <c r="R486" s="255"/>
      <c r="S486" s="255"/>
      <c r="T486" s="255"/>
      <c r="U486" s="255"/>
      <c r="V486" s="255"/>
      <c r="W486" s="255"/>
      <c r="X486" s="255"/>
      <c r="Y486" s="255"/>
      <c r="Z486" s="255"/>
      <c r="AA486" s="255"/>
      <c r="AB486" s="255"/>
    </row>
    <row r="487">
      <c r="A487" s="255"/>
      <c r="B487" s="255"/>
      <c r="C487" s="261"/>
      <c r="D487" s="262"/>
      <c r="E487" s="364"/>
      <c r="F487" s="364"/>
      <c r="G487" s="355"/>
      <c r="H487" s="255"/>
      <c r="I487" s="255"/>
      <c r="J487" s="255"/>
      <c r="K487" s="255"/>
      <c r="L487" s="255"/>
      <c r="M487" s="255"/>
      <c r="N487" s="255"/>
      <c r="O487" s="255"/>
      <c r="P487" s="255"/>
      <c r="Q487" s="255"/>
      <c r="R487" s="255"/>
      <c r="S487" s="255"/>
      <c r="T487" s="255"/>
      <c r="U487" s="255"/>
      <c r="V487" s="255"/>
      <c r="W487" s="255"/>
      <c r="X487" s="255"/>
      <c r="Y487" s="255"/>
      <c r="Z487" s="255"/>
      <c r="AA487" s="255"/>
      <c r="AB487" s="255"/>
    </row>
    <row r="488">
      <c r="A488" s="255"/>
      <c r="B488" s="255"/>
      <c r="C488" s="261"/>
      <c r="D488" s="262"/>
      <c r="E488" s="364"/>
      <c r="F488" s="364"/>
      <c r="G488" s="355"/>
      <c r="H488" s="255"/>
      <c r="I488" s="255"/>
      <c r="J488" s="255"/>
      <c r="K488" s="255"/>
      <c r="L488" s="255"/>
      <c r="M488" s="255"/>
      <c r="N488" s="255"/>
      <c r="O488" s="255"/>
      <c r="P488" s="255"/>
      <c r="Q488" s="255"/>
      <c r="R488" s="255"/>
      <c r="S488" s="255"/>
      <c r="T488" s="255"/>
      <c r="U488" s="255"/>
      <c r="V488" s="255"/>
      <c r="W488" s="255"/>
      <c r="X488" s="255"/>
      <c r="Y488" s="255"/>
      <c r="Z488" s="255"/>
      <c r="AA488" s="255"/>
      <c r="AB488" s="255"/>
    </row>
    <row r="489">
      <c r="A489" s="255"/>
      <c r="B489" s="255"/>
      <c r="C489" s="261"/>
      <c r="D489" s="262"/>
      <c r="E489" s="364"/>
      <c r="F489" s="364"/>
      <c r="G489" s="355"/>
      <c r="H489" s="255"/>
      <c r="I489" s="255"/>
      <c r="J489" s="255"/>
      <c r="K489" s="255"/>
      <c r="L489" s="255"/>
      <c r="M489" s="255"/>
      <c r="N489" s="255"/>
      <c r="O489" s="255"/>
      <c r="P489" s="255"/>
      <c r="Q489" s="255"/>
      <c r="R489" s="255"/>
      <c r="S489" s="255"/>
      <c r="T489" s="255"/>
      <c r="U489" s="255"/>
      <c r="V489" s="255"/>
      <c r="W489" s="255"/>
      <c r="X489" s="255"/>
      <c r="Y489" s="255"/>
      <c r="Z489" s="255"/>
      <c r="AA489" s="255"/>
      <c r="AB489" s="255"/>
    </row>
    <row r="490">
      <c r="A490" s="255"/>
      <c r="B490" s="255"/>
      <c r="C490" s="261"/>
      <c r="D490" s="262"/>
      <c r="E490" s="364"/>
      <c r="F490" s="364"/>
      <c r="G490" s="355"/>
      <c r="H490" s="255"/>
      <c r="I490" s="255"/>
      <c r="J490" s="255"/>
      <c r="K490" s="255"/>
      <c r="L490" s="255"/>
      <c r="M490" s="255"/>
      <c r="N490" s="255"/>
      <c r="O490" s="255"/>
      <c r="P490" s="255"/>
      <c r="Q490" s="255"/>
      <c r="R490" s="255"/>
      <c r="S490" s="255"/>
      <c r="T490" s="255"/>
      <c r="U490" s="255"/>
      <c r="V490" s="255"/>
      <c r="W490" s="255"/>
      <c r="X490" s="255"/>
      <c r="Y490" s="255"/>
      <c r="Z490" s="255"/>
      <c r="AA490" s="255"/>
      <c r="AB490" s="255"/>
    </row>
    <row r="491">
      <c r="A491" s="255"/>
      <c r="B491" s="255"/>
      <c r="C491" s="261"/>
      <c r="D491" s="262"/>
      <c r="E491" s="364"/>
      <c r="F491" s="364"/>
      <c r="G491" s="355"/>
      <c r="H491" s="255"/>
      <c r="I491" s="255"/>
      <c r="J491" s="255"/>
      <c r="K491" s="255"/>
      <c r="L491" s="255"/>
      <c r="M491" s="255"/>
      <c r="N491" s="255"/>
      <c r="O491" s="255"/>
      <c r="P491" s="255"/>
      <c r="Q491" s="255"/>
      <c r="R491" s="255"/>
      <c r="S491" s="255"/>
      <c r="T491" s="255"/>
      <c r="U491" s="255"/>
      <c r="V491" s="255"/>
      <c r="W491" s="255"/>
      <c r="X491" s="255"/>
      <c r="Y491" s="255"/>
      <c r="Z491" s="255"/>
      <c r="AA491" s="255"/>
      <c r="AB491" s="255"/>
    </row>
    <row r="492">
      <c r="A492" s="255"/>
      <c r="B492" s="255"/>
      <c r="C492" s="261"/>
      <c r="D492" s="262"/>
      <c r="E492" s="364"/>
      <c r="F492" s="364"/>
      <c r="G492" s="355"/>
      <c r="H492" s="255"/>
      <c r="I492" s="255"/>
      <c r="J492" s="255"/>
      <c r="K492" s="255"/>
      <c r="L492" s="255"/>
      <c r="M492" s="255"/>
      <c r="N492" s="255"/>
      <c r="O492" s="255"/>
      <c r="P492" s="255"/>
      <c r="Q492" s="255"/>
      <c r="R492" s="255"/>
      <c r="S492" s="255"/>
      <c r="T492" s="255"/>
      <c r="U492" s="255"/>
      <c r="V492" s="255"/>
      <c r="W492" s="255"/>
      <c r="X492" s="255"/>
      <c r="Y492" s="255"/>
      <c r="Z492" s="255"/>
      <c r="AA492" s="255"/>
      <c r="AB492" s="255"/>
    </row>
    <row r="493">
      <c r="A493" s="255"/>
      <c r="B493" s="255"/>
      <c r="C493" s="261"/>
      <c r="D493" s="262"/>
      <c r="E493" s="364"/>
      <c r="F493" s="364"/>
      <c r="G493" s="355"/>
      <c r="H493" s="255"/>
      <c r="I493" s="255"/>
      <c r="J493" s="255"/>
      <c r="K493" s="255"/>
      <c r="L493" s="255"/>
      <c r="M493" s="255"/>
      <c r="N493" s="255"/>
      <c r="O493" s="255"/>
      <c r="P493" s="255"/>
      <c r="Q493" s="255"/>
      <c r="R493" s="255"/>
      <c r="S493" s="255"/>
      <c r="T493" s="255"/>
      <c r="U493" s="255"/>
      <c r="V493" s="255"/>
      <c r="W493" s="255"/>
      <c r="X493" s="255"/>
      <c r="Y493" s="255"/>
      <c r="Z493" s="255"/>
      <c r="AA493" s="255"/>
      <c r="AB493" s="255"/>
    </row>
    <row r="494">
      <c r="A494" s="255"/>
      <c r="B494" s="255"/>
      <c r="C494" s="261"/>
      <c r="D494" s="262"/>
      <c r="E494" s="364"/>
      <c r="F494" s="364"/>
      <c r="G494" s="355"/>
      <c r="H494" s="255"/>
      <c r="I494" s="255"/>
      <c r="J494" s="255"/>
      <c r="K494" s="255"/>
      <c r="L494" s="255"/>
      <c r="M494" s="255"/>
      <c r="N494" s="255"/>
      <c r="O494" s="255"/>
      <c r="P494" s="255"/>
      <c r="Q494" s="255"/>
      <c r="R494" s="255"/>
      <c r="S494" s="255"/>
      <c r="T494" s="255"/>
      <c r="U494" s="255"/>
      <c r="V494" s="255"/>
      <c r="W494" s="255"/>
      <c r="X494" s="255"/>
      <c r="Y494" s="255"/>
      <c r="Z494" s="255"/>
      <c r="AA494" s="255"/>
      <c r="AB494" s="255"/>
    </row>
    <row r="495">
      <c r="A495" s="255"/>
      <c r="B495" s="255"/>
      <c r="C495" s="261"/>
      <c r="D495" s="262"/>
      <c r="E495" s="364"/>
      <c r="F495" s="364"/>
      <c r="G495" s="355"/>
      <c r="H495" s="255"/>
      <c r="I495" s="255"/>
      <c r="J495" s="255"/>
      <c r="K495" s="255"/>
      <c r="L495" s="255"/>
      <c r="M495" s="255"/>
      <c r="N495" s="255"/>
      <c r="O495" s="255"/>
      <c r="P495" s="255"/>
      <c r="Q495" s="255"/>
      <c r="R495" s="255"/>
      <c r="S495" s="255"/>
      <c r="T495" s="255"/>
      <c r="U495" s="255"/>
      <c r="V495" s="255"/>
      <c r="W495" s="255"/>
      <c r="X495" s="255"/>
      <c r="Y495" s="255"/>
      <c r="Z495" s="255"/>
      <c r="AA495" s="255"/>
      <c r="AB495" s="255"/>
    </row>
    <row r="496">
      <c r="A496" s="255"/>
      <c r="B496" s="255"/>
      <c r="C496" s="261"/>
      <c r="D496" s="262"/>
      <c r="E496" s="364"/>
      <c r="F496" s="364"/>
      <c r="G496" s="355"/>
      <c r="H496" s="255"/>
      <c r="I496" s="255"/>
      <c r="J496" s="255"/>
      <c r="K496" s="255"/>
      <c r="L496" s="255"/>
      <c r="M496" s="255"/>
      <c r="N496" s="255"/>
      <c r="O496" s="255"/>
      <c r="P496" s="255"/>
      <c r="Q496" s="255"/>
      <c r="R496" s="255"/>
      <c r="S496" s="255"/>
      <c r="T496" s="255"/>
      <c r="U496" s="255"/>
      <c r="V496" s="255"/>
      <c r="W496" s="255"/>
      <c r="X496" s="255"/>
      <c r="Y496" s="255"/>
      <c r="Z496" s="255"/>
      <c r="AA496" s="255"/>
      <c r="AB496" s="255"/>
    </row>
    <row r="497">
      <c r="A497" s="255"/>
      <c r="B497" s="255"/>
      <c r="C497" s="261"/>
      <c r="D497" s="262"/>
      <c r="E497" s="364"/>
      <c r="F497" s="364"/>
      <c r="G497" s="355"/>
      <c r="H497" s="255"/>
      <c r="I497" s="255"/>
      <c r="J497" s="255"/>
      <c r="K497" s="255"/>
      <c r="L497" s="255"/>
      <c r="M497" s="255"/>
      <c r="N497" s="255"/>
      <c r="O497" s="255"/>
      <c r="P497" s="255"/>
      <c r="Q497" s="255"/>
      <c r="R497" s="255"/>
      <c r="S497" s="255"/>
      <c r="T497" s="255"/>
      <c r="U497" s="255"/>
      <c r="V497" s="255"/>
      <c r="W497" s="255"/>
      <c r="X497" s="255"/>
      <c r="Y497" s="255"/>
      <c r="Z497" s="255"/>
      <c r="AA497" s="255"/>
      <c r="AB497" s="255"/>
    </row>
    <row r="498">
      <c r="A498" s="255"/>
      <c r="B498" s="255"/>
      <c r="C498" s="261"/>
      <c r="D498" s="262"/>
      <c r="E498" s="364"/>
      <c r="F498" s="364"/>
      <c r="G498" s="355"/>
      <c r="H498" s="255"/>
      <c r="I498" s="255"/>
      <c r="J498" s="255"/>
      <c r="K498" s="255"/>
      <c r="L498" s="255"/>
      <c r="M498" s="255"/>
      <c r="N498" s="255"/>
      <c r="O498" s="255"/>
      <c r="P498" s="255"/>
      <c r="Q498" s="255"/>
      <c r="R498" s="255"/>
      <c r="S498" s="255"/>
      <c r="T498" s="255"/>
      <c r="U498" s="255"/>
      <c r="V498" s="255"/>
      <c r="W498" s="255"/>
      <c r="X498" s="255"/>
      <c r="Y498" s="255"/>
      <c r="Z498" s="255"/>
      <c r="AA498" s="255"/>
      <c r="AB498" s="255"/>
    </row>
    <row r="499">
      <c r="A499" s="255"/>
      <c r="B499" s="255"/>
      <c r="C499" s="261"/>
      <c r="D499" s="262"/>
      <c r="E499" s="364"/>
      <c r="F499" s="364"/>
      <c r="G499" s="355"/>
      <c r="H499" s="255"/>
      <c r="I499" s="255"/>
      <c r="J499" s="255"/>
      <c r="K499" s="255"/>
      <c r="L499" s="255"/>
      <c r="M499" s="255"/>
      <c r="N499" s="255"/>
      <c r="O499" s="255"/>
      <c r="P499" s="255"/>
      <c r="Q499" s="255"/>
      <c r="R499" s="255"/>
      <c r="S499" s="255"/>
      <c r="T499" s="255"/>
      <c r="U499" s="255"/>
      <c r="V499" s="255"/>
      <c r="W499" s="255"/>
      <c r="X499" s="255"/>
      <c r="Y499" s="255"/>
      <c r="Z499" s="255"/>
      <c r="AA499" s="255"/>
      <c r="AB499" s="255"/>
    </row>
    <row r="500">
      <c r="A500" s="255"/>
      <c r="B500" s="255"/>
      <c r="C500" s="261"/>
      <c r="D500" s="262"/>
      <c r="E500" s="364"/>
      <c r="F500" s="364"/>
      <c r="G500" s="355"/>
      <c r="H500" s="255"/>
      <c r="I500" s="255"/>
      <c r="J500" s="255"/>
      <c r="K500" s="255"/>
      <c r="L500" s="255"/>
      <c r="M500" s="255"/>
      <c r="N500" s="255"/>
      <c r="O500" s="255"/>
      <c r="P500" s="255"/>
      <c r="Q500" s="255"/>
      <c r="R500" s="255"/>
      <c r="S500" s="255"/>
      <c r="T500" s="255"/>
      <c r="U500" s="255"/>
      <c r="V500" s="255"/>
      <c r="W500" s="255"/>
      <c r="X500" s="255"/>
      <c r="Y500" s="255"/>
      <c r="Z500" s="255"/>
      <c r="AA500" s="255"/>
      <c r="AB500" s="255"/>
    </row>
    <row r="501">
      <c r="A501" s="255"/>
      <c r="B501" s="255"/>
      <c r="C501" s="261"/>
      <c r="D501" s="262"/>
      <c r="E501" s="364"/>
      <c r="F501" s="364"/>
      <c r="G501" s="355"/>
      <c r="H501" s="255"/>
      <c r="I501" s="255"/>
      <c r="J501" s="255"/>
      <c r="K501" s="255"/>
      <c r="L501" s="255"/>
      <c r="M501" s="255"/>
      <c r="N501" s="255"/>
      <c r="O501" s="255"/>
      <c r="P501" s="255"/>
      <c r="Q501" s="255"/>
      <c r="R501" s="255"/>
      <c r="S501" s="255"/>
      <c r="T501" s="255"/>
      <c r="U501" s="255"/>
      <c r="V501" s="255"/>
      <c r="W501" s="255"/>
      <c r="X501" s="255"/>
      <c r="Y501" s="255"/>
      <c r="Z501" s="255"/>
      <c r="AA501" s="255"/>
      <c r="AB501" s="255"/>
    </row>
    <row r="502">
      <c r="A502" s="255"/>
      <c r="B502" s="255"/>
      <c r="C502" s="261"/>
      <c r="D502" s="262"/>
      <c r="E502" s="364"/>
      <c r="F502" s="364"/>
      <c r="G502" s="355"/>
      <c r="H502" s="255"/>
      <c r="I502" s="255"/>
      <c r="J502" s="255"/>
      <c r="K502" s="255"/>
      <c r="L502" s="255"/>
      <c r="M502" s="255"/>
      <c r="N502" s="255"/>
      <c r="O502" s="255"/>
      <c r="P502" s="255"/>
      <c r="Q502" s="255"/>
      <c r="R502" s="255"/>
      <c r="S502" s="255"/>
      <c r="T502" s="255"/>
      <c r="U502" s="255"/>
      <c r="V502" s="255"/>
      <c r="W502" s="255"/>
      <c r="X502" s="255"/>
      <c r="Y502" s="255"/>
      <c r="Z502" s="255"/>
      <c r="AA502" s="255"/>
      <c r="AB502" s="255"/>
    </row>
    <row r="503">
      <c r="A503" s="255"/>
      <c r="B503" s="255"/>
      <c r="C503" s="261"/>
      <c r="D503" s="262"/>
      <c r="E503" s="364"/>
      <c r="F503" s="364"/>
      <c r="G503" s="355"/>
      <c r="H503" s="255"/>
      <c r="I503" s="255"/>
      <c r="J503" s="255"/>
      <c r="K503" s="255"/>
      <c r="L503" s="255"/>
      <c r="M503" s="255"/>
      <c r="N503" s="255"/>
      <c r="O503" s="255"/>
      <c r="P503" s="255"/>
      <c r="Q503" s="255"/>
      <c r="R503" s="255"/>
      <c r="S503" s="255"/>
      <c r="T503" s="255"/>
      <c r="U503" s="255"/>
      <c r="V503" s="255"/>
      <c r="W503" s="255"/>
      <c r="X503" s="255"/>
      <c r="Y503" s="255"/>
      <c r="Z503" s="255"/>
      <c r="AA503" s="255"/>
      <c r="AB503" s="255"/>
    </row>
    <row r="504">
      <c r="A504" s="255"/>
      <c r="B504" s="255"/>
      <c r="C504" s="261"/>
      <c r="D504" s="262"/>
      <c r="E504" s="364"/>
      <c r="F504" s="364"/>
      <c r="G504" s="355"/>
      <c r="H504" s="255"/>
      <c r="I504" s="255"/>
      <c r="J504" s="255"/>
      <c r="K504" s="255"/>
      <c r="L504" s="255"/>
      <c r="M504" s="255"/>
      <c r="N504" s="255"/>
      <c r="O504" s="255"/>
      <c r="P504" s="255"/>
      <c r="Q504" s="255"/>
      <c r="R504" s="255"/>
      <c r="S504" s="255"/>
      <c r="T504" s="255"/>
      <c r="U504" s="255"/>
      <c r="V504" s="255"/>
      <c r="W504" s="255"/>
      <c r="X504" s="255"/>
      <c r="Y504" s="255"/>
      <c r="Z504" s="255"/>
      <c r="AA504" s="255"/>
      <c r="AB504" s="255"/>
    </row>
    <row r="505">
      <c r="A505" s="255"/>
      <c r="B505" s="255"/>
      <c r="C505" s="261"/>
      <c r="D505" s="262"/>
      <c r="E505" s="364"/>
      <c r="F505" s="364"/>
      <c r="G505" s="355"/>
      <c r="H505" s="255"/>
      <c r="I505" s="255"/>
      <c r="J505" s="255"/>
      <c r="K505" s="255"/>
      <c r="L505" s="255"/>
      <c r="M505" s="255"/>
      <c r="N505" s="255"/>
      <c r="O505" s="255"/>
      <c r="P505" s="255"/>
      <c r="Q505" s="255"/>
      <c r="R505" s="255"/>
      <c r="S505" s="255"/>
      <c r="T505" s="255"/>
      <c r="U505" s="255"/>
      <c r="V505" s="255"/>
      <c r="W505" s="255"/>
      <c r="X505" s="255"/>
      <c r="Y505" s="255"/>
      <c r="Z505" s="255"/>
      <c r="AA505" s="255"/>
      <c r="AB505" s="255"/>
    </row>
    <row r="506">
      <c r="A506" s="255"/>
      <c r="B506" s="255"/>
      <c r="C506" s="261"/>
      <c r="D506" s="262"/>
      <c r="E506" s="364"/>
      <c r="F506" s="364"/>
      <c r="G506" s="355"/>
      <c r="H506" s="255"/>
      <c r="I506" s="255"/>
      <c r="J506" s="255"/>
      <c r="K506" s="255"/>
      <c r="L506" s="255"/>
      <c r="M506" s="255"/>
      <c r="N506" s="255"/>
      <c r="O506" s="255"/>
      <c r="P506" s="255"/>
      <c r="Q506" s="255"/>
      <c r="R506" s="255"/>
      <c r="S506" s="255"/>
      <c r="T506" s="255"/>
      <c r="U506" s="255"/>
      <c r="V506" s="255"/>
      <c r="W506" s="255"/>
      <c r="X506" s="255"/>
      <c r="Y506" s="255"/>
      <c r="Z506" s="255"/>
      <c r="AA506" s="255"/>
      <c r="AB506" s="255"/>
    </row>
    <row r="507">
      <c r="A507" s="255"/>
      <c r="B507" s="255"/>
      <c r="C507" s="261"/>
      <c r="D507" s="262"/>
      <c r="E507" s="364"/>
      <c r="F507" s="364"/>
      <c r="G507" s="355"/>
      <c r="H507" s="255"/>
      <c r="I507" s="255"/>
      <c r="J507" s="255"/>
      <c r="K507" s="255"/>
      <c r="L507" s="255"/>
      <c r="M507" s="255"/>
      <c r="N507" s="255"/>
      <c r="O507" s="255"/>
      <c r="P507" s="255"/>
      <c r="Q507" s="255"/>
      <c r="R507" s="255"/>
      <c r="S507" s="255"/>
      <c r="T507" s="255"/>
      <c r="U507" s="255"/>
      <c r="V507" s="255"/>
      <c r="W507" s="255"/>
      <c r="X507" s="255"/>
      <c r="Y507" s="255"/>
      <c r="Z507" s="255"/>
      <c r="AA507" s="255"/>
      <c r="AB507" s="255"/>
    </row>
    <row r="508">
      <c r="A508" s="255"/>
      <c r="B508" s="255"/>
      <c r="C508" s="261"/>
      <c r="D508" s="262"/>
      <c r="E508" s="364"/>
      <c r="F508" s="364"/>
      <c r="G508" s="355"/>
      <c r="H508" s="255"/>
      <c r="I508" s="255"/>
      <c r="J508" s="255"/>
      <c r="K508" s="255"/>
      <c r="L508" s="255"/>
      <c r="M508" s="255"/>
      <c r="N508" s="255"/>
      <c r="O508" s="255"/>
      <c r="P508" s="255"/>
      <c r="Q508" s="255"/>
      <c r="R508" s="255"/>
      <c r="S508" s="255"/>
      <c r="T508" s="255"/>
      <c r="U508" s="255"/>
      <c r="V508" s="255"/>
      <c r="W508" s="255"/>
      <c r="X508" s="255"/>
      <c r="Y508" s="255"/>
      <c r="Z508" s="255"/>
      <c r="AA508" s="255"/>
      <c r="AB508" s="255"/>
    </row>
    <row r="509">
      <c r="A509" s="255"/>
      <c r="B509" s="255"/>
      <c r="C509" s="261"/>
      <c r="D509" s="262"/>
      <c r="E509" s="364"/>
      <c r="F509" s="364"/>
      <c r="G509" s="355"/>
      <c r="H509" s="255"/>
      <c r="I509" s="255"/>
      <c r="J509" s="255"/>
      <c r="K509" s="255"/>
      <c r="L509" s="255"/>
      <c r="M509" s="255"/>
      <c r="N509" s="255"/>
      <c r="O509" s="255"/>
      <c r="P509" s="255"/>
      <c r="Q509" s="255"/>
      <c r="R509" s="255"/>
      <c r="S509" s="255"/>
      <c r="T509" s="255"/>
      <c r="U509" s="255"/>
      <c r="V509" s="255"/>
      <c r="W509" s="255"/>
      <c r="X509" s="255"/>
      <c r="Y509" s="255"/>
      <c r="Z509" s="255"/>
      <c r="AA509" s="255"/>
      <c r="AB509" s="255"/>
    </row>
    <row r="510">
      <c r="A510" s="255"/>
      <c r="B510" s="255"/>
      <c r="C510" s="261"/>
      <c r="D510" s="262"/>
      <c r="E510" s="364"/>
      <c r="F510" s="364"/>
      <c r="G510" s="355"/>
      <c r="H510" s="255"/>
      <c r="I510" s="255"/>
      <c r="J510" s="255"/>
      <c r="K510" s="255"/>
      <c r="L510" s="255"/>
      <c r="M510" s="255"/>
      <c r="N510" s="255"/>
      <c r="O510" s="255"/>
      <c r="P510" s="255"/>
      <c r="Q510" s="255"/>
      <c r="R510" s="255"/>
      <c r="S510" s="255"/>
      <c r="T510" s="255"/>
      <c r="U510" s="255"/>
      <c r="V510" s="255"/>
      <c r="W510" s="255"/>
      <c r="X510" s="255"/>
      <c r="Y510" s="255"/>
      <c r="Z510" s="255"/>
      <c r="AA510" s="255"/>
      <c r="AB510" s="255"/>
    </row>
    <row r="511">
      <c r="A511" s="255"/>
      <c r="B511" s="255"/>
      <c r="C511" s="261"/>
      <c r="D511" s="262"/>
      <c r="E511" s="364"/>
      <c r="F511" s="364"/>
      <c r="G511" s="355"/>
      <c r="H511" s="255"/>
      <c r="I511" s="255"/>
      <c r="J511" s="255"/>
      <c r="K511" s="255"/>
      <c r="L511" s="255"/>
      <c r="M511" s="255"/>
      <c r="N511" s="255"/>
      <c r="O511" s="255"/>
      <c r="P511" s="255"/>
      <c r="Q511" s="255"/>
      <c r="R511" s="255"/>
      <c r="S511" s="255"/>
      <c r="T511" s="255"/>
      <c r="U511" s="255"/>
      <c r="V511" s="255"/>
      <c r="W511" s="255"/>
      <c r="X511" s="255"/>
      <c r="Y511" s="255"/>
      <c r="Z511" s="255"/>
      <c r="AA511" s="255"/>
      <c r="AB511" s="255"/>
    </row>
    <row r="512">
      <c r="A512" s="255"/>
      <c r="B512" s="255"/>
      <c r="C512" s="261"/>
      <c r="D512" s="262"/>
      <c r="E512" s="364"/>
      <c r="F512" s="364"/>
      <c r="G512" s="355"/>
      <c r="H512" s="255"/>
      <c r="I512" s="255"/>
      <c r="J512" s="255"/>
      <c r="K512" s="255"/>
      <c r="L512" s="255"/>
      <c r="M512" s="255"/>
      <c r="N512" s="255"/>
      <c r="O512" s="255"/>
      <c r="P512" s="255"/>
      <c r="Q512" s="255"/>
      <c r="R512" s="255"/>
      <c r="S512" s="255"/>
      <c r="T512" s="255"/>
      <c r="U512" s="255"/>
      <c r="V512" s="255"/>
      <c r="W512" s="255"/>
      <c r="X512" s="255"/>
      <c r="Y512" s="255"/>
      <c r="Z512" s="255"/>
      <c r="AA512" s="255"/>
      <c r="AB512" s="255"/>
    </row>
    <row r="513">
      <c r="A513" s="255"/>
      <c r="B513" s="255"/>
      <c r="C513" s="261"/>
      <c r="D513" s="262"/>
      <c r="E513" s="364"/>
      <c r="F513" s="364"/>
      <c r="G513" s="355"/>
      <c r="H513" s="255"/>
      <c r="I513" s="255"/>
      <c r="J513" s="255"/>
      <c r="K513" s="255"/>
      <c r="L513" s="255"/>
      <c r="M513" s="255"/>
      <c r="N513" s="255"/>
      <c r="O513" s="255"/>
      <c r="P513" s="255"/>
      <c r="Q513" s="255"/>
      <c r="R513" s="255"/>
      <c r="S513" s="255"/>
      <c r="T513" s="255"/>
      <c r="U513" s="255"/>
      <c r="V513" s="255"/>
      <c r="W513" s="255"/>
      <c r="X513" s="255"/>
      <c r="Y513" s="255"/>
      <c r="Z513" s="255"/>
      <c r="AA513" s="255"/>
      <c r="AB513" s="255"/>
    </row>
    <row r="514">
      <c r="A514" s="255"/>
      <c r="B514" s="255"/>
      <c r="C514" s="261"/>
      <c r="D514" s="262"/>
      <c r="E514" s="364"/>
      <c r="F514" s="364"/>
      <c r="G514" s="355"/>
      <c r="H514" s="255"/>
      <c r="I514" s="255"/>
      <c r="J514" s="255"/>
      <c r="K514" s="255"/>
      <c r="L514" s="255"/>
      <c r="M514" s="255"/>
      <c r="N514" s="255"/>
      <c r="O514" s="255"/>
      <c r="P514" s="255"/>
      <c r="Q514" s="255"/>
      <c r="R514" s="255"/>
      <c r="S514" s="255"/>
      <c r="T514" s="255"/>
      <c r="U514" s="255"/>
      <c r="V514" s="255"/>
      <c r="W514" s="255"/>
      <c r="X514" s="255"/>
      <c r="Y514" s="255"/>
      <c r="Z514" s="255"/>
      <c r="AA514" s="255"/>
      <c r="AB514" s="255"/>
    </row>
    <row r="515">
      <c r="A515" s="255"/>
      <c r="B515" s="255"/>
      <c r="C515" s="261"/>
      <c r="D515" s="262"/>
      <c r="E515" s="364"/>
      <c r="F515" s="364"/>
      <c r="G515" s="355"/>
      <c r="H515" s="255"/>
      <c r="I515" s="255"/>
      <c r="J515" s="255"/>
      <c r="K515" s="255"/>
      <c r="L515" s="255"/>
      <c r="M515" s="255"/>
      <c r="N515" s="255"/>
      <c r="O515" s="255"/>
      <c r="P515" s="255"/>
      <c r="Q515" s="255"/>
      <c r="R515" s="255"/>
      <c r="S515" s="255"/>
      <c r="T515" s="255"/>
      <c r="U515" s="255"/>
      <c r="V515" s="255"/>
      <c r="W515" s="255"/>
      <c r="X515" s="255"/>
      <c r="Y515" s="255"/>
      <c r="Z515" s="255"/>
      <c r="AA515" s="255"/>
      <c r="AB515" s="255"/>
    </row>
    <row r="516">
      <c r="A516" s="255"/>
      <c r="B516" s="255"/>
      <c r="C516" s="261"/>
      <c r="D516" s="262"/>
      <c r="E516" s="364"/>
      <c r="F516" s="364"/>
      <c r="G516" s="355"/>
      <c r="H516" s="255"/>
      <c r="I516" s="255"/>
      <c r="J516" s="255"/>
      <c r="K516" s="255"/>
      <c r="L516" s="255"/>
      <c r="M516" s="255"/>
      <c r="N516" s="255"/>
      <c r="O516" s="255"/>
      <c r="P516" s="255"/>
      <c r="Q516" s="255"/>
      <c r="R516" s="255"/>
      <c r="S516" s="255"/>
      <c r="T516" s="255"/>
      <c r="U516" s="255"/>
      <c r="V516" s="255"/>
      <c r="W516" s="255"/>
      <c r="X516" s="255"/>
      <c r="Y516" s="255"/>
      <c r="Z516" s="255"/>
      <c r="AA516" s="255"/>
      <c r="AB516" s="255"/>
    </row>
    <row r="517">
      <c r="A517" s="255"/>
      <c r="B517" s="255"/>
      <c r="C517" s="261"/>
      <c r="D517" s="262"/>
      <c r="E517" s="364"/>
      <c r="F517" s="364"/>
      <c r="G517" s="355"/>
      <c r="H517" s="255"/>
      <c r="I517" s="255"/>
      <c r="J517" s="255"/>
      <c r="K517" s="255"/>
      <c r="L517" s="255"/>
      <c r="M517" s="255"/>
      <c r="N517" s="255"/>
      <c r="O517" s="255"/>
      <c r="P517" s="255"/>
      <c r="Q517" s="255"/>
      <c r="R517" s="255"/>
      <c r="S517" s="255"/>
      <c r="T517" s="255"/>
      <c r="U517" s="255"/>
      <c r="V517" s="255"/>
      <c r="W517" s="255"/>
      <c r="X517" s="255"/>
      <c r="Y517" s="255"/>
      <c r="Z517" s="255"/>
      <c r="AA517" s="255"/>
      <c r="AB517" s="255"/>
    </row>
    <row r="518">
      <c r="A518" s="255"/>
      <c r="B518" s="255"/>
      <c r="C518" s="261"/>
      <c r="D518" s="262"/>
      <c r="E518" s="364"/>
      <c r="F518" s="364"/>
      <c r="G518" s="355"/>
      <c r="H518" s="255"/>
      <c r="I518" s="255"/>
      <c r="J518" s="255"/>
      <c r="K518" s="255"/>
      <c r="L518" s="255"/>
      <c r="M518" s="255"/>
      <c r="N518" s="255"/>
      <c r="O518" s="255"/>
      <c r="P518" s="255"/>
      <c r="Q518" s="255"/>
      <c r="R518" s="255"/>
      <c r="S518" s="255"/>
      <c r="T518" s="255"/>
      <c r="U518" s="255"/>
      <c r="V518" s="255"/>
      <c r="W518" s="255"/>
      <c r="X518" s="255"/>
      <c r="Y518" s="255"/>
      <c r="Z518" s="255"/>
      <c r="AA518" s="255"/>
      <c r="AB518" s="255"/>
    </row>
    <row r="519">
      <c r="A519" s="255"/>
      <c r="B519" s="255"/>
      <c r="C519" s="261"/>
      <c r="D519" s="262"/>
      <c r="E519" s="364"/>
      <c r="F519" s="364"/>
      <c r="G519" s="355"/>
      <c r="H519" s="255"/>
      <c r="I519" s="255"/>
      <c r="J519" s="255"/>
      <c r="K519" s="255"/>
      <c r="L519" s="255"/>
      <c r="M519" s="255"/>
      <c r="N519" s="255"/>
      <c r="O519" s="255"/>
      <c r="P519" s="255"/>
      <c r="Q519" s="255"/>
      <c r="R519" s="255"/>
      <c r="S519" s="255"/>
      <c r="T519" s="255"/>
      <c r="U519" s="255"/>
      <c r="V519" s="255"/>
      <c r="W519" s="255"/>
      <c r="X519" s="255"/>
      <c r="Y519" s="255"/>
      <c r="Z519" s="255"/>
      <c r="AA519" s="255"/>
      <c r="AB519" s="255"/>
    </row>
    <row r="520">
      <c r="A520" s="255"/>
      <c r="B520" s="255"/>
      <c r="C520" s="261"/>
      <c r="D520" s="262"/>
      <c r="E520" s="364"/>
      <c r="F520" s="364"/>
      <c r="G520" s="355"/>
      <c r="H520" s="255"/>
      <c r="I520" s="255"/>
      <c r="J520" s="255"/>
      <c r="K520" s="255"/>
      <c r="L520" s="255"/>
      <c r="M520" s="255"/>
      <c r="N520" s="255"/>
      <c r="O520" s="255"/>
      <c r="P520" s="255"/>
      <c r="Q520" s="255"/>
      <c r="R520" s="255"/>
      <c r="S520" s="255"/>
      <c r="T520" s="255"/>
      <c r="U520" s="255"/>
      <c r="V520" s="255"/>
      <c r="W520" s="255"/>
      <c r="X520" s="255"/>
      <c r="Y520" s="255"/>
      <c r="Z520" s="255"/>
      <c r="AA520" s="255"/>
      <c r="AB520" s="255"/>
    </row>
    <row r="521">
      <c r="A521" s="255"/>
      <c r="B521" s="255"/>
      <c r="C521" s="261"/>
      <c r="D521" s="262"/>
      <c r="E521" s="364"/>
      <c r="F521" s="364"/>
      <c r="G521" s="355"/>
      <c r="H521" s="255"/>
      <c r="I521" s="255"/>
      <c r="J521" s="255"/>
      <c r="K521" s="255"/>
      <c r="L521" s="255"/>
      <c r="M521" s="255"/>
      <c r="N521" s="255"/>
      <c r="O521" s="255"/>
      <c r="P521" s="255"/>
      <c r="Q521" s="255"/>
      <c r="R521" s="255"/>
      <c r="S521" s="255"/>
      <c r="T521" s="255"/>
      <c r="U521" s="255"/>
      <c r="V521" s="255"/>
      <c r="W521" s="255"/>
      <c r="X521" s="255"/>
      <c r="Y521" s="255"/>
      <c r="Z521" s="255"/>
      <c r="AA521" s="255"/>
      <c r="AB521" s="255"/>
    </row>
    <row r="522">
      <c r="A522" s="255"/>
      <c r="B522" s="255"/>
      <c r="C522" s="261"/>
      <c r="D522" s="262"/>
      <c r="E522" s="364"/>
      <c r="F522" s="364"/>
      <c r="G522" s="355"/>
      <c r="H522" s="255"/>
      <c r="I522" s="255"/>
      <c r="J522" s="255"/>
      <c r="K522" s="255"/>
      <c r="L522" s="255"/>
      <c r="M522" s="255"/>
      <c r="N522" s="255"/>
      <c r="O522" s="255"/>
      <c r="P522" s="255"/>
      <c r="Q522" s="255"/>
      <c r="R522" s="255"/>
      <c r="S522" s="255"/>
      <c r="T522" s="255"/>
      <c r="U522" s="255"/>
      <c r="V522" s="255"/>
      <c r="W522" s="255"/>
      <c r="X522" s="255"/>
      <c r="Y522" s="255"/>
      <c r="Z522" s="255"/>
      <c r="AA522" s="255"/>
      <c r="AB522" s="255"/>
    </row>
    <row r="523">
      <c r="A523" s="255"/>
      <c r="B523" s="255"/>
      <c r="C523" s="261"/>
      <c r="D523" s="262"/>
      <c r="E523" s="364"/>
      <c r="F523" s="364"/>
      <c r="G523" s="355"/>
      <c r="H523" s="255"/>
      <c r="I523" s="255"/>
      <c r="J523" s="255"/>
      <c r="K523" s="255"/>
      <c r="L523" s="255"/>
      <c r="M523" s="255"/>
      <c r="N523" s="255"/>
      <c r="O523" s="255"/>
      <c r="P523" s="255"/>
      <c r="Q523" s="255"/>
      <c r="R523" s="255"/>
      <c r="S523" s="255"/>
      <c r="T523" s="255"/>
      <c r="U523" s="255"/>
      <c r="V523" s="255"/>
      <c r="W523" s="255"/>
      <c r="X523" s="255"/>
      <c r="Y523" s="255"/>
      <c r="Z523" s="255"/>
      <c r="AA523" s="255"/>
      <c r="AB523" s="255"/>
    </row>
    <row r="524">
      <c r="A524" s="255"/>
      <c r="B524" s="255"/>
      <c r="C524" s="261"/>
      <c r="D524" s="262"/>
      <c r="E524" s="364"/>
      <c r="F524" s="364"/>
      <c r="G524" s="355"/>
      <c r="H524" s="255"/>
      <c r="I524" s="255"/>
      <c r="J524" s="255"/>
      <c r="K524" s="255"/>
      <c r="L524" s="255"/>
      <c r="M524" s="255"/>
      <c r="N524" s="255"/>
      <c r="O524" s="255"/>
      <c r="P524" s="255"/>
      <c r="Q524" s="255"/>
      <c r="R524" s="255"/>
      <c r="S524" s="255"/>
      <c r="T524" s="255"/>
      <c r="U524" s="255"/>
      <c r="V524" s="255"/>
      <c r="W524" s="255"/>
      <c r="X524" s="255"/>
      <c r="Y524" s="255"/>
      <c r="Z524" s="255"/>
      <c r="AA524" s="255"/>
      <c r="AB524" s="255"/>
    </row>
    <row r="525">
      <c r="A525" s="255"/>
      <c r="B525" s="255"/>
      <c r="C525" s="261"/>
      <c r="D525" s="262"/>
      <c r="E525" s="364"/>
      <c r="F525" s="364"/>
      <c r="G525" s="355"/>
      <c r="H525" s="255"/>
      <c r="I525" s="255"/>
      <c r="J525" s="255"/>
      <c r="K525" s="255"/>
      <c r="L525" s="255"/>
      <c r="M525" s="255"/>
      <c r="N525" s="255"/>
      <c r="O525" s="255"/>
      <c r="P525" s="255"/>
      <c r="Q525" s="255"/>
      <c r="R525" s="255"/>
      <c r="S525" s="255"/>
      <c r="T525" s="255"/>
      <c r="U525" s="255"/>
      <c r="V525" s="255"/>
      <c r="W525" s="255"/>
      <c r="X525" s="255"/>
      <c r="Y525" s="255"/>
      <c r="Z525" s="255"/>
      <c r="AA525" s="255"/>
      <c r="AB525" s="255"/>
    </row>
    <row r="526">
      <c r="A526" s="255"/>
      <c r="B526" s="255"/>
      <c r="C526" s="261"/>
      <c r="D526" s="262"/>
      <c r="E526" s="364"/>
      <c r="F526" s="364"/>
      <c r="G526" s="355"/>
      <c r="H526" s="255"/>
      <c r="I526" s="255"/>
      <c r="J526" s="255"/>
      <c r="K526" s="255"/>
      <c r="L526" s="255"/>
      <c r="M526" s="255"/>
      <c r="N526" s="255"/>
      <c r="O526" s="255"/>
      <c r="P526" s="255"/>
      <c r="Q526" s="255"/>
      <c r="R526" s="255"/>
      <c r="S526" s="255"/>
      <c r="T526" s="255"/>
      <c r="U526" s="255"/>
      <c r="V526" s="255"/>
      <c r="W526" s="255"/>
      <c r="X526" s="255"/>
      <c r="Y526" s="255"/>
      <c r="Z526" s="255"/>
      <c r="AA526" s="255"/>
      <c r="AB526" s="255"/>
    </row>
    <row r="527">
      <c r="A527" s="255"/>
      <c r="B527" s="255"/>
      <c r="C527" s="261"/>
      <c r="D527" s="262"/>
      <c r="E527" s="364"/>
      <c r="F527" s="364"/>
      <c r="G527" s="355"/>
      <c r="H527" s="255"/>
      <c r="I527" s="255"/>
      <c r="J527" s="255"/>
      <c r="K527" s="255"/>
      <c r="L527" s="255"/>
      <c r="M527" s="255"/>
      <c r="N527" s="255"/>
      <c r="O527" s="255"/>
      <c r="P527" s="255"/>
      <c r="Q527" s="255"/>
      <c r="R527" s="255"/>
      <c r="S527" s="255"/>
      <c r="T527" s="255"/>
      <c r="U527" s="255"/>
      <c r="V527" s="255"/>
      <c r="W527" s="255"/>
      <c r="X527" s="255"/>
      <c r="Y527" s="255"/>
      <c r="Z527" s="255"/>
      <c r="AA527" s="255"/>
      <c r="AB527" s="255"/>
    </row>
    <row r="528">
      <c r="A528" s="255"/>
      <c r="B528" s="255"/>
      <c r="C528" s="261"/>
      <c r="D528" s="262"/>
      <c r="E528" s="364"/>
      <c r="F528" s="364"/>
      <c r="G528" s="355"/>
      <c r="H528" s="255"/>
      <c r="I528" s="255"/>
      <c r="J528" s="255"/>
      <c r="K528" s="255"/>
      <c r="L528" s="255"/>
      <c r="M528" s="255"/>
      <c r="N528" s="255"/>
      <c r="O528" s="255"/>
      <c r="P528" s="255"/>
      <c r="Q528" s="255"/>
      <c r="R528" s="255"/>
      <c r="S528" s="255"/>
      <c r="T528" s="255"/>
      <c r="U528" s="255"/>
      <c r="V528" s="255"/>
      <c r="W528" s="255"/>
      <c r="X528" s="255"/>
      <c r="Y528" s="255"/>
      <c r="Z528" s="255"/>
      <c r="AA528" s="255"/>
      <c r="AB528" s="255"/>
    </row>
    <row r="529">
      <c r="A529" s="255"/>
      <c r="B529" s="255"/>
      <c r="C529" s="261"/>
      <c r="D529" s="262"/>
      <c r="E529" s="364"/>
      <c r="F529" s="364"/>
      <c r="G529" s="355"/>
      <c r="H529" s="255"/>
      <c r="I529" s="255"/>
      <c r="J529" s="255"/>
      <c r="K529" s="255"/>
      <c r="L529" s="255"/>
      <c r="M529" s="255"/>
      <c r="N529" s="255"/>
      <c r="O529" s="255"/>
      <c r="P529" s="255"/>
      <c r="Q529" s="255"/>
      <c r="R529" s="255"/>
      <c r="S529" s="255"/>
      <c r="T529" s="255"/>
      <c r="U529" s="255"/>
      <c r="V529" s="255"/>
      <c r="W529" s="255"/>
      <c r="X529" s="255"/>
      <c r="Y529" s="255"/>
      <c r="Z529" s="255"/>
      <c r="AA529" s="255"/>
      <c r="AB529" s="255"/>
    </row>
    <row r="530">
      <c r="A530" s="255"/>
      <c r="B530" s="255"/>
      <c r="C530" s="261"/>
      <c r="D530" s="262"/>
      <c r="E530" s="364"/>
      <c r="F530" s="364"/>
      <c r="G530" s="355"/>
      <c r="H530" s="255"/>
      <c r="I530" s="255"/>
      <c r="J530" s="255"/>
      <c r="K530" s="255"/>
      <c r="L530" s="255"/>
      <c r="M530" s="255"/>
      <c r="N530" s="255"/>
      <c r="O530" s="255"/>
      <c r="P530" s="255"/>
      <c r="Q530" s="255"/>
      <c r="R530" s="255"/>
      <c r="S530" s="255"/>
      <c r="T530" s="255"/>
      <c r="U530" s="255"/>
      <c r="V530" s="255"/>
      <c r="W530" s="255"/>
      <c r="X530" s="255"/>
      <c r="Y530" s="255"/>
      <c r="Z530" s="255"/>
      <c r="AA530" s="255"/>
      <c r="AB530" s="255"/>
    </row>
    <row r="531">
      <c r="A531" s="255"/>
      <c r="B531" s="255"/>
      <c r="C531" s="261"/>
      <c r="D531" s="262"/>
      <c r="E531" s="364"/>
      <c r="F531" s="364"/>
      <c r="G531" s="355"/>
      <c r="H531" s="255"/>
      <c r="I531" s="255"/>
      <c r="J531" s="255"/>
      <c r="K531" s="255"/>
      <c r="L531" s="255"/>
      <c r="M531" s="255"/>
      <c r="N531" s="255"/>
      <c r="O531" s="255"/>
      <c r="P531" s="255"/>
      <c r="Q531" s="255"/>
      <c r="R531" s="255"/>
      <c r="S531" s="255"/>
      <c r="T531" s="255"/>
      <c r="U531" s="255"/>
      <c r="V531" s="255"/>
      <c r="W531" s="255"/>
      <c r="X531" s="255"/>
      <c r="Y531" s="255"/>
      <c r="Z531" s="255"/>
      <c r="AA531" s="255"/>
      <c r="AB531" s="255"/>
    </row>
    <row r="532">
      <c r="A532" s="255"/>
      <c r="B532" s="255"/>
      <c r="C532" s="261"/>
      <c r="D532" s="262"/>
      <c r="E532" s="364"/>
      <c r="F532" s="364"/>
      <c r="G532" s="355"/>
      <c r="H532" s="255"/>
      <c r="I532" s="255"/>
      <c r="J532" s="255"/>
      <c r="K532" s="255"/>
      <c r="L532" s="255"/>
      <c r="M532" s="255"/>
      <c r="N532" s="255"/>
      <c r="O532" s="255"/>
      <c r="P532" s="255"/>
      <c r="Q532" s="255"/>
      <c r="R532" s="255"/>
      <c r="S532" s="255"/>
      <c r="T532" s="255"/>
      <c r="U532" s="255"/>
      <c r="V532" s="255"/>
      <c r="W532" s="255"/>
      <c r="X532" s="255"/>
      <c r="Y532" s="255"/>
      <c r="Z532" s="255"/>
      <c r="AA532" s="255"/>
      <c r="AB532" s="255"/>
    </row>
    <row r="533">
      <c r="A533" s="255"/>
      <c r="B533" s="255"/>
      <c r="C533" s="261"/>
      <c r="D533" s="262"/>
      <c r="E533" s="364"/>
      <c r="F533" s="364"/>
      <c r="G533" s="355"/>
      <c r="H533" s="255"/>
      <c r="I533" s="255"/>
      <c r="J533" s="255"/>
      <c r="K533" s="255"/>
      <c r="L533" s="255"/>
      <c r="M533" s="255"/>
      <c r="N533" s="255"/>
      <c r="O533" s="255"/>
      <c r="P533" s="255"/>
      <c r="Q533" s="255"/>
      <c r="R533" s="255"/>
      <c r="S533" s="255"/>
      <c r="T533" s="255"/>
      <c r="U533" s="255"/>
      <c r="V533" s="255"/>
      <c r="W533" s="255"/>
      <c r="X533" s="255"/>
      <c r="Y533" s="255"/>
      <c r="Z533" s="255"/>
      <c r="AA533" s="255"/>
      <c r="AB533" s="255"/>
    </row>
    <row r="534">
      <c r="A534" s="255"/>
      <c r="B534" s="255"/>
      <c r="C534" s="261"/>
      <c r="D534" s="262"/>
      <c r="E534" s="364"/>
      <c r="F534" s="364"/>
      <c r="G534" s="355"/>
      <c r="H534" s="255"/>
      <c r="I534" s="255"/>
      <c r="J534" s="255"/>
      <c r="K534" s="255"/>
      <c r="L534" s="255"/>
      <c r="M534" s="255"/>
      <c r="N534" s="255"/>
      <c r="O534" s="255"/>
      <c r="P534" s="255"/>
      <c r="Q534" s="255"/>
      <c r="R534" s="255"/>
      <c r="S534" s="255"/>
      <c r="T534" s="255"/>
      <c r="U534" s="255"/>
      <c r="V534" s="255"/>
      <c r="W534" s="255"/>
      <c r="X534" s="255"/>
      <c r="Y534" s="255"/>
      <c r="Z534" s="255"/>
      <c r="AA534" s="255"/>
      <c r="AB534" s="255"/>
    </row>
    <row r="535">
      <c r="A535" s="255"/>
      <c r="B535" s="255"/>
      <c r="C535" s="261"/>
      <c r="D535" s="262"/>
      <c r="E535" s="364"/>
      <c r="F535" s="364"/>
      <c r="G535" s="355"/>
      <c r="H535" s="255"/>
      <c r="I535" s="255"/>
      <c r="J535" s="255"/>
      <c r="K535" s="255"/>
      <c r="L535" s="255"/>
      <c r="M535" s="255"/>
      <c r="N535" s="255"/>
      <c r="O535" s="255"/>
      <c r="P535" s="255"/>
      <c r="Q535" s="255"/>
      <c r="R535" s="255"/>
      <c r="S535" s="255"/>
      <c r="T535" s="255"/>
      <c r="U535" s="255"/>
      <c r="V535" s="255"/>
      <c r="W535" s="255"/>
      <c r="X535" s="255"/>
      <c r="Y535" s="255"/>
      <c r="Z535" s="255"/>
      <c r="AA535" s="255"/>
      <c r="AB535" s="255"/>
    </row>
    <row r="536">
      <c r="A536" s="255"/>
      <c r="B536" s="255"/>
      <c r="C536" s="261"/>
      <c r="D536" s="262"/>
      <c r="E536" s="364"/>
      <c r="F536" s="364"/>
      <c r="G536" s="355"/>
      <c r="H536" s="255"/>
      <c r="I536" s="255"/>
      <c r="J536" s="255"/>
      <c r="K536" s="255"/>
      <c r="L536" s="255"/>
      <c r="M536" s="255"/>
      <c r="N536" s="255"/>
      <c r="O536" s="255"/>
      <c r="P536" s="255"/>
      <c r="Q536" s="255"/>
      <c r="R536" s="255"/>
      <c r="S536" s="255"/>
      <c r="T536" s="255"/>
      <c r="U536" s="255"/>
      <c r="V536" s="255"/>
      <c r="W536" s="255"/>
      <c r="X536" s="255"/>
      <c r="Y536" s="255"/>
      <c r="Z536" s="255"/>
      <c r="AA536" s="255"/>
      <c r="AB536" s="255"/>
    </row>
    <row r="537">
      <c r="A537" s="255"/>
      <c r="B537" s="255"/>
      <c r="C537" s="261"/>
      <c r="D537" s="262"/>
      <c r="E537" s="364"/>
      <c r="F537" s="364"/>
      <c r="G537" s="355"/>
      <c r="H537" s="255"/>
      <c r="I537" s="255"/>
      <c r="J537" s="255"/>
      <c r="K537" s="255"/>
      <c r="L537" s="255"/>
      <c r="M537" s="255"/>
      <c r="N537" s="255"/>
      <c r="O537" s="255"/>
      <c r="P537" s="255"/>
      <c r="Q537" s="255"/>
      <c r="R537" s="255"/>
      <c r="S537" s="255"/>
      <c r="T537" s="255"/>
      <c r="U537" s="255"/>
      <c r="V537" s="255"/>
      <c r="W537" s="255"/>
      <c r="X537" s="255"/>
      <c r="Y537" s="255"/>
      <c r="Z537" s="255"/>
      <c r="AA537" s="255"/>
      <c r="AB537" s="255"/>
    </row>
    <row r="538">
      <c r="A538" s="255"/>
      <c r="B538" s="255"/>
      <c r="C538" s="261"/>
      <c r="D538" s="262"/>
      <c r="E538" s="364"/>
      <c r="F538" s="364"/>
      <c r="G538" s="355"/>
      <c r="H538" s="255"/>
      <c r="I538" s="255"/>
      <c r="J538" s="255"/>
      <c r="K538" s="255"/>
      <c r="L538" s="255"/>
      <c r="M538" s="255"/>
      <c r="N538" s="255"/>
      <c r="O538" s="255"/>
      <c r="P538" s="255"/>
      <c r="Q538" s="255"/>
      <c r="R538" s="255"/>
      <c r="S538" s="255"/>
      <c r="T538" s="255"/>
      <c r="U538" s="255"/>
      <c r="V538" s="255"/>
      <c r="W538" s="255"/>
      <c r="X538" s="255"/>
      <c r="Y538" s="255"/>
      <c r="Z538" s="255"/>
      <c r="AA538" s="255"/>
      <c r="AB538" s="255"/>
    </row>
    <row r="539">
      <c r="A539" s="255"/>
      <c r="B539" s="255"/>
      <c r="C539" s="261"/>
      <c r="D539" s="262"/>
      <c r="E539" s="364"/>
      <c r="F539" s="364"/>
      <c r="G539" s="355"/>
      <c r="H539" s="255"/>
      <c r="I539" s="255"/>
      <c r="J539" s="255"/>
      <c r="K539" s="255"/>
      <c r="L539" s="255"/>
      <c r="M539" s="255"/>
      <c r="N539" s="255"/>
      <c r="O539" s="255"/>
      <c r="P539" s="255"/>
      <c r="Q539" s="255"/>
      <c r="R539" s="255"/>
      <c r="S539" s="255"/>
      <c r="T539" s="255"/>
      <c r="U539" s="255"/>
      <c r="V539" s="255"/>
      <c r="W539" s="255"/>
      <c r="X539" s="255"/>
      <c r="Y539" s="255"/>
      <c r="Z539" s="255"/>
      <c r="AA539" s="255"/>
      <c r="AB539" s="255"/>
    </row>
    <row r="540">
      <c r="A540" s="255"/>
      <c r="B540" s="255"/>
      <c r="C540" s="261"/>
      <c r="D540" s="262"/>
      <c r="E540" s="364"/>
      <c r="F540" s="364"/>
      <c r="G540" s="355"/>
      <c r="H540" s="255"/>
      <c r="I540" s="255"/>
      <c r="J540" s="255"/>
      <c r="K540" s="255"/>
      <c r="L540" s="255"/>
      <c r="M540" s="255"/>
      <c r="N540" s="255"/>
      <c r="O540" s="255"/>
      <c r="P540" s="255"/>
      <c r="Q540" s="255"/>
      <c r="R540" s="255"/>
      <c r="S540" s="255"/>
      <c r="T540" s="255"/>
      <c r="U540" s="255"/>
      <c r="V540" s="255"/>
      <c r="W540" s="255"/>
      <c r="X540" s="255"/>
      <c r="Y540" s="255"/>
      <c r="Z540" s="255"/>
      <c r="AA540" s="255"/>
      <c r="AB540" s="255"/>
    </row>
    <row r="541">
      <c r="A541" s="255"/>
      <c r="B541" s="255"/>
      <c r="C541" s="261"/>
      <c r="D541" s="262"/>
      <c r="E541" s="364"/>
      <c r="F541" s="364"/>
      <c r="G541" s="355"/>
      <c r="H541" s="255"/>
      <c r="I541" s="255"/>
      <c r="J541" s="255"/>
      <c r="K541" s="255"/>
      <c r="L541" s="255"/>
      <c r="M541" s="255"/>
      <c r="N541" s="255"/>
      <c r="O541" s="255"/>
      <c r="P541" s="255"/>
      <c r="Q541" s="255"/>
      <c r="R541" s="255"/>
      <c r="S541" s="255"/>
      <c r="T541" s="255"/>
      <c r="U541" s="255"/>
      <c r="V541" s="255"/>
      <c r="W541" s="255"/>
      <c r="X541" s="255"/>
      <c r="Y541" s="255"/>
      <c r="Z541" s="255"/>
      <c r="AA541" s="255"/>
      <c r="AB541" s="255"/>
    </row>
    <row r="542">
      <c r="A542" s="255"/>
      <c r="B542" s="255"/>
      <c r="C542" s="261"/>
      <c r="D542" s="262"/>
      <c r="E542" s="364"/>
      <c r="F542" s="364"/>
      <c r="G542" s="355"/>
      <c r="H542" s="255"/>
      <c r="I542" s="255"/>
      <c r="J542" s="255"/>
      <c r="K542" s="255"/>
      <c r="L542" s="255"/>
      <c r="M542" s="255"/>
      <c r="N542" s="255"/>
      <c r="O542" s="255"/>
      <c r="P542" s="255"/>
      <c r="Q542" s="255"/>
      <c r="R542" s="255"/>
      <c r="S542" s="255"/>
      <c r="T542" s="255"/>
      <c r="U542" s="255"/>
      <c r="V542" s="255"/>
      <c r="W542" s="255"/>
      <c r="X542" s="255"/>
      <c r="Y542" s="255"/>
      <c r="Z542" s="255"/>
      <c r="AA542" s="255"/>
      <c r="AB542" s="255"/>
    </row>
    <row r="543">
      <c r="A543" s="255"/>
      <c r="B543" s="255"/>
      <c r="C543" s="261"/>
      <c r="D543" s="262"/>
      <c r="E543" s="364"/>
      <c r="F543" s="364"/>
      <c r="G543" s="355"/>
      <c r="H543" s="255"/>
      <c r="I543" s="255"/>
      <c r="J543" s="255"/>
      <c r="K543" s="255"/>
      <c r="L543" s="255"/>
      <c r="M543" s="255"/>
      <c r="N543" s="255"/>
      <c r="O543" s="255"/>
      <c r="P543" s="255"/>
      <c r="Q543" s="255"/>
      <c r="R543" s="255"/>
      <c r="S543" s="255"/>
      <c r="T543" s="255"/>
      <c r="U543" s="255"/>
      <c r="V543" s="255"/>
      <c r="W543" s="255"/>
      <c r="X543" s="255"/>
      <c r="Y543" s="255"/>
      <c r="Z543" s="255"/>
      <c r="AA543" s="255"/>
      <c r="AB543" s="255"/>
    </row>
    <row r="544">
      <c r="A544" s="255"/>
      <c r="B544" s="255"/>
      <c r="C544" s="261"/>
      <c r="D544" s="262"/>
      <c r="E544" s="364"/>
      <c r="F544" s="364"/>
      <c r="G544" s="355"/>
      <c r="H544" s="255"/>
      <c r="I544" s="255"/>
      <c r="J544" s="255"/>
      <c r="K544" s="255"/>
      <c r="L544" s="255"/>
      <c r="M544" s="255"/>
      <c r="N544" s="255"/>
      <c r="O544" s="255"/>
      <c r="P544" s="255"/>
      <c r="Q544" s="255"/>
      <c r="R544" s="255"/>
      <c r="S544" s="255"/>
      <c r="T544" s="255"/>
      <c r="U544" s="255"/>
      <c r="V544" s="255"/>
      <c r="W544" s="255"/>
      <c r="X544" s="255"/>
      <c r="Y544" s="255"/>
      <c r="Z544" s="255"/>
      <c r="AA544" s="255"/>
      <c r="AB544" s="255"/>
    </row>
    <row r="545">
      <c r="A545" s="255"/>
      <c r="B545" s="255"/>
      <c r="C545" s="261"/>
      <c r="D545" s="262"/>
      <c r="E545" s="364"/>
      <c r="F545" s="364"/>
      <c r="G545" s="355"/>
      <c r="H545" s="255"/>
      <c r="I545" s="255"/>
      <c r="J545" s="255"/>
      <c r="K545" s="255"/>
      <c r="L545" s="255"/>
      <c r="M545" s="255"/>
      <c r="N545" s="255"/>
      <c r="O545" s="255"/>
      <c r="P545" s="255"/>
      <c r="Q545" s="255"/>
      <c r="R545" s="255"/>
      <c r="S545" s="255"/>
      <c r="T545" s="255"/>
      <c r="U545" s="255"/>
      <c r="V545" s="255"/>
      <c r="W545" s="255"/>
      <c r="X545" s="255"/>
      <c r="Y545" s="255"/>
      <c r="Z545" s="255"/>
      <c r="AA545" s="255"/>
      <c r="AB545" s="255"/>
    </row>
    <row r="546">
      <c r="A546" s="255"/>
      <c r="B546" s="255"/>
      <c r="C546" s="261"/>
      <c r="D546" s="262"/>
      <c r="E546" s="364"/>
      <c r="F546" s="364"/>
      <c r="G546" s="355"/>
      <c r="H546" s="255"/>
      <c r="I546" s="255"/>
      <c r="J546" s="255"/>
      <c r="K546" s="255"/>
      <c r="L546" s="255"/>
      <c r="M546" s="255"/>
      <c r="N546" s="255"/>
      <c r="O546" s="255"/>
      <c r="P546" s="255"/>
      <c r="Q546" s="255"/>
      <c r="R546" s="255"/>
      <c r="S546" s="255"/>
      <c r="T546" s="255"/>
      <c r="U546" s="255"/>
      <c r="V546" s="255"/>
      <c r="W546" s="255"/>
      <c r="X546" s="255"/>
      <c r="Y546" s="255"/>
      <c r="Z546" s="255"/>
      <c r="AA546" s="255"/>
      <c r="AB546" s="255"/>
    </row>
    <row r="547">
      <c r="A547" s="255"/>
      <c r="B547" s="255"/>
      <c r="C547" s="261"/>
      <c r="D547" s="262"/>
      <c r="E547" s="364"/>
      <c r="F547" s="364"/>
      <c r="G547" s="355"/>
      <c r="H547" s="255"/>
      <c r="I547" s="255"/>
      <c r="J547" s="255"/>
      <c r="K547" s="255"/>
      <c r="L547" s="255"/>
      <c r="M547" s="255"/>
      <c r="N547" s="255"/>
      <c r="O547" s="255"/>
      <c r="P547" s="255"/>
      <c r="Q547" s="255"/>
      <c r="R547" s="255"/>
      <c r="S547" s="255"/>
      <c r="T547" s="255"/>
      <c r="U547" s="255"/>
      <c r="V547" s="255"/>
      <c r="W547" s="255"/>
      <c r="X547" s="255"/>
      <c r="Y547" s="255"/>
      <c r="Z547" s="255"/>
      <c r="AA547" s="255"/>
      <c r="AB547" s="255"/>
    </row>
    <row r="548">
      <c r="A548" s="255"/>
      <c r="B548" s="255"/>
      <c r="C548" s="261"/>
      <c r="D548" s="262"/>
      <c r="E548" s="364"/>
      <c r="F548" s="364"/>
      <c r="G548" s="355"/>
      <c r="H548" s="255"/>
      <c r="I548" s="255"/>
      <c r="J548" s="255"/>
      <c r="K548" s="255"/>
      <c r="L548" s="255"/>
      <c r="M548" s="255"/>
      <c r="N548" s="255"/>
      <c r="O548" s="255"/>
      <c r="P548" s="255"/>
      <c r="Q548" s="255"/>
      <c r="R548" s="255"/>
      <c r="S548" s="255"/>
      <c r="T548" s="255"/>
      <c r="U548" s="255"/>
      <c r="V548" s="255"/>
      <c r="W548" s="255"/>
      <c r="X548" s="255"/>
      <c r="Y548" s="255"/>
      <c r="Z548" s="255"/>
      <c r="AA548" s="255"/>
      <c r="AB548" s="255"/>
    </row>
    <row r="549">
      <c r="A549" s="255"/>
      <c r="B549" s="255"/>
      <c r="C549" s="261"/>
      <c r="D549" s="262"/>
      <c r="E549" s="364"/>
      <c r="F549" s="364"/>
      <c r="G549" s="355"/>
      <c r="H549" s="255"/>
      <c r="I549" s="255"/>
      <c r="J549" s="255"/>
      <c r="K549" s="255"/>
      <c r="L549" s="255"/>
      <c r="M549" s="255"/>
      <c r="N549" s="255"/>
      <c r="O549" s="255"/>
      <c r="P549" s="255"/>
      <c r="Q549" s="255"/>
      <c r="R549" s="255"/>
      <c r="S549" s="255"/>
      <c r="T549" s="255"/>
      <c r="U549" s="255"/>
      <c r="V549" s="255"/>
      <c r="W549" s="255"/>
      <c r="X549" s="255"/>
      <c r="Y549" s="255"/>
      <c r="Z549" s="255"/>
      <c r="AA549" s="255"/>
      <c r="AB549" s="255"/>
    </row>
    <row r="550">
      <c r="A550" s="255"/>
      <c r="B550" s="255"/>
      <c r="C550" s="261"/>
      <c r="D550" s="262"/>
      <c r="E550" s="364"/>
      <c r="F550" s="364"/>
      <c r="G550" s="355"/>
      <c r="H550" s="255"/>
      <c r="I550" s="255"/>
      <c r="J550" s="255"/>
      <c r="K550" s="255"/>
      <c r="L550" s="255"/>
      <c r="M550" s="255"/>
      <c r="N550" s="255"/>
      <c r="O550" s="255"/>
      <c r="P550" s="255"/>
      <c r="Q550" s="255"/>
      <c r="R550" s="255"/>
      <c r="S550" s="255"/>
      <c r="T550" s="255"/>
      <c r="U550" s="255"/>
      <c r="V550" s="255"/>
      <c r="W550" s="255"/>
      <c r="X550" s="255"/>
      <c r="Y550" s="255"/>
      <c r="Z550" s="255"/>
      <c r="AA550" s="255"/>
      <c r="AB550" s="255"/>
    </row>
    <row r="551">
      <c r="A551" s="255"/>
      <c r="B551" s="255"/>
      <c r="C551" s="261"/>
      <c r="D551" s="262"/>
      <c r="E551" s="364"/>
      <c r="F551" s="364"/>
      <c r="G551" s="355"/>
      <c r="H551" s="255"/>
      <c r="I551" s="255"/>
      <c r="J551" s="255"/>
      <c r="K551" s="255"/>
      <c r="L551" s="255"/>
      <c r="M551" s="255"/>
      <c r="N551" s="255"/>
      <c r="O551" s="255"/>
      <c r="P551" s="255"/>
      <c r="Q551" s="255"/>
      <c r="R551" s="255"/>
      <c r="S551" s="255"/>
      <c r="T551" s="255"/>
      <c r="U551" s="255"/>
      <c r="V551" s="255"/>
      <c r="W551" s="255"/>
      <c r="X551" s="255"/>
      <c r="Y551" s="255"/>
      <c r="Z551" s="255"/>
      <c r="AA551" s="255"/>
      <c r="AB551" s="255"/>
    </row>
    <row r="552">
      <c r="A552" s="255"/>
      <c r="B552" s="255"/>
      <c r="C552" s="261"/>
      <c r="D552" s="262"/>
      <c r="E552" s="364"/>
      <c r="F552" s="364"/>
      <c r="G552" s="355"/>
      <c r="H552" s="255"/>
      <c r="I552" s="255"/>
      <c r="J552" s="255"/>
      <c r="K552" s="255"/>
      <c r="L552" s="255"/>
      <c r="M552" s="255"/>
      <c r="N552" s="255"/>
      <c r="O552" s="255"/>
      <c r="P552" s="255"/>
      <c r="Q552" s="255"/>
      <c r="R552" s="255"/>
      <c r="S552" s="255"/>
      <c r="T552" s="255"/>
      <c r="U552" s="255"/>
      <c r="V552" s="255"/>
      <c r="W552" s="255"/>
      <c r="X552" s="255"/>
      <c r="Y552" s="255"/>
      <c r="Z552" s="255"/>
      <c r="AA552" s="255"/>
      <c r="AB552" s="255"/>
    </row>
    <row r="553">
      <c r="A553" s="255"/>
      <c r="B553" s="255"/>
      <c r="C553" s="261"/>
      <c r="D553" s="262"/>
      <c r="E553" s="364"/>
      <c r="F553" s="364"/>
      <c r="G553" s="355"/>
      <c r="H553" s="255"/>
      <c r="I553" s="255"/>
      <c r="J553" s="255"/>
      <c r="K553" s="255"/>
      <c r="L553" s="255"/>
      <c r="M553" s="255"/>
      <c r="N553" s="255"/>
      <c r="O553" s="255"/>
      <c r="P553" s="255"/>
      <c r="Q553" s="255"/>
      <c r="R553" s="255"/>
      <c r="S553" s="255"/>
      <c r="T553" s="255"/>
      <c r="U553" s="255"/>
      <c r="V553" s="255"/>
      <c r="W553" s="255"/>
      <c r="X553" s="255"/>
      <c r="Y553" s="255"/>
      <c r="Z553" s="255"/>
      <c r="AA553" s="255"/>
      <c r="AB553" s="255"/>
    </row>
    <row r="554">
      <c r="A554" s="255"/>
      <c r="B554" s="255"/>
      <c r="C554" s="261"/>
      <c r="D554" s="262"/>
      <c r="E554" s="364"/>
      <c r="F554" s="364"/>
      <c r="G554" s="355"/>
      <c r="H554" s="255"/>
      <c r="I554" s="255"/>
      <c r="J554" s="255"/>
      <c r="K554" s="255"/>
      <c r="L554" s="255"/>
      <c r="M554" s="255"/>
      <c r="N554" s="255"/>
      <c r="O554" s="255"/>
      <c r="P554" s="255"/>
      <c r="Q554" s="255"/>
      <c r="R554" s="255"/>
      <c r="S554" s="255"/>
      <c r="T554" s="255"/>
      <c r="U554" s="255"/>
      <c r="V554" s="255"/>
      <c r="W554" s="255"/>
      <c r="X554" s="255"/>
      <c r="Y554" s="255"/>
      <c r="Z554" s="255"/>
      <c r="AA554" s="255"/>
      <c r="AB554" s="255"/>
    </row>
    <row r="555">
      <c r="A555" s="255"/>
      <c r="B555" s="255"/>
      <c r="C555" s="261"/>
      <c r="D555" s="262"/>
      <c r="E555" s="364"/>
      <c r="F555" s="364"/>
      <c r="G555" s="355"/>
      <c r="H555" s="255"/>
      <c r="I555" s="255"/>
      <c r="J555" s="255"/>
      <c r="K555" s="255"/>
      <c r="L555" s="255"/>
      <c r="M555" s="255"/>
      <c r="N555" s="255"/>
      <c r="O555" s="255"/>
      <c r="P555" s="255"/>
      <c r="Q555" s="255"/>
      <c r="R555" s="255"/>
      <c r="S555" s="255"/>
      <c r="T555" s="255"/>
      <c r="U555" s="255"/>
      <c r="V555" s="255"/>
      <c r="W555" s="255"/>
      <c r="X555" s="255"/>
      <c r="Y555" s="255"/>
      <c r="Z555" s="255"/>
      <c r="AA555" s="255"/>
      <c r="AB555" s="255"/>
    </row>
    <row r="556">
      <c r="A556" s="255"/>
      <c r="B556" s="255"/>
      <c r="C556" s="261"/>
      <c r="D556" s="262"/>
      <c r="E556" s="364"/>
      <c r="F556" s="364"/>
      <c r="G556" s="355"/>
      <c r="H556" s="255"/>
      <c r="I556" s="255"/>
      <c r="J556" s="255"/>
      <c r="K556" s="255"/>
      <c r="L556" s="255"/>
      <c r="M556" s="255"/>
      <c r="N556" s="255"/>
      <c r="O556" s="255"/>
      <c r="P556" s="255"/>
      <c r="Q556" s="255"/>
      <c r="R556" s="255"/>
      <c r="S556" s="255"/>
      <c r="T556" s="255"/>
      <c r="U556" s="255"/>
      <c r="V556" s="255"/>
      <c r="W556" s="255"/>
      <c r="X556" s="255"/>
      <c r="Y556" s="255"/>
      <c r="Z556" s="255"/>
      <c r="AA556" s="255"/>
      <c r="AB556" s="255"/>
    </row>
    <row r="557">
      <c r="A557" s="255"/>
      <c r="B557" s="255"/>
      <c r="C557" s="261"/>
      <c r="D557" s="262"/>
      <c r="E557" s="364"/>
      <c r="F557" s="364"/>
      <c r="G557" s="355"/>
      <c r="H557" s="255"/>
      <c r="I557" s="255"/>
      <c r="J557" s="255"/>
      <c r="K557" s="255"/>
      <c r="L557" s="255"/>
      <c r="M557" s="255"/>
      <c r="N557" s="255"/>
      <c r="O557" s="255"/>
      <c r="P557" s="255"/>
      <c r="Q557" s="255"/>
      <c r="R557" s="255"/>
      <c r="S557" s="255"/>
      <c r="T557" s="255"/>
      <c r="U557" s="255"/>
      <c r="V557" s="255"/>
      <c r="W557" s="255"/>
      <c r="X557" s="255"/>
      <c r="Y557" s="255"/>
      <c r="Z557" s="255"/>
      <c r="AA557" s="255"/>
      <c r="AB557" s="255"/>
    </row>
    <row r="558">
      <c r="A558" s="255"/>
      <c r="B558" s="255"/>
      <c r="C558" s="261"/>
      <c r="D558" s="262"/>
      <c r="E558" s="364"/>
      <c r="F558" s="364"/>
      <c r="G558" s="355"/>
      <c r="H558" s="255"/>
      <c r="I558" s="255"/>
      <c r="J558" s="255"/>
      <c r="K558" s="255"/>
      <c r="L558" s="255"/>
      <c r="M558" s="255"/>
      <c r="N558" s="255"/>
      <c r="O558" s="255"/>
      <c r="P558" s="255"/>
      <c r="Q558" s="255"/>
      <c r="R558" s="255"/>
      <c r="S558" s="255"/>
      <c r="T558" s="255"/>
      <c r="U558" s="255"/>
      <c r="V558" s="255"/>
      <c r="W558" s="255"/>
      <c r="X558" s="255"/>
      <c r="Y558" s="255"/>
      <c r="Z558" s="255"/>
      <c r="AA558" s="255"/>
      <c r="AB558" s="255"/>
    </row>
    <row r="559">
      <c r="A559" s="255"/>
      <c r="B559" s="255"/>
      <c r="C559" s="261"/>
      <c r="D559" s="262"/>
      <c r="E559" s="364"/>
      <c r="F559" s="364"/>
      <c r="G559" s="355"/>
      <c r="H559" s="255"/>
      <c r="I559" s="255"/>
      <c r="J559" s="255"/>
      <c r="K559" s="255"/>
      <c r="L559" s="255"/>
      <c r="M559" s="255"/>
      <c r="N559" s="255"/>
      <c r="O559" s="255"/>
      <c r="P559" s="255"/>
      <c r="Q559" s="255"/>
      <c r="R559" s="255"/>
      <c r="S559" s="255"/>
      <c r="T559" s="255"/>
      <c r="U559" s="255"/>
      <c r="V559" s="255"/>
      <c r="W559" s="255"/>
      <c r="X559" s="255"/>
      <c r="Y559" s="255"/>
      <c r="Z559" s="255"/>
      <c r="AA559" s="255"/>
      <c r="AB559" s="255"/>
    </row>
    <row r="560">
      <c r="A560" s="255"/>
      <c r="B560" s="255"/>
      <c r="C560" s="261"/>
      <c r="D560" s="262"/>
      <c r="E560" s="364"/>
      <c r="F560" s="364"/>
      <c r="G560" s="355"/>
      <c r="H560" s="255"/>
      <c r="I560" s="255"/>
      <c r="J560" s="255"/>
      <c r="K560" s="255"/>
      <c r="L560" s="255"/>
      <c r="M560" s="255"/>
      <c r="N560" s="255"/>
      <c r="O560" s="255"/>
      <c r="P560" s="255"/>
      <c r="Q560" s="255"/>
      <c r="R560" s="255"/>
      <c r="S560" s="255"/>
      <c r="T560" s="255"/>
      <c r="U560" s="255"/>
      <c r="V560" s="255"/>
      <c r="W560" s="255"/>
      <c r="X560" s="255"/>
      <c r="Y560" s="255"/>
      <c r="Z560" s="255"/>
      <c r="AA560" s="255"/>
      <c r="AB560" s="255"/>
    </row>
    <row r="561">
      <c r="A561" s="255"/>
      <c r="B561" s="255"/>
      <c r="C561" s="261"/>
      <c r="D561" s="262"/>
      <c r="E561" s="364"/>
      <c r="F561" s="364"/>
      <c r="G561" s="355"/>
      <c r="H561" s="255"/>
      <c r="I561" s="255"/>
      <c r="J561" s="255"/>
      <c r="K561" s="255"/>
      <c r="L561" s="255"/>
      <c r="M561" s="255"/>
      <c r="N561" s="255"/>
      <c r="O561" s="255"/>
      <c r="P561" s="255"/>
      <c r="Q561" s="255"/>
      <c r="R561" s="255"/>
      <c r="S561" s="255"/>
      <c r="T561" s="255"/>
      <c r="U561" s="255"/>
      <c r="V561" s="255"/>
      <c r="W561" s="255"/>
      <c r="X561" s="255"/>
      <c r="Y561" s="255"/>
      <c r="Z561" s="255"/>
      <c r="AA561" s="255"/>
      <c r="AB561" s="255"/>
    </row>
    <row r="562">
      <c r="A562" s="255"/>
      <c r="B562" s="255"/>
      <c r="C562" s="261"/>
      <c r="D562" s="262"/>
      <c r="E562" s="364"/>
      <c r="F562" s="364"/>
      <c r="G562" s="355"/>
      <c r="H562" s="255"/>
      <c r="I562" s="255"/>
      <c r="J562" s="255"/>
      <c r="K562" s="255"/>
      <c r="L562" s="255"/>
      <c r="M562" s="255"/>
      <c r="N562" s="255"/>
      <c r="O562" s="255"/>
      <c r="P562" s="255"/>
      <c r="Q562" s="255"/>
      <c r="R562" s="255"/>
      <c r="S562" s="255"/>
      <c r="T562" s="255"/>
      <c r="U562" s="255"/>
      <c r="V562" s="255"/>
      <c r="W562" s="255"/>
      <c r="X562" s="255"/>
      <c r="Y562" s="255"/>
      <c r="Z562" s="255"/>
      <c r="AA562" s="255"/>
      <c r="AB562" s="255"/>
    </row>
    <row r="563">
      <c r="A563" s="255"/>
      <c r="B563" s="255"/>
      <c r="C563" s="261"/>
      <c r="D563" s="262"/>
      <c r="E563" s="364"/>
      <c r="F563" s="364"/>
      <c r="G563" s="355"/>
      <c r="H563" s="255"/>
      <c r="I563" s="255"/>
      <c r="J563" s="255"/>
      <c r="K563" s="255"/>
      <c r="L563" s="255"/>
      <c r="M563" s="255"/>
      <c r="N563" s="255"/>
      <c r="O563" s="255"/>
      <c r="P563" s="255"/>
      <c r="Q563" s="255"/>
      <c r="R563" s="255"/>
      <c r="S563" s="255"/>
      <c r="T563" s="255"/>
      <c r="U563" s="255"/>
      <c r="V563" s="255"/>
      <c r="W563" s="255"/>
      <c r="X563" s="255"/>
      <c r="Y563" s="255"/>
      <c r="Z563" s="255"/>
      <c r="AA563" s="255"/>
      <c r="AB563" s="255"/>
    </row>
    <row r="564">
      <c r="A564" s="255"/>
      <c r="B564" s="255"/>
      <c r="C564" s="261"/>
      <c r="D564" s="262"/>
      <c r="E564" s="364"/>
      <c r="F564" s="364"/>
      <c r="G564" s="355"/>
      <c r="H564" s="255"/>
      <c r="I564" s="255"/>
      <c r="J564" s="255"/>
      <c r="K564" s="255"/>
      <c r="L564" s="255"/>
      <c r="M564" s="255"/>
      <c r="N564" s="255"/>
      <c r="O564" s="255"/>
      <c r="P564" s="255"/>
      <c r="Q564" s="255"/>
      <c r="R564" s="255"/>
      <c r="S564" s="255"/>
      <c r="T564" s="255"/>
      <c r="U564" s="255"/>
      <c r="V564" s="255"/>
      <c r="W564" s="255"/>
      <c r="X564" s="255"/>
      <c r="Y564" s="255"/>
      <c r="Z564" s="255"/>
      <c r="AA564" s="255"/>
      <c r="AB564" s="255"/>
    </row>
    <row r="565">
      <c r="A565" s="255"/>
      <c r="B565" s="255"/>
      <c r="C565" s="261"/>
      <c r="D565" s="262"/>
      <c r="E565" s="364"/>
      <c r="F565" s="364"/>
      <c r="G565" s="355"/>
      <c r="H565" s="255"/>
      <c r="I565" s="255"/>
      <c r="J565" s="255"/>
      <c r="K565" s="255"/>
      <c r="L565" s="255"/>
      <c r="M565" s="255"/>
      <c r="N565" s="255"/>
      <c r="O565" s="255"/>
      <c r="P565" s="255"/>
      <c r="Q565" s="255"/>
      <c r="R565" s="255"/>
      <c r="S565" s="255"/>
      <c r="T565" s="255"/>
      <c r="U565" s="255"/>
      <c r="V565" s="255"/>
      <c r="W565" s="255"/>
      <c r="X565" s="255"/>
      <c r="Y565" s="255"/>
      <c r="Z565" s="255"/>
      <c r="AA565" s="255"/>
      <c r="AB565" s="255"/>
    </row>
    <row r="566">
      <c r="A566" s="255"/>
      <c r="B566" s="255"/>
      <c r="C566" s="261"/>
      <c r="D566" s="262"/>
      <c r="E566" s="364"/>
      <c r="F566" s="364"/>
      <c r="G566" s="355"/>
      <c r="H566" s="255"/>
      <c r="I566" s="255"/>
      <c r="J566" s="255"/>
      <c r="K566" s="255"/>
      <c r="L566" s="255"/>
      <c r="M566" s="255"/>
      <c r="N566" s="255"/>
      <c r="O566" s="255"/>
      <c r="P566" s="255"/>
      <c r="Q566" s="255"/>
      <c r="R566" s="255"/>
      <c r="S566" s="255"/>
      <c r="T566" s="255"/>
      <c r="U566" s="255"/>
      <c r="V566" s="255"/>
      <c r="W566" s="255"/>
      <c r="X566" s="255"/>
      <c r="Y566" s="255"/>
      <c r="Z566" s="255"/>
      <c r="AA566" s="255"/>
      <c r="AB566" s="255"/>
    </row>
    <row r="567">
      <c r="A567" s="255"/>
      <c r="B567" s="255"/>
      <c r="C567" s="261"/>
      <c r="D567" s="262"/>
      <c r="E567" s="364"/>
      <c r="F567" s="364"/>
      <c r="G567" s="355"/>
      <c r="H567" s="255"/>
      <c r="I567" s="255"/>
      <c r="J567" s="255"/>
      <c r="K567" s="255"/>
      <c r="L567" s="255"/>
      <c r="M567" s="255"/>
      <c r="N567" s="255"/>
      <c r="O567" s="255"/>
      <c r="P567" s="255"/>
      <c r="Q567" s="255"/>
      <c r="R567" s="255"/>
      <c r="S567" s="255"/>
      <c r="T567" s="255"/>
      <c r="U567" s="255"/>
      <c r="V567" s="255"/>
      <c r="W567" s="255"/>
      <c r="X567" s="255"/>
      <c r="Y567" s="255"/>
      <c r="Z567" s="255"/>
      <c r="AA567" s="255"/>
      <c r="AB567" s="255"/>
    </row>
    <row r="568">
      <c r="A568" s="255"/>
      <c r="B568" s="255"/>
      <c r="C568" s="261"/>
      <c r="D568" s="262"/>
      <c r="E568" s="364"/>
      <c r="F568" s="364"/>
      <c r="G568" s="355"/>
      <c r="H568" s="255"/>
      <c r="I568" s="255"/>
      <c r="J568" s="255"/>
      <c r="K568" s="255"/>
      <c r="L568" s="255"/>
      <c r="M568" s="255"/>
      <c r="N568" s="255"/>
      <c r="O568" s="255"/>
      <c r="P568" s="255"/>
      <c r="Q568" s="255"/>
      <c r="R568" s="255"/>
      <c r="S568" s="255"/>
      <c r="T568" s="255"/>
      <c r="U568" s="255"/>
      <c r="V568" s="255"/>
      <c r="W568" s="255"/>
      <c r="X568" s="255"/>
      <c r="Y568" s="255"/>
      <c r="Z568" s="255"/>
      <c r="AA568" s="255"/>
      <c r="AB568" s="255"/>
    </row>
    <row r="569">
      <c r="A569" s="255"/>
      <c r="B569" s="255"/>
      <c r="C569" s="261"/>
      <c r="D569" s="262"/>
      <c r="E569" s="364"/>
      <c r="F569" s="364"/>
      <c r="G569" s="355"/>
      <c r="H569" s="255"/>
      <c r="I569" s="255"/>
      <c r="J569" s="255"/>
      <c r="K569" s="255"/>
      <c r="L569" s="255"/>
      <c r="M569" s="255"/>
      <c r="N569" s="255"/>
      <c r="O569" s="255"/>
      <c r="P569" s="255"/>
      <c r="Q569" s="255"/>
      <c r="R569" s="255"/>
      <c r="S569" s="255"/>
      <c r="T569" s="255"/>
      <c r="U569" s="255"/>
      <c r="V569" s="255"/>
      <c r="W569" s="255"/>
      <c r="X569" s="255"/>
      <c r="Y569" s="255"/>
      <c r="Z569" s="255"/>
      <c r="AA569" s="255"/>
      <c r="AB569" s="255"/>
    </row>
    <row r="570">
      <c r="A570" s="255"/>
      <c r="B570" s="255"/>
      <c r="C570" s="261"/>
      <c r="D570" s="262"/>
      <c r="E570" s="364"/>
      <c r="F570" s="364"/>
      <c r="G570" s="355"/>
      <c r="H570" s="255"/>
      <c r="I570" s="255"/>
      <c r="J570" s="255"/>
      <c r="K570" s="255"/>
      <c r="L570" s="255"/>
      <c r="M570" s="255"/>
      <c r="N570" s="255"/>
      <c r="O570" s="255"/>
      <c r="P570" s="255"/>
      <c r="Q570" s="255"/>
      <c r="R570" s="255"/>
      <c r="S570" s="255"/>
      <c r="T570" s="255"/>
      <c r="U570" s="255"/>
      <c r="V570" s="255"/>
      <c r="W570" s="255"/>
      <c r="X570" s="255"/>
      <c r="Y570" s="255"/>
      <c r="Z570" s="255"/>
      <c r="AA570" s="255"/>
      <c r="AB570" s="255"/>
    </row>
    <row r="571">
      <c r="A571" s="255"/>
      <c r="B571" s="255"/>
      <c r="C571" s="261"/>
      <c r="D571" s="262"/>
      <c r="E571" s="364"/>
      <c r="F571" s="364"/>
      <c r="G571" s="355"/>
      <c r="H571" s="255"/>
      <c r="I571" s="255"/>
      <c r="J571" s="255"/>
      <c r="K571" s="255"/>
      <c r="L571" s="255"/>
      <c r="M571" s="255"/>
      <c r="N571" s="255"/>
      <c r="O571" s="255"/>
      <c r="P571" s="255"/>
      <c r="Q571" s="255"/>
      <c r="R571" s="255"/>
      <c r="S571" s="255"/>
      <c r="T571" s="255"/>
      <c r="U571" s="255"/>
      <c r="V571" s="255"/>
      <c r="W571" s="255"/>
      <c r="X571" s="255"/>
      <c r="Y571" s="255"/>
      <c r="Z571" s="255"/>
      <c r="AA571" s="255"/>
      <c r="AB571" s="255"/>
    </row>
    <row r="572">
      <c r="A572" s="255"/>
      <c r="B572" s="255"/>
      <c r="C572" s="261"/>
      <c r="D572" s="262"/>
      <c r="E572" s="364"/>
      <c r="F572" s="364"/>
      <c r="G572" s="355"/>
      <c r="H572" s="255"/>
      <c r="I572" s="255"/>
      <c r="J572" s="255"/>
      <c r="K572" s="255"/>
      <c r="L572" s="255"/>
      <c r="M572" s="255"/>
      <c r="N572" s="255"/>
      <c r="O572" s="255"/>
      <c r="P572" s="255"/>
      <c r="Q572" s="255"/>
      <c r="R572" s="255"/>
      <c r="S572" s="255"/>
      <c r="T572" s="255"/>
      <c r="U572" s="255"/>
      <c r="V572" s="255"/>
      <c r="W572" s="255"/>
      <c r="X572" s="255"/>
      <c r="Y572" s="255"/>
      <c r="Z572" s="255"/>
      <c r="AA572" s="255"/>
      <c r="AB572" s="255"/>
    </row>
    <row r="573">
      <c r="A573" s="255"/>
      <c r="B573" s="255"/>
      <c r="C573" s="261"/>
      <c r="D573" s="262"/>
      <c r="E573" s="364"/>
      <c r="F573" s="364"/>
      <c r="G573" s="355"/>
      <c r="H573" s="255"/>
      <c r="I573" s="255"/>
      <c r="J573" s="255"/>
      <c r="K573" s="255"/>
      <c r="L573" s="255"/>
      <c r="M573" s="255"/>
      <c r="N573" s="255"/>
      <c r="O573" s="255"/>
      <c r="P573" s="255"/>
      <c r="Q573" s="255"/>
      <c r="R573" s="255"/>
      <c r="S573" s="255"/>
      <c r="T573" s="255"/>
      <c r="U573" s="255"/>
      <c r="V573" s="255"/>
      <c r="W573" s="255"/>
      <c r="X573" s="255"/>
      <c r="Y573" s="255"/>
      <c r="Z573" s="255"/>
      <c r="AA573" s="255"/>
      <c r="AB573" s="255"/>
    </row>
    <row r="574">
      <c r="A574" s="255"/>
      <c r="B574" s="255"/>
      <c r="C574" s="261"/>
      <c r="D574" s="262"/>
      <c r="E574" s="364"/>
      <c r="F574" s="364"/>
      <c r="G574" s="355"/>
      <c r="H574" s="255"/>
      <c r="I574" s="255"/>
      <c r="J574" s="255"/>
      <c r="K574" s="255"/>
      <c r="L574" s="255"/>
      <c r="M574" s="255"/>
      <c r="N574" s="255"/>
      <c r="O574" s="255"/>
      <c r="P574" s="255"/>
      <c r="Q574" s="255"/>
      <c r="R574" s="255"/>
      <c r="S574" s="255"/>
      <c r="T574" s="255"/>
      <c r="U574" s="255"/>
      <c r="V574" s="255"/>
      <c r="W574" s="255"/>
      <c r="X574" s="255"/>
      <c r="Y574" s="255"/>
      <c r="Z574" s="255"/>
      <c r="AA574" s="255"/>
      <c r="AB574" s="255"/>
    </row>
    <row r="575">
      <c r="A575" s="255"/>
      <c r="B575" s="255"/>
      <c r="C575" s="261"/>
      <c r="D575" s="262"/>
      <c r="E575" s="364"/>
      <c r="F575" s="364"/>
      <c r="G575" s="355"/>
      <c r="H575" s="255"/>
      <c r="I575" s="255"/>
      <c r="J575" s="255"/>
      <c r="K575" s="255"/>
      <c r="L575" s="255"/>
      <c r="M575" s="255"/>
      <c r="N575" s="255"/>
      <c r="O575" s="255"/>
      <c r="P575" s="255"/>
      <c r="Q575" s="255"/>
      <c r="R575" s="255"/>
      <c r="S575" s="255"/>
      <c r="T575" s="255"/>
      <c r="U575" s="255"/>
      <c r="V575" s="255"/>
      <c r="W575" s="255"/>
      <c r="X575" s="255"/>
      <c r="Y575" s="255"/>
      <c r="Z575" s="255"/>
      <c r="AA575" s="255"/>
      <c r="AB575" s="255"/>
    </row>
    <row r="576">
      <c r="A576" s="255"/>
      <c r="B576" s="255"/>
      <c r="C576" s="261"/>
      <c r="D576" s="262"/>
      <c r="E576" s="364"/>
      <c r="F576" s="364"/>
      <c r="G576" s="355"/>
      <c r="H576" s="255"/>
      <c r="I576" s="255"/>
      <c r="J576" s="255"/>
      <c r="K576" s="255"/>
      <c r="L576" s="255"/>
      <c r="M576" s="255"/>
      <c r="N576" s="255"/>
      <c r="O576" s="255"/>
      <c r="P576" s="255"/>
      <c r="Q576" s="255"/>
      <c r="R576" s="255"/>
      <c r="S576" s="255"/>
      <c r="T576" s="255"/>
      <c r="U576" s="255"/>
      <c r="V576" s="255"/>
      <c r="W576" s="255"/>
      <c r="X576" s="255"/>
      <c r="Y576" s="255"/>
      <c r="Z576" s="255"/>
      <c r="AA576" s="255"/>
      <c r="AB576" s="255"/>
    </row>
    <row r="577">
      <c r="A577" s="255"/>
      <c r="B577" s="255"/>
      <c r="C577" s="261"/>
      <c r="D577" s="262"/>
      <c r="E577" s="364"/>
      <c r="F577" s="364"/>
      <c r="G577" s="355"/>
      <c r="H577" s="255"/>
      <c r="I577" s="255"/>
      <c r="J577" s="255"/>
      <c r="K577" s="255"/>
      <c r="L577" s="255"/>
      <c r="M577" s="255"/>
      <c r="N577" s="255"/>
      <c r="O577" s="255"/>
      <c r="P577" s="255"/>
      <c r="Q577" s="255"/>
      <c r="R577" s="255"/>
      <c r="S577" s="255"/>
      <c r="T577" s="255"/>
      <c r="U577" s="255"/>
      <c r="V577" s="255"/>
      <c r="W577" s="255"/>
      <c r="X577" s="255"/>
      <c r="Y577" s="255"/>
      <c r="Z577" s="255"/>
      <c r="AA577" s="255"/>
      <c r="AB577" s="255"/>
    </row>
    <row r="578">
      <c r="A578" s="255"/>
      <c r="B578" s="255"/>
      <c r="C578" s="261"/>
      <c r="D578" s="262"/>
      <c r="E578" s="364"/>
      <c r="F578" s="364"/>
      <c r="G578" s="355"/>
      <c r="H578" s="255"/>
      <c r="I578" s="255"/>
      <c r="J578" s="255"/>
      <c r="K578" s="255"/>
      <c r="L578" s="255"/>
      <c r="M578" s="255"/>
      <c r="N578" s="255"/>
      <c r="O578" s="255"/>
      <c r="P578" s="255"/>
      <c r="Q578" s="255"/>
      <c r="R578" s="255"/>
      <c r="S578" s="255"/>
      <c r="T578" s="255"/>
      <c r="U578" s="255"/>
      <c r="V578" s="255"/>
      <c r="W578" s="255"/>
      <c r="X578" s="255"/>
      <c r="Y578" s="255"/>
      <c r="Z578" s="255"/>
      <c r="AA578" s="255"/>
      <c r="AB578" s="255"/>
    </row>
    <row r="579">
      <c r="A579" s="255"/>
      <c r="B579" s="255"/>
      <c r="C579" s="261"/>
      <c r="D579" s="262"/>
      <c r="E579" s="364"/>
      <c r="F579" s="364"/>
      <c r="G579" s="355"/>
      <c r="H579" s="255"/>
      <c r="I579" s="255"/>
      <c r="J579" s="255"/>
      <c r="K579" s="255"/>
      <c r="L579" s="255"/>
      <c r="M579" s="255"/>
      <c r="N579" s="255"/>
      <c r="O579" s="255"/>
      <c r="P579" s="255"/>
      <c r="Q579" s="255"/>
      <c r="R579" s="255"/>
      <c r="S579" s="255"/>
      <c r="T579" s="255"/>
      <c r="U579" s="255"/>
      <c r="V579" s="255"/>
      <c r="W579" s="255"/>
      <c r="X579" s="255"/>
      <c r="Y579" s="255"/>
      <c r="Z579" s="255"/>
      <c r="AA579" s="255"/>
      <c r="AB579" s="255"/>
    </row>
    <row r="580">
      <c r="A580" s="255"/>
      <c r="B580" s="255"/>
      <c r="C580" s="261"/>
      <c r="D580" s="262"/>
      <c r="E580" s="364"/>
      <c r="F580" s="364"/>
      <c r="G580" s="355"/>
      <c r="H580" s="255"/>
      <c r="I580" s="255"/>
      <c r="J580" s="255"/>
      <c r="K580" s="255"/>
      <c r="L580" s="255"/>
      <c r="M580" s="255"/>
      <c r="N580" s="255"/>
      <c r="O580" s="255"/>
      <c r="P580" s="255"/>
      <c r="Q580" s="255"/>
      <c r="R580" s="255"/>
      <c r="S580" s="255"/>
      <c r="T580" s="255"/>
      <c r="U580" s="255"/>
      <c r="V580" s="255"/>
      <c r="W580" s="255"/>
      <c r="X580" s="255"/>
      <c r="Y580" s="255"/>
      <c r="Z580" s="255"/>
      <c r="AA580" s="255"/>
      <c r="AB580" s="255"/>
    </row>
    <row r="581">
      <c r="A581" s="255"/>
      <c r="B581" s="255"/>
      <c r="C581" s="261"/>
      <c r="D581" s="262"/>
      <c r="E581" s="364"/>
      <c r="F581" s="364"/>
      <c r="G581" s="355"/>
      <c r="H581" s="255"/>
      <c r="I581" s="255"/>
      <c r="J581" s="255"/>
      <c r="K581" s="255"/>
      <c r="L581" s="255"/>
      <c r="M581" s="255"/>
      <c r="N581" s="255"/>
      <c r="O581" s="255"/>
      <c r="P581" s="255"/>
      <c r="Q581" s="255"/>
      <c r="R581" s="255"/>
      <c r="S581" s="255"/>
      <c r="T581" s="255"/>
      <c r="U581" s="255"/>
      <c r="V581" s="255"/>
      <c r="W581" s="255"/>
      <c r="X581" s="255"/>
      <c r="Y581" s="255"/>
      <c r="Z581" s="255"/>
      <c r="AA581" s="255"/>
      <c r="AB581" s="255"/>
    </row>
    <row r="582">
      <c r="A582" s="255"/>
      <c r="B582" s="255"/>
      <c r="C582" s="261"/>
      <c r="D582" s="262"/>
      <c r="E582" s="364"/>
      <c r="F582" s="364"/>
      <c r="G582" s="355"/>
      <c r="H582" s="255"/>
      <c r="I582" s="255"/>
      <c r="J582" s="255"/>
      <c r="K582" s="255"/>
      <c r="L582" s="255"/>
      <c r="M582" s="255"/>
      <c r="N582" s="255"/>
      <c r="O582" s="255"/>
      <c r="P582" s="255"/>
      <c r="Q582" s="255"/>
      <c r="R582" s="255"/>
      <c r="S582" s="255"/>
      <c r="T582" s="255"/>
      <c r="U582" s="255"/>
      <c r="V582" s="255"/>
      <c r="W582" s="255"/>
      <c r="X582" s="255"/>
      <c r="Y582" s="255"/>
      <c r="Z582" s="255"/>
      <c r="AA582" s="255"/>
      <c r="AB582" s="255"/>
    </row>
    <row r="583">
      <c r="A583" s="255"/>
      <c r="B583" s="255"/>
      <c r="C583" s="261"/>
      <c r="D583" s="262"/>
      <c r="E583" s="364"/>
      <c r="F583" s="364"/>
      <c r="G583" s="355"/>
      <c r="H583" s="255"/>
      <c r="I583" s="255"/>
      <c r="J583" s="255"/>
      <c r="K583" s="255"/>
      <c r="L583" s="255"/>
      <c r="M583" s="255"/>
      <c r="N583" s="255"/>
      <c r="O583" s="255"/>
      <c r="P583" s="255"/>
      <c r="Q583" s="255"/>
      <c r="R583" s="255"/>
      <c r="S583" s="255"/>
      <c r="T583" s="255"/>
      <c r="U583" s="255"/>
      <c r="V583" s="255"/>
      <c r="W583" s="255"/>
      <c r="X583" s="255"/>
      <c r="Y583" s="255"/>
      <c r="Z583" s="255"/>
      <c r="AA583" s="255"/>
      <c r="AB583" s="255"/>
    </row>
    <row r="584">
      <c r="A584" s="255"/>
      <c r="B584" s="255"/>
      <c r="C584" s="261"/>
      <c r="D584" s="262"/>
      <c r="E584" s="364"/>
      <c r="F584" s="364"/>
      <c r="G584" s="355"/>
      <c r="H584" s="255"/>
      <c r="I584" s="255"/>
      <c r="J584" s="255"/>
      <c r="K584" s="255"/>
      <c r="L584" s="255"/>
      <c r="M584" s="255"/>
      <c r="N584" s="255"/>
      <c r="O584" s="255"/>
      <c r="P584" s="255"/>
      <c r="Q584" s="255"/>
      <c r="R584" s="255"/>
      <c r="S584" s="255"/>
      <c r="T584" s="255"/>
      <c r="U584" s="255"/>
      <c r="V584" s="255"/>
      <c r="W584" s="255"/>
      <c r="X584" s="255"/>
      <c r="Y584" s="255"/>
      <c r="Z584" s="255"/>
      <c r="AA584" s="255"/>
      <c r="AB584" s="255"/>
    </row>
    <row r="585">
      <c r="A585" s="255"/>
      <c r="B585" s="255"/>
      <c r="C585" s="261"/>
      <c r="D585" s="262"/>
      <c r="E585" s="364"/>
      <c r="F585" s="364"/>
      <c r="G585" s="355"/>
      <c r="H585" s="255"/>
      <c r="I585" s="255"/>
      <c r="J585" s="255"/>
      <c r="K585" s="255"/>
      <c r="L585" s="255"/>
      <c r="M585" s="255"/>
      <c r="N585" s="255"/>
      <c r="O585" s="255"/>
      <c r="P585" s="255"/>
      <c r="Q585" s="255"/>
      <c r="R585" s="255"/>
      <c r="S585" s="255"/>
      <c r="T585" s="255"/>
      <c r="U585" s="255"/>
      <c r="V585" s="255"/>
      <c r="W585" s="255"/>
      <c r="X585" s="255"/>
      <c r="Y585" s="255"/>
      <c r="Z585" s="255"/>
      <c r="AA585" s="255"/>
      <c r="AB585" s="255"/>
    </row>
    <row r="586">
      <c r="A586" s="255"/>
      <c r="B586" s="255"/>
      <c r="C586" s="261"/>
      <c r="D586" s="262"/>
      <c r="E586" s="364"/>
      <c r="F586" s="364"/>
      <c r="G586" s="355"/>
      <c r="H586" s="255"/>
      <c r="I586" s="255"/>
      <c r="J586" s="255"/>
      <c r="K586" s="255"/>
      <c r="L586" s="255"/>
      <c r="M586" s="255"/>
      <c r="N586" s="255"/>
      <c r="O586" s="255"/>
      <c r="P586" s="255"/>
      <c r="Q586" s="255"/>
      <c r="R586" s="255"/>
      <c r="S586" s="255"/>
      <c r="T586" s="255"/>
      <c r="U586" s="255"/>
      <c r="V586" s="255"/>
      <c r="W586" s="255"/>
      <c r="X586" s="255"/>
      <c r="Y586" s="255"/>
      <c r="Z586" s="255"/>
      <c r="AA586" s="255"/>
      <c r="AB586" s="255"/>
    </row>
    <row r="587">
      <c r="A587" s="255"/>
      <c r="B587" s="255"/>
      <c r="C587" s="261"/>
      <c r="D587" s="262"/>
      <c r="E587" s="364"/>
      <c r="F587" s="364"/>
      <c r="G587" s="355"/>
      <c r="H587" s="255"/>
      <c r="I587" s="255"/>
      <c r="J587" s="255"/>
      <c r="K587" s="255"/>
      <c r="L587" s="255"/>
      <c r="M587" s="255"/>
      <c r="N587" s="255"/>
      <c r="O587" s="255"/>
      <c r="P587" s="255"/>
      <c r="Q587" s="255"/>
      <c r="R587" s="255"/>
      <c r="S587" s="255"/>
      <c r="T587" s="255"/>
      <c r="U587" s="255"/>
      <c r="V587" s="255"/>
      <c r="W587" s="255"/>
      <c r="X587" s="255"/>
      <c r="Y587" s="255"/>
      <c r="Z587" s="255"/>
      <c r="AA587" s="255"/>
      <c r="AB587" s="255"/>
    </row>
    <row r="588">
      <c r="A588" s="255"/>
      <c r="B588" s="255"/>
      <c r="C588" s="261"/>
      <c r="D588" s="262"/>
      <c r="E588" s="364"/>
      <c r="F588" s="364"/>
      <c r="G588" s="355"/>
      <c r="H588" s="255"/>
      <c r="I588" s="255"/>
      <c r="J588" s="255"/>
      <c r="K588" s="255"/>
      <c r="L588" s="255"/>
      <c r="M588" s="255"/>
      <c r="N588" s="255"/>
      <c r="O588" s="255"/>
      <c r="P588" s="255"/>
      <c r="Q588" s="255"/>
      <c r="R588" s="255"/>
      <c r="S588" s="255"/>
      <c r="T588" s="255"/>
      <c r="U588" s="255"/>
      <c r="V588" s="255"/>
      <c r="W588" s="255"/>
      <c r="X588" s="255"/>
      <c r="Y588" s="255"/>
      <c r="Z588" s="255"/>
      <c r="AA588" s="255"/>
      <c r="AB588" s="255"/>
    </row>
    <row r="589">
      <c r="A589" s="255"/>
      <c r="B589" s="255"/>
      <c r="C589" s="261"/>
      <c r="D589" s="262"/>
      <c r="E589" s="364"/>
      <c r="F589" s="364"/>
      <c r="G589" s="355"/>
      <c r="H589" s="255"/>
      <c r="I589" s="255"/>
      <c r="J589" s="255"/>
      <c r="K589" s="255"/>
      <c r="L589" s="255"/>
      <c r="M589" s="255"/>
      <c r="N589" s="255"/>
      <c r="O589" s="255"/>
      <c r="P589" s="255"/>
      <c r="Q589" s="255"/>
      <c r="R589" s="255"/>
      <c r="S589" s="255"/>
      <c r="T589" s="255"/>
      <c r="U589" s="255"/>
      <c r="V589" s="255"/>
      <c r="W589" s="255"/>
      <c r="X589" s="255"/>
      <c r="Y589" s="255"/>
      <c r="Z589" s="255"/>
      <c r="AA589" s="255"/>
      <c r="AB589" s="255"/>
    </row>
    <row r="590">
      <c r="A590" s="255"/>
      <c r="B590" s="255"/>
      <c r="C590" s="261"/>
      <c r="D590" s="262"/>
      <c r="E590" s="364"/>
      <c r="F590" s="364"/>
      <c r="G590" s="355"/>
      <c r="H590" s="255"/>
      <c r="I590" s="255"/>
      <c r="J590" s="255"/>
      <c r="K590" s="255"/>
      <c r="L590" s="255"/>
      <c r="M590" s="255"/>
      <c r="N590" s="255"/>
      <c r="O590" s="255"/>
      <c r="P590" s="255"/>
      <c r="Q590" s="255"/>
      <c r="R590" s="255"/>
      <c r="S590" s="255"/>
      <c r="T590" s="255"/>
      <c r="U590" s="255"/>
      <c r="V590" s="255"/>
      <c r="W590" s="255"/>
      <c r="X590" s="255"/>
      <c r="Y590" s="255"/>
      <c r="Z590" s="255"/>
      <c r="AA590" s="255"/>
      <c r="AB590" s="255"/>
    </row>
    <row r="591">
      <c r="A591" s="255"/>
      <c r="B591" s="255"/>
      <c r="C591" s="261"/>
      <c r="D591" s="262"/>
      <c r="E591" s="364"/>
      <c r="F591" s="364"/>
      <c r="G591" s="355"/>
      <c r="H591" s="255"/>
      <c r="I591" s="255"/>
      <c r="J591" s="255"/>
      <c r="K591" s="255"/>
      <c r="L591" s="255"/>
      <c r="M591" s="255"/>
      <c r="N591" s="255"/>
      <c r="O591" s="255"/>
      <c r="P591" s="255"/>
      <c r="Q591" s="255"/>
      <c r="R591" s="255"/>
      <c r="S591" s="255"/>
      <c r="T591" s="255"/>
      <c r="U591" s="255"/>
      <c r="V591" s="255"/>
      <c r="W591" s="255"/>
      <c r="X591" s="255"/>
      <c r="Y591" s="255"/>
      <c r="Z591" s="255"/>
      <c r="AA591" s="255"/>
      <c r="AB591" s="255"/>
    </row>
    <row r="592">
      <c r="A592" s="255"/>
      <c r="B592" s="255"/>
      <c r="C592" s="261"/>
      <c r="D592" s="262"/>
      <c r="E592" s="364"/>
      <c r="F592" s="364"/>
      <c r="G592" s="355"/>
      <c r="H592" s="255"/>
      <c r="I592" s="255"/>
      <c r="J592" s="255"/>
      <c r="K592" s="255"/>
      <c r="L592" s="255"/>
      <c r="M592" s="255"/>
      <c r="N592" s="255"/>
      <c r="O592" s="255"/>
      <c r="P592" s="255"/>
      <c r="Q592" s="255"/>
      <c r="R592" s="255"/>
      <c r="S592" s="255"/>
      <c r="T592" s="255"/>
      <c r="U592" s="255"/>
      <c r="V592" s="255"/>
      <c r="W592" s="255"/>
      <c r="X592" s="255"/>
      <c r="Y592" s="255"/>
      <c r="Z592" s="255"/>
      <c r="AA592" s="255"/>
      <c r="AB592" s="255"/>
    </row>
    <row r="593">
      <c r="A593" s="255"/>
      <c r="B593" s="255"/>
      <c r="C593" s="261"/>
      <c r="D593" s="262"/>
      <c r="E593" s="364"/>
      <c r="F593" s="364"/>
      <c r="G593" s="355"/>
      <c r="H593" s="255"/>
      <c r="I593" s="255"/>
      <c r="J593" s="255"/>
      <c r="K593" s="255"/>
      <c r="L593" s="255"/>
      <c r="M593" s="255"/>
      <c r="N593" s="255"/>
      <c r="O593" s="255"/>
      <c r="P593" s="255"/>
      <c r="Q593" s="255"/>
      <c r="R593" s="255"/>
      <c r="S593" s="255"/>
      <c r="T593" s="255"/>
      <c r="U593" s="255"/>
      <c r="V593" s="255"/>
      <c r="W593" s="255"/>
      <c r="X593" s="255"/>
      <c r="Y593" s="255"/>
      <c r="Z593" s="255"/>
      <c r="AA593" s="255"/>
      <c r="AB593" s="255"/>
    </row>
    <row r="594">
      <c r="A594" s="255"/>
      <c r="B594" s="255"/>
      <c r="C594" s="261"/>
      <c r="D594" s="262"/>
      <c r="E594" s="364"/>
      <c r="F594" s="364"/>
      <c r="G594" s="355"/>
      <c r="H594" s="255"/>
      <c r="I594" s="255"/>
      <c r="J594" s="255"/>
      <c r="K594" s="255"/>
      <c r="L594" s="255"/>
      <c r="M594" s="255"/>
      <c r="N594" s="255"/>
      <c r="O594" s="255"/>
      <c r="P594" s="255"/>
      <c r="Q594" s="255"/>
      <c r="R594" s="255"/>
      <c r="S594" s="255"/>
      <c r="T594" s="255"/>
      <c r="U594" s="255"/>
      <c r="V594" s="255"/>
      <c r="W594" s="255"/>
      <c r="X594" s="255"/>
      <c r="Y594" s="255"/>
      <c r="Z594" s="255"/>
      <c r="AA594" s="255"/>
      <c r="AB594" s="255"/>
    </row>
    <row r="595">
      <c r="A595" s="255"/>
      <c r="B595" s="255"/>
      <c r="C595" s="261"/>
      <c r="D595" s="262"/>
      <c r="E595" s="364"/>
      <c r="F595" s="364"/>
      <c r="G595" s="355"/>
      <c r="H595" s="255"/>
      <c r="I595" s="255"/>
      <c r="J595" s="255"/>
      <c r="K595" s="255"/>
      <c r="L595" s="255"/>
      <c r="M595" s="255"/>
      <c r="N595" s="255"/>
      <c r="O595" s="255"/>
      <c r="P595" s="255"/>
      <c r="Q595" s="255"/>
      <c r="R595" s="255"/>
      <c r="S595" s="255"/>
      <c r="T595" s="255"/>
      <c r="U595" s="255"/>
      <c r="V595" s="255"/>
      <c r="W595" s="255"/>
      <c r="X595" s="255"/>
      <c r="Y595" s="255"/>
      <c r="Z595" s="255"/>
      <c r="AA595" s="255"/>
      <c r="AB595" s="255"/>
    </row>
    <row r="596">
      <c r="A596" s="255"/>
      <c r="B596" s="255"/>
      <c r="C596" s="261"/>
      <c r="D596" s="262"/>
      <c r="E596" s="364"/>
      <c r="F596" s="364"/>
      <c r="G596" s="355"/>
      <c r="H596" s="255"/>
      <c r="I596" s="255"/>
      <c r="J596" s="255"/>
      <c r="K596" s="255"/>
      <c r="L596" s="255"/>
      <c r="M596" s="255"/>
      <c r="N596" s="255"/>
      <c r="O596" s="255"/>
      <c r="P596" s="255"/>
      <c r="Q596" s="255"/>
      <c r="R596" s="255"/>
      <c r="S596" s="255"/>
      <c r="T596" s="255"/>
      <c r="U596" s="255"/>
      <c r="V596" s="255"/>
      <c r="W596" s="255"/>
      <c r="X596" s="255"/>
      <c r="Y596" s="255"/>
      <c r="Z596" s="255"/>
      <c r="AA596" s="255"/>
      <c r="AB596" s="255"/>
    </row>
    <row r="597">
      <c r="A597" s="255"/>
      <c r="B597" s="255"/>
      <c r="C597" s="261"/>
      <c r="D597" s="262"/>
      <c r="E597" s="364"/>
      <c r="F597" s="364"/>
      <c r="G597" s="355"/>
      <c r="H597" s="255"/>
      <c r="I597" s="255"/>
      <c r="J597" s="255"/>
      <c r="K597" s="255"/>
      <c r="L597" s="255"/>
      <c r="M597" s="255"/>
      <c r="N597" s="255"/>
      <c r="O597" s="255"/>
      <c r="P597" s="255"/>
      <c r="Q597" s="255"/>
      <c r="R597" s="255"/>
      <c r="S597" s="255"/>
      <c r="T597" s="255"/>
      <c r="U597" s="255"/>
      <c r="V597" s="255"/>
      <c r="W597" s="255"/>
      <c r="X597" s="255"/>
      <c r="Y597" s="255"/>
      <c r="Z597" s="255"/>
      <c r="AA597" s="255"/>
      <c r="AB597" s="255"/>
    </row>
    <row r="598">
      <c r="A598" s="255"/>
      <c r="B598" s="255"/>
      <c r="C598" s="261"/>
      <c r="D598" s="262"/>
      <c r="E598" s="364"/>
      <c r="F598" s="364"/>
      <c r="G598" s="355"/>
      <c r="H598" s="255"/>
      <c r="I598" s="255"/>
      <c r="J598" s="255"/>
      <c r="K598" s="255"/>
      <c r="L598" s="255"/>
      <c r="M598" s="255"/>
      <c r="N598" s="255"/>
      <c r="O598" s="255"/>
      <c r="P598" s="255"/>
      <c r="Q598" s="255"/>
      <c r="R598" s="255"/>
      <c r="S598" s="255"/>
      <c r="T598" s="255"/>
      <c r="U598" s="255"/>
      <c r="V598" s="255"/>
      <c r="W598" s="255"/>
      <c r="X598" s="255"/>
      <c r="Y598" s="255"/>
      <c r="Z598" s="255"/>
      <c r="AA598" s="255"/>
      <c r="AB598" s="255"/>
    </row>
    <row r="599">
      <c r="A599" s="255"/>
      <c r="B599" s="255"/>
      <c r="C599" s="261"/>
      <c r="D599" s="262"/>
      <c r="E599" s="364"/>
      <c r="F599" s="364"/>
      <c r="G599" s="355"/>
      <c r="H599" s="255"/>
      <c r="I599" s="255"/>
      <c r="J599" s="255"/>
      <c r="K599" s="255"/>
      <c r="L599" s="255"/>
      <c r="M599" s="255"/>
      <c r="N599" s="255"/>
      <c r="O599" s="255"/>
      <c r="P599" s="255"/>
      <c r="Q599" s="255"/>
      <c r="R599" s="255"/>
      <c r="S599" s="255"/>
      <c r="T599" s="255"/>
      <c r="U599" s="255"/>
      <c r="V599" s="255"/>
      <c r="W599" s="255"/>
      <c r="X599" s="255"/>
      <c r="Y599" s="255"/>
      <c r="Z599" s="255"/>
      <c r="AA599" s="255"/>
      <c r="AB599" s="255"/>
    </row>
    <row r="600">
      <c r="A600" s="255"/>
      <c r="B600" s="255"/>
      <c r="C600" s="261"/>
      <c r="D600" s="262"/>
      <c r="E600" s="364"/>
      <c r="F600" s="364"/>
      <c r="G600" s="355"/>
      <c r="H600" s="255"/>
      <c r="I600" s="255"/>
      <c r="J600" s="255"/>
      <c r="K600" s="255"/>
      <c r="L600" s="255"/>
      <c r="M600" s="255"/>
      <c r="N600" s="255"/>
      <c r="O600" s="255"/>
      <c r="P600" s="255"/>
      <c r="Q600" s="255"/>
      <c r="R600" s="255"/>
      <c r="S600" s="255"/>
      <c r="T600" s="255"/>
      <c r="U600" s="255"/>
      <c r="V600" s="255"/>
      <c r="W600" s="255"/>
      <c r="X600" s="255"/>
      <c r="Y600" s="255"/>
      <c r="Z600" s="255"/>
      <c r="AA600" s="255"/>
      <c r="AB600" s="255"/>
    </row>
    <row r="601">
      <c r="A601" s="255"/>
      <c r="B601" s="255"/>
      <c r="C601" s="261"/>
      <c r="D601" s="262"/>
      <c r="E601" s="364"/>
      <c r="F601" s="364"/>
      <c r="G601" s="355"/>
      <c r="H601" s="255"/>
      <c r="I601" s="255"/>
      <c r="J601" s="255"/>
      <c r="K601" s="255"/>
      <c r="L601" s="255"/>
      <c r="M601" s="255"/>
      <c r="N601" s="255"/>
      <c r="O601" s="255"/>
      <c r="P601" s="255"/>
      <c r="Q601" s="255"/>
      <c r="R601" s="255"/>
      <c r="S601" s="255"/>
      <c r="T601" s="255"/>
      <c r="U601" s="255"/>
      <c r="V601" s="255"/>
      <c r="W601" s="255"/>
      <c r="X601" s="255"/>
      <c r="Y601" s="255"/>
      <c r="Z601" s="255"/>
      <c r="AA601" s="255"/>
      <c r="AB601" s="255"/>
    </row>
    <row r="602">
      <c r="A602" s="255"/>
      <c r="B602" s="255"/>
      <c r="C602" s="261"/>
      <c r="D602" s="262"/>
      <c r="E602" s="364"/>
      <c r="F602" s="364"/>
      <c r="G602" s="355"/>
      <c r="H602" s="255"/>
      <c r="I602" s="255"/>
      <c r="J602" s="255"/>
      <c r="K602" s="255"/>
      <c r="L602" s="255"/>
      <c r="M602" s="255"/>
      <c r="N602" s="255"/>
      <c r="O602" s="255"/>
      <c r="P602" s="255"/>
      <c r="Q602" s="255"/>
      <c r="R602" s="255"/>
      <c r="S602" s="255"/>
      <c r="T602" s="255"/>
      <c r="U602" s="255"/>
      <c r="V602" s="255"/>
      <c r="W602" s="255"/>
      <c r="X602" s="255"/>
      <c r="Y602" s="255"/>
      <c r="Z602" s="255"/>
      <c r="AA602" s="255"/>
      <c r="AB602" s="255"/>
    </row>
    <row r="603">
      <c r="A603" s="255"/>
      <c r="B603" s="255"/>
      <c r="C603" s="261"/>
      <c r="D603" s="262"/>
      <c r="E603" s="364"/>
      <c r="F603" s="364"/>
      <c r="G603" s="355"/>
      <c r="H603" s="255"/>
      <c r="I603" s="255"/>
      <c r="J603" s="255"/>
      <c r="K603" s="255"/>
      <c r="L603" s="255"/>
      <c r="M603" s="255"/>
      <c r="N603" s="255"/>
      <c r="O603" s="255"/>
      <c r="P603" s="255"/>
      <c r="Q603" s="255"/>
      <c r="R603" s="255"/>
      <c r="S603" s="255"/>
      <c r="T603" s="255"/>
      <c r="U603" s="255"/>
      <c r="V603" s="255"/>
      <c r="W603" s="255"/>
      <c r="X603" s="255"/>
      <c r="Y603" s="255"/>
      <c r="Z603" s="255"/>
      <c r="AA603" s="255"/>
      <c r="AB603" s="255"/>
    </row>
    <row r="604">
      <c r="A604" s="255"/>
      <c r="B604" s="255"/>
      <c r="C604" s="261"/>
      <c r="D604" s="262"/>
      <c r="E604" s="364"/>
      <c r="F604" s="364"/>
      <c r="G604" s="355"/>
      <c r="H604" s="255"/>
      <c r="I604" s="255"/>
      <c r="J604" s="255"/>
      <c r="K604" s="255"/>
      <c r="L604" s="255"/>
      <c r="M604" s="255"/>
      <c r="N604" s="255"/>
      <c r="O604" s="255"/>
      <c r="P604" s="255"/>
      <c r="Q604" s="255"/>
      <c r="R604" s="255"/>
      <c r="S604" s="255"/>
      <c r="T604" s="255"/>
      <c r="U604" s="255"/>
      <c r="V604" s="255"/>
      <c r="W604" s="255"/>
      <c r="X604" s="255"/>
      <c r="Y604" s="255"/>
      <c r="Z604" s="255"/>
      <c r="AA604" s="255"/>
      <c r="AB604" s="255"/>
    </row>
    <row r="605">
      <c r="A605" s="255"/>
      <c r="B605" s="255"/>
      <c r="C605" s="261"/>
      <c r="D605" s="262"/>
      <c r="E605" s="364"/>
      <c r="F605" s="364"/>
      <c r="G605" s="355"/>
      <c r="H605" s="255"/>
      <c r="I605" s="255"/>
      <c r="J605" s="255"/>
      <c r="K605" s="255"/>
      <c r="L605" s="255"/>
      <c r="M605" s="255"/>
      <c r="N605" s="255"/>
      <c r="O605" s="255"/>
      <c r="P605" s="255"/>
      <c r="Q605" s="255"/>
      <c r="R605" s="255"/>
      <c r="S605" s="255"/>
      <c r="T605" s="255"/>
      <c r="U605" s="255"/>
      <c r="V605" s="255"/>
      <c r="W605" s="255"/>
      <c r="X605" s="255"/>
      <c r="Y605" s="255"/>
      <c r="Z605" s="255"/>
      <c r="AA605" s="255"/>
      <c r="AB605" s="255"/>
    </row>
    <row r="606">
      <c r="A606" s="255"/>
      <c r="B606" s="255"/>
      <c r="C606" s="261"/>
      <c r="D606" s="262"/>
      <c r="E606" s="364"/>
      <c r="F606" s="364"/>
      <c r="G606" s="355"/>
      <c r="H606" s="255"/>
      <c r="I606" s="255"/>
      <c r="J606" s="255"/>
      <c r="K606" s="255"/>
      <c r="L606" s="255"/>
      <c r="M606" s="255"/>
      <c r="N606" s="255"/>
      <c r="O606" s="255"/>
      <c r="P606" s="255"/>
      <c r="Q606" s="255"/>
      <c r="R606" s="255"/>
      <c r="S606" s="255"/>
      <c r="T606" s="255"/>
      <c r="U606" s="255"/>
      <c r="V606" s="255"/>
      <c r="W606" s="255"/>
      <c r="X606" s="255"/>
      <c r="Y606" s="255"/>
      <c r="Z606" s="255"/>
      <c r="AA606" s="255"/>
      <c r="AB606" s="255"/>
    </row>
    <row r="607">
      <c r="A607" s="255"/>
      <c r="B607" s="255"/>
      <c r="C607" s="261"/>
      <c r="D607" s="262"/>
      <c r="E607" s="364"/>
      <c r="F607" s="364"/>
      <c r="G607" s="355"/>
      <c r="H607" s="255"/>
      <c r="I607" s="255"/>
      <c r="J607" s="255"/>
      <c r="K607" s="255"/>
      <c r="L607" s="255"/>
      <c r="M607" s="255"/>
      <c r="N607" s="255"/>
      <c r="O607" s="255"/>
      <c r="P607" s="255"/>
      <c r="Q607" s="255"/>
      <c r="R607" s="255"/>
      <c r="S607" s="255"/>
      <c r="T607" s="255"/>
      <c r="U607" s="255"/>
      <c r="V607" s="255"/>
      <c r="W607" s="255"/>
      <c r="X607" s="255"/>
      <c r="Y607" s="255"/>
      <c r="Z607" s="255"/>
      <c r="AA607" s="255"/>
      <c r="AB607" s="255"/>
    </row>
    <row r="608">
      <c r="A608" s="255"/>
      <c r="B608" s="255"/>
      <c r="C608" s="261"/>
      <c r="D608" s="262"/>
      <c r="E608" s="364"/>
      <c r="F608" s="364"/>
      <c r="G608" s="355"/>
      <c r="H608" s="255"/>
      <c r="I608" s="255"/>
      <c r="J608" s="255"/>
      <c r="K608" s="255"/>
      <c r="L608" s="255"/>
      <c r="M608" s="255"/>
      <c r="N608" s="255"/>
      <c r="O608" s="255"/>
      <c r="P608" s="255"/>
      <c r="Q608" s="255"/>
      <c r="R608" s="255"/>
      <c r="S608" s="255"/>
      <c r="T608" s="255"/>
      <c r="U608" s="255"/>
      <c r="V608" s="255"/>
      <c r="W608" s="255"/>
      <c r="X608" s="255"/>
      <c r="Y608" s="255"/>
      <c r="Z608" s="255"/>
      <c r="AA608" s="255"/>
      <c r="AB608" s="255"/>
    </row>
    <row r="609">
      <c r="A609" s="255"/>
      <c r="B609" s="255"/>
      <c r="C609" s="261"/>
      <c r="D609" s="262"/>
      <c r="E609" s="364"/>
      <c r="F609" s="364"/>
      <c r="G609" s="355"/>
      <c r="H609" s="255"/>
      <c r="I609" s="255"/>
      <c r="J609" s="255"/>
      <c r="K609" s="255"/>
      <c r="L609" s="255"/>
      <c r="M609" s="255"/>
      <c r="N609" s="255"/>
      <c r="O609" s="255"/>
      <c r="P609" s="255"/>
      <c r="Q609" s="255"/>
      <c r="R609" s="255"/>
      <c r="S609" s="255"/>
      <c r="T609" s="255"/>
      <c r="U609" s="255"/>
      <c r="V609" s="255"/>
      <c r="W609" s="255"/>
      <c r="X609" s="255"/>
      <c r="Y609" s="255"/>
      <c r="Z609" s="255"/>
      <c r="AA609" s="255"/>
      <c r="AB609" s="255"/>
    </row>
    <row r="610">
      <c r="A610" s="255"/>
      <c r="B610" s="255"/>
      <c r="C610" s="261"/>
      <c r="D610" s="262"/>
      <c r="E610" s="364"/>
      <c r="F610" s="364"/>
      <c r="G610" s="355"/>
      <c r="H610" s="255"/>
      <c r="I610" s="255"/>
      <c r="J610" s="255"/>
      <c r="K610" s="255"/>
      <c r="L610" s="255"/>
      <c r="M610" s="255"/>
      <c r="N610" s="255"/>
      <c r="O610" s="255"/>
      <c r="P610" s="255"/>
      <c r="Q610" s="255"/>
      <c r="R610" s="255"/>
      <c r="S610" s="255"/>
      <c r="T610" s="255"/>
      <c r="U610" s="255"/>
      <c r="V610" s="255"/>
      <c r="W610" s="255"/>
      <c r="X610" s="255"/>
      <c r="Y610" s="255"/>
      <c r="Z610" s="255"/>
      <c r="AA610" s="255"/>
      <c r="AB610" s="255"/>
    </row>
    <row r="611">
      <c r="A611" s="255"/>
      <c r="B611" s="255"/>
      <c r="C611" s="261"/>
      <c r="D611" s="262"/>
      <c r="E611" s="364"/>
      <c r="F611" s="364"/>
      <c r="G611" s="355"/>
      <c r="H611" s="255"/>
      <c r="I611" s="255"/>
      <c r="J611" s="255"/>
      <c r="K611" s="255"/>
      <c r="L611" s="255"/>
      <c r="M611" s="255"/>
      <c r="N611" s="255"/>
      <c r="O611" s="255"/>
      <c r="P611" s="255"/>
      <c r="Q611" s="255"/>
      <c r="R611" s="255"/>
      <c r="S611" s="255"/>
      <c r="T611" s="255"/>
      <c r="U611" s="255"/>
      <c r="V611" s="255"/>
      <c r="W611" s="255"/>
      <c r="X611" s="255"/>
      <c r="Y611" s="255"/>
      <c r="Z611" s="255"/>
      <c r="AA611" s="255"/>
      <c r="AB611" s="255"/>
    </row>
    <row r="612">
      <c r="A612" s="255"/>
      <c r="B612" s="255"/>
      <c r="C612" s="261"/>
      <c r="D612" s="262"/>
      <c r="E612" s="364"/>
      <c r="F612" s="364"/>
      <c r="G612" s="355"/>
      <c r="H612" s="255"/>
      <c r="I612" s="255"/>
      <c r="J612" s="255"/>
      <c r="K612" s="255"/>
      <c r="L612" s="255"/>
      <c r="M612" s="255"/>
      <c r="N612" s="255"/>
      <c r="O612" s="255"/>
      <c r="P612" s="255"/>
      <c r="Q612" s="255"/>
      <c r="R612" s="255"/>
      <c r="S612" s="255"/>
      <c r="T612" s="255"/>
      <c r="U612" s="255"/>
      <c r="V612" s="255"/>
      <c r="W612" s="255"/>
      <c r="X612" s="255"/>
      <c r="Y612" s="255"/>
      <c r="Z612" s="255"/>
      <c r="AA612" s="255"/>
      <c r="AB612" s="255"/>
    </row>
    <row r="613">
      <c r="A613" s="255"/>
      <c r="B613" s="255"/>
      <c r="C613" s="261"/>
      <c r="D613" s="262"/>
      <c r="E613" s="364"/>
      <c r="F613" s="364"/>
      <c r="G613" s="355"/>
      <c r="H613" s="255"/>
      <c r="I613" s="255"/>
      <c r="J613" s="255"/>
      <c r="K613" s="255"/>
      <c r="L613" s="255"/>
      <c r="M613" s="255"/>
      <c r="N613" s="255"/>
      <c r="O613" s="255"/>
      <c r="P613" s="255"/>
      <c r="Q613" s="255"/>
      <c r="R613" s="255"/>
      <c r="S613" s="255"/>
      <c r="T613" s="255"/>
      <c r="U613" s="255"/>
      <c r="V613" s="255"/>
      <c r="W613" s="255"/>
      <c r="X613" s="255"/>
      <c r="Y613" s="255"/>
      <c r="Z613" s="255"/>
      <c r="AA613" s="255"/>
      <c r="AB613" s="255"/>
    </row>
    <row r="614">
      <c r="A614" s="255"/>
      <c r="B614" s="255"/>
      <c r="C614" s="261"/>
      <c r="D614" s="262"/>
      <c r="E614" s="364"/>
      <c r="F614" s="364"/>
      <c r="G614" s="355"/>
      <c r="H614" s="255"/>
      <c r="I614" s="255"/>
      <c r="J614" s="255"/>
      <c r="K614" s="255"/>
      <c r="L614" s="255"/>
      <c r="M614" s="255"/>
      <c r="N614" s="255"/>
      <c r="O614" s="255"/>
      <c r="P614" s="255"/>
      <c r="Q614" s="255"/>
      <c r="R614" s="255"/>
      <c r="S614" s="255"/>
      <c r="T614" s="255"/>
      <c r="U614" s="255"/>
      <c r="V614" s="255"/>
      <c r="W614" s="255"/>
      <c r="X614" s="255"/>
      <c r="Y614" s="255"/>
      <c r="Z614" s="255"/>
      <c r="AA614" s="255"/>
      <c r="AB614" s="255"/>
    </row>
    <row r="615">
      <c r="A615" s="255"/>
      <c r="B615" s="255"/>
      <c r="C615" s="261"/>
      <c r="D615" s="262"/>
      <c r="E615" s="364"/>
      <c r="F615" s="364"/>
      <c r="G615" s="355"/>
      <c r="H615" s="255"/>
      <c r="I615" s="255"/>
      <c r="J615" s="255"/>
      <c r="K615" s="255"/>
      <c r="L615" s="255"/>
      <c r="M615" s="255"/>
      <c r="N615" s="255"/>
      <c r="O615" s="255"/>
      <c r="P615" s="255"/>
      <c r="Q615" s="255"/>
      <c r="R615" s="255"/>
      <c r="S615" s="255"/>
      <c r="T615" s="255"/>
      <c r="U615" s="255"/>
      <c r="V615" s="255"/>
      <c r="W615" s="255"/>
      <c r="X615" s="255"/>
      <c r="Y615" s="255"/>
      <c r="Z615" s="255"/>
      <c r="AA615" s="255"/>
      <c r="AB615" s="255"/>
    </row>
    <row r="616">
      <c r="A616" s="255"/>
      <c r="B616" s="255"/>
      <c r="C616" s="261"/>
      <c r="D616" s="262"/>
      <c r="E616" s="364"/>
      <c r="F616" s="364"/>
      <c r="G616" s="355"/>
      <c r="H616" s="255"/>
      <c r="I616" s="255"/>
      <c r="J616" s="255"/>
      <c r="K616" s="255"/>
      <c r="L616" s="255"/>
      <c r="M616" s="255"/>
      <c r="N616" s="255"/>
      <c r="O616" s="255"/>
      <c r="P616" s="255"/>
      <c r="Q616" s="255"/>
      <c r="R616" s="255"/>
      <c r="S616" s="255"/>
      <c r="T616" s="255"/>
      <c r="U616" s="255"/>
      <c r="V616" s="255"/>
      <c r="W616" s="255"/>
      <c r="X616" s="255"/>
      <c r="Y616" s="255"/>
      <c r="Z616" s="255"/>
      <c r="AA616" s="255"/>
      <c r="AB616" s="255"/>
    </row>
    <row r="617">
      <c r="A617" s="255"/>
      <c r="B617" s="255"/>
      <c r="C617" s="261"/>
      <c r="D617" s="262"/>
      <c r="E617" s="364"/>
      <c r="F617" s="364"/>
      <c r="G617" s="355"/>
      <c r="H617" s="255"/>
      <c r="I617" s="255"/>
      <c r="J617" s="255"/>
      <c r="K617" s="255"/>
      <c r="L617" s="255"/>
      <c r="M617" s="255"/>
      <c r="N617" s="255"/>
      <c r="O617" s="255"/>
      <c r="P617" s="255"/>
      <c r="Q617" s="255"/>
      <c r="R617" s="255"/>
      <c r="S617" s="255"/>
      <c r="T617" s="255"/>
      <c r="U617" s="255"/>
      <c r="V617" s="255"/>
      <c r="W617" s="255"/>
      <c r="X617" s="255"/>
      <c r="Y617" s="255"/>
      <c r="Z617" s="255"/>
      <c r="AA617" s="255"/>
      <c r="AB617" s="255"/>
    </row>
    <row r="618">
      <c r="A618" s="255"/>
      <c r="B618" s="255"/>
      <c r="C618" s="261"/>
      <c r="D618" s="262"/>
      <c r="E618" s="364"/>
      <c r="F618" s="364"/>
      <c r="G618" s="355"/>
      <c r="H618" s="255"/>
      <c r="I618" s="255"/>
      <c r="J618" s="255"/>
      <c r="K618" s="255"/>
      <c r="L618" s="255"/>
      <c r="M618" s="255"/>
      <c r="N618" s="255"/>
      <c r="O618" s="255"/>
      <c r="P618" s="255"/>
      <c r="Q618" s="255"/>
      <c r="R618" s="255"/>
      <c r="S618" s="255"/>
      <c r="T618" s="255"/>
      <c r="U618" s="255"/>
      <c r="V618" s="255"/>
      <c r="W618" s="255"/>
      <c r="X618" s="255"/>
      <c r="Y618" s="255"/>
      <c r="Z618" s="255"/>
      <c r="AA618" s="255"/>
      <c r="AB618" s="255"/>
    </row>
    <row r="619">
      <c r="A619" s="255"/>
      <c r="B619" s="255"/>
      <c r="C619" s="261"/>
      <c r="D619" s="262"/>
      <c r="E619" s="364"/>
      <c r="F619" s="364"/>
      <c r="G619" s="355"/>
      <c r="H619" s="255"/>
      <c r="I619" s="255"/>
      <c r="J619" s="255"/>
      <c r="K619" s="255"/>
      <c r="L619" s="255"/>
      <c r="M619" s="255"/>
      <c r="N619" s="255"/>
      <c r="O619" s="255"/>
      <c r="P619" s="255"/>
      <c r="Q619" s="255"/>
      <c r="R619" s="255"/>
      <c r="S619" s="255"/>
      <c r="T619" s="255"/>
      <c r="U619" s="255"/>
      <c r="V619" s="255"/>
      <c r="W619" s="255"/>
      <c r="X619" s="255"/>
      <c r="Y619" s="255"/>
      <c r="Z619" s="255"/>
      <c r="AA619" s="255"/>
      <c r="AB619" s="255"/>
    </row>
    <row r="620">
      <c r="A620" s="255"/>
      <c r="B620" s="255"/>
      <c r="C620" s="261"/>
      <c r="D620" s="262"/>
      <c r="E620" s="364"/>
      <c r="F620" s="364"/>
      <c r="G620" s="355"/>
      <c r="H620" s="255"/>
      <c r="I620" s="255"/>
      <c r="J620" s="255"/>
      <c r="K620" s="255"/>
      <c r="L620" s="255"/>
      <c r="M620" s="255"/>
      <c r="N620" s="255"/>
      <c r="O620" s="255"/>
      <c r="P620" s="255"/>
      <c r="Q620" s="255"/>
      <c r="R620" s="255"/>
      <c r="S620" s="255"/>
      <c r="T620" s="255"/>
      <c r="U620" s="255"/>
      <c r="V620" s="255"/>
      <c r="W620" s="255"/>
      <c r="X620" s="255"/>
      <c r="Y620" s="255"/>
      <c r="Z620" s="255"/>
      <c r="AA620" s="255"/>
      <c r="AB620" s="255"/>
    </row>
    <row r="621">
      <c r="A621" s="255"/>
      <c r="B621" s="255"/>
      <c r="C621" s="261"/>
      <c r="D621" s="262"/>
      <c r="E621" s="364"/>
      <c r="F621" s="364"/>
      <c r="G621" s="355"/>
      <c r="H621" s="255"/>
      <c r="I621" s="255"/>
      <c r="J621" s="255"/>
      <c r="K621" s="255"/>
      <c r="L621" s="255"/>
      <c r="M621" s="255"/>
      <c r="N621" s="255"/>
      <c r="O621" s="255"/>
      <c r="P621" s="255"/>
      <c r="Q621" s="255"/>
      <c r="R621" s="255"/>
      <c r="S621" s="255"/>
      <c r="T621" s="255"/>
      <c r="U621" s="255"/>
      <c r="V621" s="255"/>
      <c r="W621" s="255"/>
      <c r="X621" s="255"/>
      <c r="Y621" s="255"/>
      <c r="Z621" s="255"/>
      <c r="AA621" s="255"/>
      <c r="AB621" s="255"/>
    </row>
    <row r="622">
      <c r="A622" s="255"/>
      <c r="B622" s="255"/>
      <c r="C622" s="261"/>
      <c r="D622" s="262"/>
      <c r="E622" s="364"/>
      <c r="F622" s="364"/>
      <c r="G622" s="355"/>
      <c r="H622" s="255"/>
      <c r="I622" s="255"/>
      <c r="J622" s="255"/>
      <c r="K622" s="255"/>
      <c r="L622" s="255"/>
      <c r="M622" s="255"/>
      <c r="N622" s="255"/>
      <c r="O622" s="255"/>
      <c r="P622" s="255"/>
      <c r="Q622" s="255"/>
      <c r="R622" s="255"/>
      <c r="S622" s="255"/>
      <c r="T622" s="255"/>
      <c r="U622" s="255"/>
      <c r="V622" s="255"/>
      <c r="W622" s="255"/>
      <c r="X622" s="255"/>
      <c r="Y622" s="255"/>
      <c r="Z622" s="255"/>
      <c r="AA622" s="255"/>
      <c r="AB622" s="255"/>
    </row>
    <row r="623">
      <c r="A623" s="255"/>
      <c r="B623" s="255"/>
      <c r="C623" s="261"/>
      <c r="D623" s="262"/>
      <c r="E623" s="364"/>
      <c r="F623" s="364"/>
      <c r="G623" s="355"/>
      <c r="H623" s="255"/>
      <c r="I623" s="255"/>
      <c r="J623" s="255"/>
      <c r="K623" s="255"/>
      <c r="L623" s="255"/>
      <c r="M623" s="255"/>
      <c r="N623" s="255"/>
      <c r="O623" s="255"/>
      <c r="P623" s="255"/>
      <c r="Q623" s="255"/>
      <c r="R623" s="255"/>
      <c r="S623" s="255"/>
      <c r="T623" s="255"/>
      <c r="U623" s="255"/>
      <c r="V623" s="255"/>
      <c r="W623" s="255"/>
      <c r="X623" s="255"/>
      <c r="Y623" s="255"/>
      <c r="Z623" s="255"/>
      <c r="AA623" s="255"/>
      <c r="AB623" s="255"/>
    </row>
    <row r="624">
      <c r="A624" s="255"/>
      <c r="B624" s="255"/>
      <c r="C624" s="261"/>
      <c r="D624" s="262"/>
      <c r="E624" s="364"/>
      <c r="F624" s="364"/>
      <c r="G624" s="355"/>
      <c r="H624" s="255"/>
      <c r="I624" s="255"/>
      <c r="J624" s="255"/>
      <c r="K624" s="255"/>
      <c r="L624" s="255"/>
      <c r="M624" s="255"/>
      <c r="N624" s="255"/>
      <c r="O624" s="255"/>
      <c r="P624" s="255"/>
      <c r="Q624" s="255"/>
      <c r="R624" s="255"/>
      <c r="S624" s="255"/>
      <c r="T624" s="255"/>
      <c r="U624" s="255"/>
      <c r="V624" s="255"/>
      <c r="W624" s="255"/>
      <c r="X624" s="255"/>
      <c r="Y624" s="255"/>
      <c r="Z624" s="255"/>
      <c r="AA624" s="255"/>
      <c r="AB624" s="255"/>
    </row>
    <row r="625">
      <c r="A625" s="255"/>
      <c r="B625" s="255"/>
      <c r="C625" s="261"/>
      <c r="D625" s="262"/>
      <c r="E625" s="364"/>
      <c r="F625" s="364"/>
      <c r="G625" s="355"/>
      <c r="H625" s="255"/>
      <c r="I625" s="255"/>
      <c r="J625" s="255"/>
      <c r="K625" s="255"/>
      <c r="L625" s="255"/>
      <c r="M625" s="255"/>
      <c r="N625" s="255"/>
      <c r="O625" s="255"/>
      <c r="P625" s="255"/>
      <c r="Q625" s="255"/>
      <c r="R625" s="255"/>
      <c r="S625" s="255"/>
      <c r="T625" s="255"/>
      <c r="U625" s="255"/>
      <c r="V625" s="255"/>
      <c r="W625" s="255"/>
      <c r="X625" s="255"/>
      <c r="Y625" s="255"/>
      <c r="Z625" s="255"/>
      <c r="AA625" s="255"/>
      <c r="AB625" s="255"/>
    </row>
    <row r="626">
      <c r="A626" s="255"/>
      <c r="B626" s="255"/>
      <c r="C626" s="261"/>
      <c r="D626" s="262"/>
      <c r="E626" s="364"/>
      <c r="F626" s="364"/>
      <c r="G626" s="355"/>
      <c r="H626" s="255"/>
      <c r="I626" s="255"/>
      <c r="J626" s="255"/>
      <c r="K626" s="255"/>
      <c r="L626" s="255"/>
      <c r="M626" s="255"/>
      <c r="N626" s="255"/>
      <c r="O626" s="255"/>
      <c r="P626" s="255"/>
      <c r="Q626" s="255"/>
      <c r="R626" s="255"/>
      <c r="S626" s="255"/>
      <c r="T626" s="255"/>
      <c r="U626" s="255"/>
      <c r="V626" s="255"/>
      <c r="W626" s="255"/>
      <c r="X626" s="255"/>
      <c r="Y626" s="255"/>
      <c r="Z626" s="255"/>
      <c r="AA626" s="255"/>
      <c r="AB626" s="255"/>
    </row>
    <row r="627">
      <c r="A627" s="255"/>
      <c r="B627" s="255"/>
      <c r="C627" s="261"/>
      <c r="D627" s="262"/>
      <c r="E627" s="364"/>
      <c r="F627" s="364"/>
      <c r="G627" s="355"/>
      <c r="H627" s="255"/>
      <c r="I627" s="255"/>
      <c r="J627" s="255"/>
      <c r="K627" s="255"/>
      <c r="L627" s="255"/>
      <c r="M627" s="255"/>
      <c r="N627" s="255"/>
      <c r="O627" s="255"/>
      <c r="P627" s="255"/>
      <c r="Q627" s="255"/>
      <c r="R627" s="255"/>
      <c r="S627" s="255"/>
      <c r="T627" s="255"/>
      <c r="U627" s="255"/>
      <c r="V627" s="255"/>
      <c r="W627" s="255"/>
      <c r="X627" s="255"/>
      <c r="Y627" s="255"/>
      <c r="Z627" s="255"/>
      <c r="AA627" s="255"/>
      <c r="AB627" s="255"/>
    </row>
    <row r="628">
      <c r="A628" s="255"/>
      <c r="B628" s="255"/>
      <c r="C628" s="261"/>
      <c r="D628" s="262"/>
      <c r="E628" s="364"/>
      <c r="F628" s="364"/>
      <c r="G628" s="355"/>
      <c r="H628" s="255"/>
      <c r="I628" s="255"/>
      <c r="J628" s="255"/>
      <c r="K628" s="255"/>
      <c r="L628" s="255"/>
      <c r="M628" s="255"/>
      <c r="N628" s="255"/>
      <c r="O628" s="255"/>
      <c r="P628" s="255"/>
      <c r="Q628" s="255"/>
      <c r="R628" s="255"/>
      <c r="S628" s="255"/>
      <c r="T628" s="255"/>
      <c r="U628" s="255"/>
      <c r="V628" s="255"/>
      <c r="W628" s="255"/>
      <c r="X628" s="255"/>
      <c r="Y628" s="255"/>
      <c r="Z628" s="255"/>
      <c r="AA628" s="255"/>
      <c r="AB628" s="255"/>
    </row>
    <row r="629">
      <c r="A629" s="255"/>
      <c r="B629" s="255"/>
      <c r="C629" s="261"/>
      <c r="D629" s="262"/>
      <c r="E629" s="364"/>
      <c r="F629" s="364"/>
      <c r="G629" s="355"/>
      <c r="H629" s="255"/>
      <c r="I629" s="255"/>
      <c r="J629" s="255"/>
      <c r="K629" s="255"/>
      <c r="L629" s="255"/>
      <c r="M629" s="255"/>
      <c r="N629" s="255"/>
      <c r="O629" s="255"/>
      <c r="P629" s="255"/>
      <c r="Q629" s="255"/>
      <c r="R629" s="255"/>
      <c r="S629" s="255"/>
      <c r="T629" s="255"/>
      <c r="U629" s="255"/>
      <c r="V629" s="255"/>
      <c r="W629" s="255"/>
      <c r="X629" s="255"/>
      <c r="Y629" s="255"/>
      <c r="Z629" s="255"/>
      <c r="AA629" s="255"/>
      <c r="AB629" s="255"/>
    </row>
    <row r="630">
      <c r="A630" s="255"/>
      <c r="B630" s="255"/>
      <c r="C630" s="261"/>
      <c r="D630" s="262"/>
      <c r="E630" s="364"/>
      <c r="F630" s="364"/>
      <c r="G630" s="355"/>
      <c r="H630" s="255"/>
      <c r="I630" s="255"/>
      <c r="J630" s="255"/>
      <c r="K630" s="255"/>
      <c r="L630" s="255"/>
      <c r="M630" s="255"/>
      <c r="N630" s="255"/>
      <c r="O630" s="255"/>
      <c r="P630" s="255"/>
      <c r="Q630" s="255"/>
      <c r="R630" s="255"/>
      <c r="S630" s="255"/>
      <c r="T630" s="255"/>
      <c r="U630" s="255"/>
      <c r="V630" s="255"/>
      <c r="W630" s="255"/>
      <c r="X630" s="255"/>
      <c r="Y630" s="255"/>
      <c r="Z630" s="255"/>
      <c r="AA630" s="255"/>
      <c r="AB630" s="255"/>
    </row>
    <row r="631">
      <c r="A631" s="255"/>
      <c r="B631" s="255"/>
      <c r="C631" s="261"/>
      <c r="D631" s="262"/>
      <c r="E631" s="364"/>
      <c r="F631" s="364"/>
      <c r="G631" s="355"/>
      <c r="H631" s="255"/>
      <c r="I631" s="255"/>
      <c r="J631" s="255"/>
      <c r="K631" s="255"/>
      <c r="L631" s="255"/>
      <c r="M631" s="255"/>
      <c r="N631" s="255"/>
      <c r="O631" s="255"/>
      <c r="P631" s="255"/>
      <c r="Q631" s="255"/>
      <c r="R631" s="255"/>
      <c r="S631" s="255"/>
      <c r="T631" s="255"/>
      <c r="U631" s="255"/>
      <c r="V631" s="255"/>
      <c r="W631" s="255"/>
      <c r="X631" s="255"/>
      <c r="Y631" s="255"/>
      <c r="Z631" s="255"/>
      <c r="AA631" s="255"/>
      <c r="AB631" s="255"/>
    </row>
    <row r="632">
      <c r="A632" s="255"/>
      <c r="B632" s="255"/>
      <c r="C632" s="261"/>
      <c r="D632" s="262"/>
      <c r="E632" s="364"/>
      <c r="F632" s="364"/>
      <c r="G632" s="355"/>
      <c r="H632" s="255"/>
      <c r="I632" s="255"/>
      <c r="J632" s="255"/>
      <c r="K632" s="255"/>
      <c r="L632" s="255"/>
      <c r="M632" s="255"/>
      <c r="N632" s="255"/>
      <c r="O632" s="255"/>
      <c r="P632" s="255"/>
      <c r="Q632" s="255"/>
      <c r="R632" s="255"/>
      <c r="S632" s="255"/>
      <c r="T632" s="255"/>
      <c r="U632" s="255"/>
      <c r="V632" s="255"/>
      <c r="W632" s="255"/>
      <c r="X632" s="255"/>
      <c r="Y632" s="255"/>
      <c r="Z632" s="255"/>
      <c r="AA632" s="255"/>
      <c r="AB632" s="255"/>
    </row>
    <row r="633">
      <c r="A633" s="255"/>
      <c r="B633" s="255"/>
      <c r="C633" s="261"/>
      <c r="D633" s="262"/>
      <c r="E633" s="364"/>
      <c r="F633" s="364"/>
      <c r="G633" s="355"/>
      <c r="H633" s="255"/>
      <c r="I633" s="255"/>
      <c r="J633" s="255"/>
      <c r="K633" s="255"/>
      <c r="L633" s="255"/>
      <c r="M633" s="255"/>
      <c r="N633" s="255"/>
      <c r="O633" s="255"/>
      <c r="P633" s="255"/>
      <c r="Q633" s="255"/>
      <c r="R633" s="255"/>
      <c r="S633" s="255"/>
      <c r="T633" s="255"/>
      <c r="U633" s="255"/>
      <c r="V633" s="255"/>
      <c r="W633" s="255"/>
      <c r="X633" s="255"/>
      <c r="Y633" s="255"/>
      <c r="Z633" s="255"/>
      <c r="AA633" s="255"/>
      <c r="AB633" s="255"/>
    </row>
    <row r="634">
      <c r="A634" s="255"/>
      <c r="B634" s="255"/>
      <c r="C634" s="261"/>
      <c r="D634" s="262"/>
      <c r="E634" s="364"/>
      <c r="F634" s="364"/>
      <c r="G634" s="355"/>
      <c r="H634" s="255"/>
      <c r="I634" s="255"/>
      <c r="J634" s="255"/>
      <c r="K634" s="255"/>
      <c r="L634" s="255"/>
      <c r="M634" s="255"/>
      <c r="N634" s="255"/>
      <c r="O634" s="255"/>
      <c r="P634" s="255"/>
      <c r="Q634" s="255"/>
      <c r="R634" s="255"/>
      <c r="S634" s="255"/>
      <c r="T634" s="255"/>
      <c r="U634" s="255"/>
      <c r="V634" s="255"/>
      <c r="W634" s="255"/>
      <c r="X634" s="255"/>
      <c r="Y634" s="255"/>
      <c r="Z634" s="255"/>
      <c r="AA634" s="255"/>
      <c r="AB634" s="255"/>
    </row>
    <row r="635">
      <c r="A635" s="255"/>
      <c r="B635" s="255"/>
      <c r="C635" s="261"/>
      <c r="D635" s="262"/>
      <c r="E635" s="364"/>
      <c r="F635" s="364"/>
      <c r="G635" s="355"/>
      <c r="H635" s="255"/>
      <c r="I635" s="255"/>
      <c r="J635" s="255"/>
      <c r="K635" s="255"/>
      <c r="L635" s="255"/>
      <c r="M635" s="255"/>
      <c r="N635" s="255"/>
      <c r="O635" s="255"/>
      <c r="P635" s="255"/>
      <c r="Q635" s="255"/>
      <c r="R635" s="255"/>
      <c r="S635" s="255"/>
      <c r="T635" s="255"/>
      <c r="U635" s="255"/>
      <c r="V635" s="255"/>
      <c r="W635" s="255"/>
      <c r="X635" s="255"/>
      <c r="Y635" s="255"/>
      <c r="Z635" s="255"/>
      <c r="AA635" s="255"/>
      <c r="AB635" s="255"/>
    </row>
    <row r="636">
      <c r="A636" s="255"/>
      <c r="B636" s="255"/>
      <c r="C636" s="261"/>
      <c r="D636" s="262"/>
      <c r="E636" s="364"/>
      <c r="F636" s="364"/>
      <c r="G636" s="355"/>
      <c r="H636" s="255"/>
      <c r="I636" s="255"/>
      <c r="J636" s="255"/>
      <c r="K636" s="255"/>
      <c r="L636" s="255"/>
      <c r="M636" s="255"/>
      <c r="N636" s="255"/>
      <c r="O636" s="255"/>
      <c r="P636" s="255"/>
      <c r="Q636" s="255"/>
      <c r="R636" s="255"/>
      <c r="S636" s="255"/>
      <c r="T636" s="255"/>
      <c r="U636" s="255"/>
      <c r="V636" s="255"/>
      <c r="W636" s="255"/>
      <c r="X636" s="255"/>
      <c r="Y636" s="255"/>
      <c r="Z636" s="255"/>
      <c r="AA636" s="255"/>
      <c r="AB636" s="255"/>
    </row>
    <row r="637">
      <c r="A637" s="255"/>
      <c r="B637" s="255"/>
      <c r="C637" s="261"/>
      <c r="D637" s="262"/>
      <c r="E637" s="364"/>
      <c r="F637" s="364"/>
      <c r="G637" s="355"/>
      <c r="H637" s="255"/>
      <c r="I637" s="255"/>
      <c r="J637" s="255"/>
      <c r="K637" s="255"/>
      <c r="L637" s="255"/>
      <c r="M637" s="255"/>
      <c r="N637" s="255"/>
      <c r="O637" s="255"/>
      <c r="P637" s="255"/>
      <c r="Q637" s="255"/>
      <c r="R637" s="255"/>
      <c r="S637" s="255"/>
      <c r="T637" s="255"/>
      <c r="U637" s="255"/>
      <c r="V637" s="255"/>
      <c r="W637" s="255"/>
      <c r="X637" s="255"/>
      <c r="Y637" s="255"/>
      <c r="Z637" s="255"/>
      <c r="AA637" s="255"/>
      <c r="AB637" s="255"/>
    </row>
    <row r="638">
      <c r="A638" s="255"/>
      <c r="B638" s="255"/>
      <c r="C638" s="261"/>
      <c r="D638" s="262"/>
      <c r="E638" s="364"/>
      <c r="F638" s="364"/>
      <c r="G638" s="355"/>
      <c r="H638" s="255"/>
      <c r="I638" s="255"/>
      <c r="J638" s="255"/>
      <c r="K638" s="255"/>
      <c r="L638" s="255"/>
      <c r="M638" s="255"/>
      <c r="N638" s="255"/>
      <c r="O638" s="255"/>
      <c r="P638" s="255"/>
      <c r="Q638" s="255"/>
      <c r="R638" s="255"/>
      <c r="S638" s="255"/>
      <c r="T638" s="255"/>
      <c r="U638" s="255"/>
      <c r="V638" s="255"/>
      <c r="W638" s="255"/>
      <c r="X638" s="255"/>
      <c r="Y638" s="255"/>
      <c r="Z638" s="255"/>
      <c r="AA638" s="255"/>
      <c r="AB638" s="255"/>
    </row>
    <row r="639">
      <c r="A639" s="255"/>
      <c r="B639" s="255"/>
      <c r="C639" s="261"/>
      <c r="D639" s="262"/>
      <c r="E639" s="364"/>
      <c r="F639" s="364"/>
      <c r="G639" s="355"/>
      <c r="H639" s="255"/>
      <c r="I639" s="255"/>
      <c r="J639" s="255"/>
      <c r="K639" s="255"/>
      <c r="L639" s="255"/>
      <c r="M639" s="255"/>
      <c r="N639" s="255"/>
      <c r="O639" s="255"/>
      <c r="P639" s="255"/>
      <c r="Q639" s="255"/>
      <c r="R639" s="255"/>
      <c r="S639" s="255"/>
      <c r="T639" s="255"/>
      <c r="U639" s="255"/>
      <c r="V639" s="255"/>
      <c r="W639" s="255"/>
      <c r="X639" s="255"/>
      <c r="Y639" s="255"/>
      <c r="Z639" s="255"/>
      <c r="AA639" s="255"/>
      <c r="AB639" s="255"/>
    </row>
    <row r="640">
      <c r="A640" s="255"/>
      <c r="B640" s="255"/>
      <c r="C640" s="261"/>
      <c r="D640" s="262"/>
      <c r="E640" s="364"/>
      <c r="F640" s="364"/>
      <c r="G640" s="355"/>
      <c r="H640" s="255"/>
      <c r="I640" s="255"/>
      <c r="J640" s="255"/>
      <c r="K640" s="255"/>
      <c r="L640" s="255"/>
      <c r="M640" s="255"/>
      <c r="N640" s="255"/>
      <c r="O640" s="255"/>
      <c r="P640" s="255"/>
      <c r="Q640" s="255"/>
      <c r="R640" s="255"/>
      <c r="S640" s="255"/>
      <c r="T640" s="255"/>
      <c r="U640" s="255"/>
      <c r="V640" s="255"/>
      <c r="W640" s="255"/>
      <c r="X640" s="255"/>
      <c r="Y640" s="255"/>
      <c r="Z640" s="255"/>
      <c r="AA640" s="255"/>
      <c r="AB640" s="255"/>
    </row>
    <row r="641">
      <c r="A641" s="255"/>
      <c r="B641" s="255"/>
      <c r="C641" s="261"/>
      <c r="D641" s="262"/>
      <c r="E641" s="364"/>
      <c r="F641" s="364"/>
      <c r="G641" s="355"/>
      <c r="H641" s="255"/>
      <c r="I641" s="255"/>
      <c r="J641" s="255"/>
      <c r="K641" s="255"/>
      <c r="L641" s="255"/>
      <c r="M641" s="255"/>
      <c r="N641" s="255"/>
      <c r="O641" s="255"/>
      <c r="P641" s="255"/>
      <c r="Q641" s="255"/>
      <c r="R641" s="255"/>
      <c r="S641" s="255"/>
      <c r="T641" s="255"/>
      <c r="U641" s="255"/>
      <c r="V641" s="255"/>
      <c r="W641" s="255"/>
      <c r="X641" s="255"/>
      <c r="Y641" s="255"/>
      <c r="Z641" s="255"/>
      <c r="AA641" s="255"/>
      <c r="AB641" s="255"/>
    </row>
    <row r="642">
      <c r="A642" s="255"/>
      <c r="B642" s="255"/>
      <c r="C642" s="261"/>
      <c r="D642" s="262"/>
      <c r="E642" s="364"/>
      <c r="F642" s="364"/>
      <c r="G642" s="355"/>
      <c r="H642" s="255"/>
      <c r="I642" s="255"/>
      <c r="J642" s="255"/>
      <c r="K642" s="255"/>
      <c r="L642" s="255"/>
      <c r="M642" s="255"/>
      <c r="N642" s="255"/>
      <c r="O642" s="255"/>
      <c r="P642" s="255"/>
      <c r="Q642" s="255"/>
      <c r="R642" s="255"/>
      <c r="S642" s="255"/>
      <c r="T642" s="255"/>
      <c r="U642" s="255"/>
      <c r="V642" s="255"/>
      <c r="W642" s="255"/>
      <c r="X642" s="255"/>
      <c r="Y642" s="255"/>
      <c r="Z642" s="255"/>
      <c r="AA642" s="255"/>
      <c r="AB642" s="255"/>
    </row>
    <row r="643">
      <c r="A643" s="255"/>
      <c r="B643" s="255"/>
      <c r="C643" s="261"/>
      <c r="D643" s="262"/>
      <c r="E643" s="364"/>
      <c r="F643" s="364"/>
      <c r="G643" s="355"/>
      <c r="H643" s="255"/>
      <c r="I643" s="255"/>
      <c r="J643" s="255"/>
      <c r="K643" s="255"/>
      <c r="L643" s="255"/>
      <c r="M643" s="255"/>
      <c r="N643" s="255"/>
      <c r="O643" s="255"/>
      <c r="P643" s="255"/>
      <c r="Q643" s="255"/>
      <c r="R643" s="255"/>
      <c r="S643" s="255"/>
      <c r="T643" s="255"/>
      <c r="U643" s="255"/>
      <c r="V643" s="255"/>
      <c r="W643" s="255"/>
      <c r="X643" s="255"/>
      <c r="Y643" s="255"/>
      <c r="Z643" s="255"/>
      <c r="AA643" s="255"/>
      <c r="AB643" s="255"/>
    </row>
    <row r="644">
      <c r="A644" s="255"/>
      <c r="B644" s="255"/>
      <c r="C644" s="261"/>
      <c r="D644" s="262"/>
      <c r="E644" s="364"/>
      <c r="F644" s="364"/>
      <c r="G644" s="355"/>
      <c r="H644" s="255"/>
      <c r="I644" s="255"/>
      <c r="J644" s="255"/>
      <c r="K644" s="255"/>
      <c r="L644" s="255"/>
      <c r="M644" s="255"/>
      <c r="N644" s="255"/>
      <c r="O644" s="255"/>
      <c r="P644" s="255"/>
      <c r="Q644" s="255"/>
      <c r="R644" s="255"/>
      <c r="S644" s="255"/>
      <c r="T644" s="255"/>
      <c r="U644" s="255"/>
      <c r="V644" s="255"/>
      <c r="W644" s="255"/>
      <c r="X644" s="255"/>
      <c r="Y644" s="255"/>
      <c r="Z644" s="255"/>
      <c r="AA644" s="255"/>
      <c r="AB644" s="255"/>
    </row>
    <row r="645">
      <c r="A645" s="255"/>
      <c r="B645" s="255"/>
      <c r="C645" s="261"/>
      <c r="D645" s="262"/>
      <c r="E645" s="364"/>
      <c r="F645" s="364"/>
      <c r="G645" s="355"/>
      <c r="H645" s="255"/>
      <c r="I645" s="255"/>
      <c r="J645" s="255"/>
      <c r="K645" s="255"/>
      <c r="L645" s="255"/>
      <c r="M645" s="255"/>
      <c r="N645" s="255"/>
      <c r="O645" s="255"/>
      <c r="P645" s="255"/>
      <c r="Q645" s="255"/>
      <c r="R645" s="255"/>
      <c r="S645" s="255"/>
      <c r="T645" s="255"/>
      <c r="U645" s="255"/>
      <c r="V645" s="255"/>
      <c r="W645" s="255"/>
      <c r="X645" s="255"/>
      <c r="Y645" s="255"/>
      <c r="Z645" s="255"/>
      <c r="AA645" s="255"/>
      <c r="AB645" s="255"/>
    </row>
    <row r="646">
      <c r="A646" s="255"/>
      <c r="B646" s="255"/>
      <c r="C646" s="261"/>
      <c r="D646" s="262"/>
      <c r="E646" s="364"/>
      <c r="F646" s="364"/>
      <c r="G646" s="355"/>
      <c r="H646" s="255"/>
      <c r="I646" s="255"/>
      <c r="J646" s="255"/>
      <c r="K646" s="255"/>
      <c r="L646" s="255"/>
      <c r="M646" s="255"/>
      <c r="N646" s="255"/>
      <c r="O646" s="255"/>
      <c r="P646" s="255"/>
      <c r="Q646" s="255"/>
      <c r="R646" s="255"/>
      <c r="S646" s="255"/>
      <c r="T646" s="255"/>
      <c r="U646" s="255"/>
      <c r="V646" s="255"/>
      <c r="W646" s="255"/>
      <c r="X646" s="255"/>
      <c r="Y646" s="255"/>
      <c r="Z646" s="255"/>
      <c r="AA646" s="255"/>
      <c r="AB646" s="255"/>
    </row>
    <row r="647">
      <c r="A647" s="255"/>
      <c r="B647" s="255"/>
      <c r="C647" s="261"/>
      <c r="D647" s="262"/>
      <c r="E647" s="364"/>
      <c r="F647" s="364"/>
      <c r="G647" s="355"/>
      <c r="H647" s="255"/>
      <c r="I647" s="255"/>
      <c r="J647" s="255"/>
      <c r="K647" s="255"/>
      <c r="L647" s="255"/>
      <c r="M647" s="255"/>
      <c r="N647" s="255"/>
      <c r="O647" s="255"/>
      <c r="P647" s="255"/>
      <c r="Q647" s="255"/>
      <c r="R647" s="255"/>
      <c r="S647" s="255"/>
      <c r="T647" s="255"/>
      <c r="U647" s="255"/>
      <c r="V647" s="255"/>
      <c r="W647" s="255"/>
      <c r="X647" s="255"/>
      <c r="Y647" s="255"/>
      <c r="Z647" s="255"/>
      <c r="AA647" s="255"/>
      <c r="AB647" s="255"/>
    </row>
    <row r="648">
      <c r="A648" s="255"/>
      <c r="B648" s="255"/>
      <c r="C648" s="261"/>
      <c r="D648" s="262"/>
      <c r="E648" s="364"/>
      <c r="F648" s="364"/>
      <c r="G648" s="355"/>
      <c r="H648" s="255"/>
      <c r="I648" s="255"/>
      <c r="J648" s="255"/>
      <c r="K648" s="255"/>
      <c r="L648" s="255"/>
      <c r="M648" s="255"/>
      <c r="N648" s="255"/>
      <c r="O648" s="255"/>
      <c r="P648" s="255"/>
      <c r="Q648" s="255"/>
      <c r="R648" s="255"/>
      <c r="S648" s="255"/>
      <c r="T648" s="255"/>
      <c r="U648" s="255"/>
      <c r="V648" s="255"/>
      <c r="W648" s="255"/>
      <c r="X648" s="255"/>
      <c r="Y648" s="255"/>
      <c r="Z648" s="255"/>
      <c r="AA648" s="255"/>
      <c r="AB648" s="255"/>
    </row>
    <row r="649">
      <c r="A649" s="255"/>
      <c r="B649" s="255"/>
      <c r="C649" s="261"/>
      <c r="D649" s="262"/>
      <c r="E649" s="364"/>
      <c r="F649" s="364"/>
      <c r="G649" s="355"/>
      <c r="H649" s="255"/>
      <c r="I649" s="255"/>
      <c r="J649" s="255"/>
      <c r="K649" s="255"/>
      <c r="L649" s="255"/>
      <c r="M649" s="255"/>
      <c r="N649" s="255"/>
      <c r="O649" s="255"/>
      <c r="P649" s="255"/>
      <c r="Q649" s="255"/>
      <c r="R649" s="255"/>
      <c r="S649" s="255"/>
      <c r="T649" s="255"/>
      <c r="U649" s="255"/>
      <c r="V649" s="255"/>
      <c r="W649" s="255"/>
      <c r="X649" s="255"/>
      <c r="Y649" s="255"/>
      <c r="Z649" s="255"/>
      <c r="AA649" s="255"/>
      <c r="AB649" s="255"/>
    </row>
    <row r="650">
      <c r="A650" s="255"/>
      <c r="B650" s="255"/>
      <c r="C650" s="261"/>
      <c r="D650" s="262"/>
      <c r="E650" s="364"/>
      <c r="F650" s="364"/>
      <c r="G650" s="355"/>
      <c r="H650" s="255"/>
      <c r="I650" s="255"/>
      <c r="J650" s="255"/>
      <c r="K650" s="255"/>
      <c r="L650" s="255"/>
      <c r="M650" s="255"/>
      <c r="N650" s="255"/>
      <c r="O650" s="255"/>
      <c r="P650" s="255"/>
      <c r="Q650" s="255"/>
      <c r="R650" s="255"/>
      <c r="S650" s="255"/>
      <c r="T650" s="255"/>
      <c r="U650" s="255"/>
      <c r="V650" s="255"/>
      <c r="W650" s="255"/>
      <c r="X650" s="255"/>
      <c r="Y650" s="255"/>
      <c r="Z650" s="255"/>
      <c r="AA650" s="255"/>
      <c r="AB650" s="255"/>
    </row>
    <row r="651">
      <c r="A651" s="255"/>
      <c r="B651" s="255"/>
      <c r="C651" s="261"/>
      <c r="D651" s="262"/>
      <c r="E651" s="364"/>
      <c r="F651" s="364"/>
      <c r="G651" s="355"/>
      <c r="H651" s="255"/>
      <c r="I651" s="255"/>
      <c r="J651" s="255"/>
      <c r="K651" s="255"/>
      <c r="L651" s="255"/>
      <c r="M651" s="255"/>
      <c r="N651" s="255"/>
      <c r="O651" s="255"/>
      <c r="P651" s="255"/>
      <c r="Q651" s="255"/>
      <c r="R651" s="255"/>
      <c r="S651" s="255"/>
      <c r="T651" s="255"/>
      <c r="U651" s="255"/>
      <c r="V651" s="255"/>
      <c r="W651" s="255"/>
      <c r="X651" s="255"/>
      <c r="Y651" s="255"/>
      <c r="Z651" s="255"/>
      <c r="AA651" s="255"/>
      <c r="AB651" s="255"/>
    </row>
    <row r="652">
      <c r="A652" s="255"/>
      <c r="B652" s="255"/>
      <c r="C652" s="261"/>
      <c r="D652" s="262"/>
      <c r="E652" s="364"/>
      <c r="F652" s="364"/>
      <c r="G652" s="355"/>
      <c r="H652" s="255"/>
      <c r="I652" s="255"/>
      <c r="J652" s="255"/>
      <c r="K652" s="255"/>
      <c r="L652" s="255"/>
      <c r="M652" s="255"/>
      <c r="N652" s="255"/>
      <c r="O652" s="255"/>
      <c r="P652" s="255"/>
      <c r="Q652" s="255"/>
      <c r="R652" s="255"/>
      <c r="S652" s="255"/>
      <c r="T652" s="255"/>
      <c r="U652" s="255"/>
      <c r="V652" s="255"/>
      <c r="W652" s="255"/>
      <c r="X652" s="255"/>
      <c r="Y652" s="255"/>
      <c r="Z652" s="255"/>
      <c r="AA652" s="255"/>
      <c r="AB652" s="255"/>
    </row>
    <row r="653">
      <c r="A653" s="255"/>
      <c r="B653" s="255"/>
      <c r="C653" s="261"/>
      <c r="D653" s="262"/>
      <c r="E653" s="364"/>
      <c r="F653" s="364"/>
      <c r="G653" s="355"/>
      <c r="H653" s="255"/>
      <c r="I653" s="255"/>
      <c r="J653" s="255"/>
      <c r="K653" s="255"/>
      <c r="L653" s="255"/>
      <c r="M653" s="255"/>
      <c r="N653" s="255"/>
      <c r="O653" s="255"/>
      <c r="P653" s="255"/>
      <c r="Q653" s="255"/>
      <c r="R653" s="255"/>
      <c r="S653" s="255"/>
      <c r="T653" s="255"/>
      <c r="U653" s="255"/>
      <c r="V653" s="255"/>
      <c r="W653" s="255"/>
      <c r="X653" s="255"/>
      <c r="Y653" s="255"/>
      <c r="Z653" s="255"/>
      <c r="AA653" s="255"/>
      <c r="AB653" s="255"/>
    </row>
    <row r="654">
      <c r="A654" s="255"/>
      <c r="B654" s="255"/>
      <c r="C654" s="261"/>
      <c r="D654" s="262"/>
      <c r="E654" s="364"/>
      <c r="F654" s="364"/>
      <c r="G654" s="355"/>
      <c r="H654" s="255"/>
      <c r="I654" s="255"/>
      <c r="J654" s="255"/>
      <c r="K654" s="255"/>
      <c r="L654" s="255"/>
      <c r="M654" s="255"/>
      <c r="N654" s="255"/>
      <c r="O654" s="255"/>
      <c r="P654" s="255"/>
      <c r="Q654" s="255"/>
      <c r="R654" s="255"/>
      <c r="S654" s="255"/>
      <c r="T654" s="255"/>
      <c r="U654" s="255"/>
      <c r="V654" s="255"/>
      <c r="W654" s="255"/>
      <c r="X654" s="255"/>
      <c r="Y654" s="255"/>
      <c r="Z654" s="255"/>
      <c r="AA654" s="255"/>
      <c r="AB654" s="255"/>
    </row>
    <row r="655">
      <c r="A655" s="255"/>
      <c r="B655" s="255"/>
      <c r="C655" s="261"/>
      <c r="D655" s="262"/>
      <c r="E655" s="364"/>
      <c r="F655" s="364"/>
      <c r="G655" s="355"/>
      <c r="H655" s="255"/>
      <c r="I655" s="255"/>
      <c r="J655" s="255"/>
      <c r="K655" s="255"/>
      <c r="L655" s="255"/>
      <c r="M655" s="255"/>
      <c r="N655" s="255"/>
      <c r="O655" s="255"/>
      <c r="P655" s="255"/>
      <c r="Q655" s="255"/>
      <c r="R655" s="255"/>
      <c r="S655" s="255"/>
      <c r="T655" s="255"/>
      <c r="U655" s="255"/>
      <c r="V655" s="255"/>
      <c r="W655" s="255"/>
      <c r="X655" s="255"/>
      <c r="Y655" s="255"/>
      <c r="Z655" s="255"/>
      <c r="AA655" s="255"/>
      <c r="AB655" s="255"/>
    </row>
    <row r="656">
      <c r="A656" s="255"/>
      <c r="B656" s="255"/>
      <c r="C656" s="261"/>
      <c r="D656" s="262"/>
      <c r="E656" s="364"/>
      <c r="F656" s="364"/>
      <c r="G656" s="355"/>
      <c r="H656" s="255"/>
      <c r="I656" s="255"/>
      <c r="J656" s="255"/>
      <c r="K656" s="255"/>
      <c r="L656" s="255"/>
      <c r="M656" s="255"/>
      <c r="N656" s="255"/>
      <c r="O656" s="255"/>
      <c r="P656" s="255"/>
      <c r="Q656" s="255"/>
      <c r="R656" s="255"/>
      <c r="S656" s="255"/>
      <c r="T656" s="255"/>
      <c r="U656" s="255"/>
      <c r="V656" s="255"/>
      <c r="W656" s="255"/>
      <c r="X656" s="255"/>
      <c r="Y656" s="255"/>
      <c r="Z656" s="255"/>
      <c r="AA656" s="255"/>
      <c r="AB656" s="255"/>
    </row>
    <row r="657">
      <c r="A657" s="255"/>
      <c r="B657" s="255"/>
      <c r="C657" s="261"/>
      <c r="D657" s="262"/>
      <c r="E657" s="364"/>
      <c r="F657" s="364"/>
      <c r="G657" s="355"/>
      <c r="H657" s="255"/>
      <c r="I657" s="255"/>
      <c r="J657" s="255"/>
      <c r="K657" s="255"/>
      <c r="L657" s="255"/>
      <c r="M657" s="255"/>
      <c r="N657" s="255"/>
      <c r="O657" s="255"/>
      <c r="P657" s="255"/>
      <c r="Q657" s="255"/>
      <c r="R657" s="255"/>
      <c r="S657" s="255"/>
      <c r="T657" s="255"/>
      <c r="U657" s="255"/>
      <c r="V657" s="255"/>
      <c r="W657" s="255"/>
      <c r="X657" s="255"/>
      <c r="Y657" s="255"/>
      <c r="Z657" s="255"/>
      <c r="AA657" s="255"/>
      <c r="AB657" s="255"/>
    </row>
    <row r="658">
      <c r="A658" s="255"/>
      <c r="B658" s="255"/>
      <c r="C658" s="261"/>
      <c r="D658" s="262"/>
      <c r="E658" s="364"/>
      <c r="F658" s="364"/>
      <c r="G658" s="355"/>
      <c r="H658" s="255"/>
      <c r="I658" s="255"/>
      <c r="J658" s="255"/>
      <c r="K658" s="255"/>
      <c r="L658" s="255"/>
      <c r="M658" s="255"/>
      <c r="N658" s="255"/>
      <c r="O658" s="255"/>
      <c r="P658" s="255"/>
      <c r="Q658" s="255"/>
      <c r="R658" s="255"/>
      <c r="S658" s="255"/>
      <c r="T658" s="255"/>
      <c r="U658" s="255"/>
      <c r="V658" s="255"/>
      <c r="W658" s="255"/>
      <c r="X658" s="255"/>
      <c r="Y658" s="255"/>
      <c r="Z658" s="255"/>
      <c r="AA658" s="255"/>
      <c r="AB658" s="255"/>
    </row>
    <row r="659">
      <c r="A659" s="255"/>
      <c r="B659" s="255"/>
      <c r="C659" s="261"/>
      <c r="D659" s="262"/>
      <c r="E659" s="364"/>
      <c r="F659" s="364"/>
      <c r="G659" s="355"/>
      <c r="H659" s="255"/>
      <c r="I659" s="255"/>
      <c r="J659" s="255"/>
      <c r="K659" s="255"/>
      <c r="L659" s="255"/>
      <c r="M659" s="255"/>
      <c r="N659" s="255"/>
      <c r="O659" s="255"/>
      <c r="P659" s="255"/>
      <c r="Q659" s="255"/>
      <c r="R659" s="255"/>
      <c r="S659" s="255"/>
      <c r="T659" s="255"/>
      <c r="U659" s="255"/>
      <c r="V659" s="255"/>
      <c r="W659" s="255"/>
      <c r="X659" s="255"/>
      <c r="Y659" s="255"/>
      <c r="Z659" s="255"/>
      <c r="AA659" s="255"/>
      <c r="AB659" s="255"/>
    </row>
    <row r="660">
      <c r="A660" s="255"/>
      <c r="B660" s="255"/>
      <c r="C660" s="261"/>
      <c r="D660" s="262"/>
      <c r="E660" s="364"/>
      <c r="F660" s="364"/>
      <c r="G660" s="355"/>
      <c r="H660" s="255"/>
      <c r="I660" s="255"/>
      <c r="J660" s="255"/>
      <c r="K660" s="255"/>
      <c r="L660" s="255"/>
      <c r="M660" s="255"/>
      <c r="N660" s="255"/>
      <c r="O660" s="255"/>
      <c r="P660" s="255"/>
      <c r="Q660" s="255"/>
      <c r="R660" s="255"/>
      <c r="S660" s="255"/>
      <c r="T660" s="255"/>
      <c r="U660" s="255"/>
      <c r="V660" s="255"/>
      <c r="W660" s="255"/>
      <c r="X660" s="255"/>
      <c r="Y660" s="255"/>
      <c r="Z660" s="255"/>
      <c r="AA660" s="255"/>
      <c r="AB660" s="255"/>
    </row>
    <row r="661">
      <c r="A661" s="255"/>
      <c r="B661" s="255"/>
      <c r="C661" s="261"/>
      <c r="D661" s="262"/>
      <c r="E661" s="364"/>
      <c r="F661" s="364"/>
      <c r="G661" s="355"/>
      <c r="H661" s="255"/>
      <c r="I661" s="255"/>
      <c r="J661" s="255"/>
      <c r="K661" s="255"/>
      <c r="L661" s="255"/>
      <c r="M661" s="255"/>
      <c r="N661" s="255"/>
      <c r="O661" s="255"/>
      <c r="P661" s="255"/>
      <c r="Q661" s="255"/>
      <c r="R661" s="255"/>
      <c r="S661" s="255"/>
      <c r="T661" s="255"/>
      <c r="U661" s="255"/>
      <c r="V661" s="255"/>
      <c r="W661" s="255"/>
      <c r="X661" s="255"/>
      <c r="Y661" s="255"/>
      <c r="Z661" s="255"/>
      <c r="AA661" s="255"/>
      <c r="AB661" s="255"/>
    </row>
    <row r="662">
      <c r="A662" s="255"/>
      <c r="B662" s="255"/>
      <c r="C662" s="261"/>
      <c r="D662" s="262"/>
      <c r="E662" s="364"/>
      <c r="F662" s="364"/>
      <c r="G662" s="355"/>
      <c r="H662" s="255"/>
      <c r="I662" s="255"/>
      <c r="J662" s="255"/>
      <c r="K662" s="255"/>
      <c r="L662" s="255"/>
      <c r="M662" s="255"/>
      <c r="N662" s="255"/>
      <c r="O662" s="255"/>
      <c r="P662" s="255"/>
      <c r="Q662" s="255"/>
      <c r="R662" s="255"/>
      <c r="S662" s="255"/>
      <c r="T662" s="255"/>
      <c r="U662" s="255"/>
      <c r="V662" s="255"/>
      <c r="W662" s="255"/>
      <c r="X662" s="255"/>
      <c r="Y662" s="255"/>
      <c r="Z662" s="255"/>
      <c r="AA662" s="255"/>
      <c r="AB662" s="255"/>
    </row>
    <row r="663">
      <c r="A663" s="255"/>
      <c r="B663" s="255"/>
      <c r="C663" s="261"/>
      <c r="D663" s="262"/>
      <c r="E663" s="364"/>
      <c r="F663" s="364"/>
      <c r="G663" s="355"/>
      <c r="H663" s="255"/>
      <c r="I663" s="255"/>
      <c r="J663" s="255"/>
      <c r="K663" s="255"/>
      <c r="L663" s="255"/>
      <c r="M663" s="255"/>
      <c r="N663" s="255"/>
      <c r="O663" s="255"/>
      <c r="P663" s="255"/>
      <c r="Q663" s="255"/>
      <c r="R663" s="255"/>
      <c r="S663" s="255"/>
      <c r="T663" s="255"/>
      <c r="U663" s="255"/>
      <c r="V663" s="255"/>
      <c r="W663" s="255"/>
      <c r="X663" s="255"/>
      <c r="Y663" s="255"/>
      <c r="Z663" s="255"/>
      <c r="AA663" s="255"/>
      <c r="AB663" s="255"/>
    </row>
    <row r="664">
      <c r="A664" s="255"/>
      <c r="B664" s="255"/>
      <c r="C664" s="261"/>
      <c r="D664" s="262"/>
      <c r="E664" s="364"/>
      <c r="F664" s="364"/>
      <c r="G664" s="355"/>
      <c r="H664" s="255"/>
      <c r="I664" s="255"/>
      <c r="J664" s="255"/>
      <c r="K664" s="255"/>
      <c r="L664" s="255"/>
      <c r="M664" s="255"/>
      <c r="N664" s="255"/>
      <c r="O664" s="255"/>
      <c r="P664" s="255"/>
      <c r="Q664" s="255"/>
      <c r="R664" s="255"/>
      <c r="S664" s="255"/>
      <c r="T664" s="255"/>
      <c r="U664" s="255"/>
      <c r="V664" s="255"/>
      <c r="W664" s="255"/>
      <c r="X664" s="255"/>
      <c r="Y664" s="255"/>
      <c r="Z664" s="255"/>
      <c r="AA664" s="255"/>
      <c r="AB664" s="255"/>
    </row>
    <row r="665">
      <c r="A665" s="255"/>
      <c r="B665" s="255"/>
      <c r="C665" s="261"/>
      <c r="D665" s="262"/>
      <c r="E665" s="364"/>
      <c r="F665" s="364"/>
      <c r="G665" s="355"/>
      <c r="H665" s="255"/>
      <c r="I665" s="255"/>
      <c r="J665" s="255"/>
      <c r="K665" s="255"/>
      <c r="L665" s="255"/>
      <c r="M665" s="255"/>
      <c r="N665" s="255"/>
      <c r="O665" s="255"/>
      <c r="P665" s="255"/>
      <c r="Q665" s="255"/>
      <c r="R665" s="255"/>
      <c r="S665" s="255"/>
      <c r="T665" s="255"/>
      <c r="U665" s="255"/>
      <c r="V665" s="255"/>
      <c r="W665" s="255"/>
      <c r="X665" s="255"/>
      <c r="Y665" s="255"/>
      <c r="Z665" s="255"/>
      <c r="AA665" s="255"/>
      <c r="AB665" s="255"/>
    </row>
    <row r="666">
      <c r="A666" s="255"/>
      <c r="B666" s="255"/>
      <c r="C666" s="261"/>
      <c r="D666" s="262"/>
      <c r="E666" s="364"/>
      <c r="F666" s="364"/>
      <c r="G666" s="355"/>
      <c r="H666" s="255"/>
      <c r="I666" s="255"/>
      <c r="J666" s="255"/>
      <c r="K666" s="255"/>
      <c r="L666" s="255"/>
      <c r="M666" s="255"/>
      <c r="N666" s="255"/>
      <c r="O666" s="255"/>
      <c r="P666" s="255"/>
      <c r="Q666" s="255"/>
      <c r="R666" s="255"/>
      <c r="S666" s="255"/>
      <c r="T666" s="255"/>
      <c r="U666" s="255"/>
      <c r="V666" s="255"/>
      <c r="W666" s="255"/>
      <c r="X666" s="255"/>
      <c r="Y666" s="255"/>
      <c r="Z666" s="255"/>
      <c r="AA666" s="255"/>
      <c r="AB666" s="255"/>
    </row>
    <row r="667">
      <c r="A667" s="255"/>
      <c r="B667" s="255"/>
      <c r="C667" s="261"/>
      <c r="D667" s="262"/>
      <c r="E667" s="364"/>
      <c r="F667" s="364"/>
      <c r="G667" s="355"/>
      <c r="H667" s="255"/>
      <c r="I667" s="255"/>
      <c r="J667" s="255"/>
      <c r="K667" s="255"/>
      <c r="L667" s="255"/>
      <c r="M667" s="255"/>
      <c r="N667" s="255"/>
      <c r="O667" s="255"/>
      <c r="P667" s="255"/>
      <c r="Q667" s="255"/>
      <c r="R667" s="255"/>
      <c r="S667" s="255"/>
      <c r="T667" s="255"/>
      <c r="U667" s="255"/>
      <c r="V667" s="255"/>
      <c r="W667" s="255"/>
      <c r="X667" s="255"/>
      <c r="Y667" s="255"/>
      <c r="Z667" s="255"/>
      <c r="AA667" s="255"/>
      <c r="AB667" s="255"/>
    </row>
    <row r="668">
      <c r="A668" s="255"/>
      <c r="B668" s="255"/>
      <c r="C668" s="261"/>
      <c r="D668" s="262"/>
      <c r="E668" s="364"/>
      <c r="F668" s="364"/>
      <c r="G668" s="355"/>
      <c r="H668" s="255"/>
      <c r="I668" s="255"/>
      <c r="J668" s="255"/>
      <c r="K668" s="255"/>
      <c r="L668" s="255"/>
      <c r="M668" s="255"/>
      <c r="N668" s="255"/>
      <c r="O668" s="255"/>
      <c r="P668" s="255"/>
      <c r="Q668" s="255"/>
      <c r="R668" s="255"/>
      <c r="S668" s="255"/>
      <c r="T668" s="255"/>
      <c r="U668" s="255"/>
      <c r="V668" s="255"/>
      <c r="W668" s="255"/>
      <c r="X668" s="255"/>
      <c r="Y668" s="255"/>
      <c r="Z668" s="255"/>
      <c r="AA668" s="255"/>
      <c r="AB668" s="255"/>
    </row>
    <row r="669">
      <c r="A669" s="255"/>
      <c r="B669" s="255"/>
      <c r="C669" s="261"/>
      <c r="D669" s="262"/>
      <c r="E669" s="364"/>
      <c r="F669" s="364"/>
      <c r="G669" s="355"/>
      <c r="H669" s="255"/>
      <c r="I669" s="255"/>
      <c r="J669" s="255"/>
      <c r="K669" s="255"/>
      <c r="L669" s="255"/>
      <c r="M669" s="255"/>
      <c r="N669" s="255"/>
      <c r="O669" s="255"/>
      <c r="P669" s="255"/>
      <c r="Q669" s="255"/>
      <c r="R669" s="255"/>
      <c r="S669" s="255"/>
      <c r="T669" s="255"/>
      <c r="U669" s="255"/>
      <c r="V669" s="255"/>
      <c r="W669" s="255"/>
      <c r="X669" s="255"/>
      <c r="Y669" s="255"/>
      <c r="Z669" s="255"/>
      <c r="AA669" s="255"/>
      <c r="AB669" s="255"/>
    </row>
    <row r="670">
      <c r="A670" s="255"/>
      <c r="B670" s="255"/>
      <c r="C670" s="261"/>
      <c r="D670" s="262"/>
      <c r="E670" s="364"/>
      <c r="F670" s="364"/>
      <c r="G670" s="355"/>
      <c r="H670" s="255"/>
      <c r="I670" s="255"/>
      <c r="J670" s="255"/>
      <c r="K670" s="255"/>
      <c r="L670" s="255"/>
      <c r="M670" s="255"/>
      <c r="N670" s="255"/>
      <c r="O670" s="255"/>
      <c r="P670" s="255"/>
      <c r="Q670" s="255"/>
      <c r="R670" s="255"/>
      <c r="S670" s="255"/>
      <c r="T670" s="255"/>
      <c r="U670" s="255"/>
      <c r="V670" s="255"/>
      <c r="W670" s="255"/>
      <c r="X670" s="255"/>
      <c r="Y670" s="255"/>
      <c r="Z670" s="255"/>
      <c r="AA670" s="255"/>
      <c r="AB670" s="255"/>
    </row>
    <row r="671">
      <c r="A671" s="255"/>
      <c r="B671" s="255"/>
      <c r="C671" s="261"/>
      <c r="D671" s="262"/>
      <c r="E671" s="364"/>
      <c r="F671" s="364"/>
      <c r="G671" s="355"/>
      <c r="H671" s="255"/>
      <c r="I671" s="255"/>
      <c r="J671" s="255"/>
      <c r="K671" s="255"/>
      <c r="L671" s="255"/>
      <c r="M671" s="255"/>
      <c r="N671" s="255"/>
      <c r="O671" s="255"/>
      <c r="P671" s="255"/>
      <c r="Q671" s="255"/>
      <c r="R671" s="255"/>
      <c r="S671" s="255"/>
      <c r="T671" s="255"/>
      <c r="U671" s="255"/>
      <c r="V671" s="255"/>
      <c r="W671" s="255"/>
      <c r="X671" s="255"/>
      <c r="Y671" s="255"/>
      <c r="Z671" s="255"/>
      <c r="AA671" s="255"/>
      <c r="AB671" s="255"/>
    </row>
    <row r="672">
      <c r="A672" s="255"/>
      <c r="B672" s="255"/>
      <c r="C672" s="261"/>
      <c r="D672" s="262"/>
      <c r="E672" s="364"/>
      <c r="F672" s="364"/>
      <c r="G672" s="355"/>
      <c r="H672" s="255"/>
      <c r="I672" s="255"/>
      <c r="J672" s="255"/>
      <c r="K672" s="255"/>
      <c r="L672" s="255"/>
      <c r="M672" s="255"/>
      <c r="N672" s="255"/>
      <c r="O672" s="255"/>
      <c r="P672" s="255"/>
      <c r="Q672" s="255"/>
      <c r="R672" s="255"/>
      <c r="S672" s="255"/>
      <c r="T672" s="255"/>
      <c r="U672" s="255"/>
      <c r="V672" s="255"/>
      <c r="W672" s="255"/>
      <c r="X672" s="255"/>
      <c r="Y672" s="255"/>
      <c r="Z672" s="255"/>
      <c r="AA672" s="255"/>
      <c r="AB672" s="255"/>
    </row>
    <row r="673">
      <c r="A673" s="255"/>
      <c r="B673" s="255"/>
      <c r="C673" s="261"/>
      <c r="D673" s="262"/>
      <c r="E673" s="364"/>
      <c r="F673" s="364"/>
      <c r="G673" s="355"/>
      <c r="H673" s="255"/>
      <c r="I673" s="255"/>
      <c r="J673" s="255"/>
      <c r="K673" s="255"/>
      <c r="L673" s="255"/>
      <c r="M673" s="255"/>
      <c r="N673" s="255"/>
      <c r="O673" s="255"/>
      <c r="P673" s="255"/>
      <c r="Q673" s="255"/>
      <c r="R673" s="255"/>
      <c r="S673" s="255"/>
      <c r="T673" s="255"/>
      <c r="U673" s="255"/>
      <c r="V673" s="255"/>
      <c r="W673" s="255"/>
      <c r="X673" s="255"/>
      <c r="Y673" s="255"/>
      <c r="Z673" s="255"/>
      <c r="AA673" s="255"/>
      <c r="AB673" s="255"/>
    </row>
    <row r="674">
      <c r="A674" s="255"/>
      <c r="B674" s="255"/>
      <c r="C674" s="261"/>
      <c r="D674" s="262"/>
      <c r="E674" s="364"/>
      <c r="F674" s="364"/>
      <c r="G674" s="355"/>
      <c r="H674" s="255"/>
      <c r="I674" s="255"/>
      <c r="J674" s="255"/>
      <c r="K674" s="255"/>
      <c r="L674" s="255"/>
      <c r="M674" s="255"/>
      <c r="N674" s="255"/>
      <c r="O674" s="255"/>
      <c r="P674" s="255"/>
      <c r="Q674" s="255"/>
      <c r="R674" s="255"/>
      <c r="S674" s="255"/>
      <c r="T674" s="255"/>
      <c r="U674" s="255"/>
      <c r="V674" s="255"/>
      <c r="W674" s="255"/>
      <c r="X674" s="255"/>
      <c r="Y674" s="255"/>
      <c r="Z674" s="255"/>
      <c r="AA674" s="255"/>
      <c r="AB674" s="255"/>
    </row>
    <row r="675">
      <c r="A675" s="255"/>
      <c r="B675" s="255"/>
      <c r="C675" s="261"/>
      <c r="D675" s="262"/>
      <c r="E675" s="364"/>
      <c r="F675" s="364"/>
      <c r="G675" s="355"/>
      <c r="H675" s="255"/>
      <c r="I675" s="255"/>
      <c r="J675" s="255"/>
      <c r="K675" s="255"/>
      <c r="L675" s="255"/>
      <c r="M675" s="255"/>
      <c r="N675" s="255"/>
      <c r="O675" s="255"/>
      <c r="P675" s="255"/>
      <c r="Q675" s="255"/>
      <c r="R675" s="255"/>
      <c r="S675" s="255"/>
      <c r="T675" s="255"/>
      <c r="U675" s="255"/>
      <c r="V675" s="255"/>
      <c r="W675" s="255"/>
      <c r="X675" s="255"/>
      <c r="Y675" s="255"/>
      <c r="Z675" s="255"/>
      <c r="AA675" s="255"/>
      <c r="AB675" s="255"/>
    </row>
    <row r="676">
      <c r="A676" s="255"/>
      <c r="B676" s="255"/>
      <c r="C676" s="261"/>
      <c r="D676" s="262"/>
      <c r="E676" s="364"/>
      <c r="F676" s="364"/>
      <c r="G676" s="355"/>
      <c r="H676" s="255"/>
      <c r="I676" s="255"/>
      <c r="J676" s="255"/>
      <c r="K676" s="255"/>
      <c r="L676" s="255"/>
      <c r="M676" s="255"/>
      <c r="N676" s="255"/>
      <c r="O676" s="255"/>
      <c r="P676" s="255"/>
      <c r="Q676" s="255"/>
      <c r="R676" s="255"/>
      <c r="S676" s="255"/>
      <c r="T676" s="255"/>
      <c r="U676" s="255"/>
      <c r="V676" s="255"/>
      <c r="W676" s="255"/>
      <c r="X676" s="255"/>
      <c r="Y676" s="255"/>
      <c r="Z676" s="255"/>
      <c r="AA676" s="255"/>
      <c r="AB676" s="255"/>
    </row>
    <row r="677">
      <c r="A677" s="255"/>
      <c r="B677" s="255"/>
      <c r="C677" s="261"/>
      <c r="D677" s="262"/>
      <c r="E677" s="364"/>
      <c r="F677" s="364"/>
      <c r="G677" s="355"/>
      <c r="H677" s="255"/>
      <c r="I677" s="255"/>
      <c r="J677" s="255"/>
      <c r="K677" s="255"/>
      <c r="L677" s="255"/>
      <c r="M677" s="255"/>
      <c r="N677" s="255"/>
      <c r="O677" s="255"/>
      <c r="P677" s="255"/>
      <c r="Q677" s="255"/>
      <c r="R677" s="255"/>
      <c r="S677" s="255"/>
      <c r="T677" s="255"/>
      <c r="U677" s="255"/>
      <c r="V677" s="255"/>
      <c r="W677" s="255"/>
      <c r="X677" s="255"/>
      <c r="Y677" s="255"/>
      <c r="Z677" s="255"/>
      <c r="AA677" s="255"/>
      <c r="AB677" s="255"/>
    </row>
    <row r="678">
      <c r="A678" s="255"/>
      <c r="B678" s="255"/>
      <c r="C678" s="261"/>
      <c r="D678" s="262"/>
      <c r="E678" s="364"/>
      <c r="F678" s="364"/>
      <c r="G678" s="355"/>
      <c r="H678" s="255"/>
      <c r="I678" s="255"/>
      <c r="J678" s="255"/>
      <c r="K678" s="255"/>
      <c r="L678" s="255"/>
      <c r="M678" s="255"/>
      <c r="N678" s="255"/>
      <c r="O678" s="255"/>
      <c r="P678" s="255"/>
      <c r="Q678" s="255"/>
      <c r="R678" s="255"/>
      <c r="S678" s="255"/>
      <c r="T678" s="255"/>
      <c r="U678" s="255"/>
      <c r="V678" s="255"/>
      <c r="W678" s="255"/>
      <c r="X678" s="255"/>
      <c r="Y678" s="255"/>
      <c r="Z678" s="255"/>
      <c r="AA678" s="255"/>
      <c r="AB678" s="255"/>
    </row>
    <row r="679">
      <c r="A679" s="255"/>
      <c r="B679" s="255"/>
      <c r="C679" s="261"/>
      <c r="D679" s="262"/>
      <c r="E679" s="364"/>
      <c r="F679" s="364"/>
      <c r="G679" s="355"/>
      <c r="H679" s="255"/>
      <c r="I679" s="255"/>
      <c r="J679" s="255"/>
      <c r="K679" s="255"/>
      <c r="L679" s="255"/>
      <c r="M679" s="255"/>
      <c r="N679" s="255"/>
      <c r="O679" s="255"/>
      <c r="P679" s="255"/>
      <c r="Q679" s="255"/>
      <c r="R679" s="255"/>
      <c r="S679" s="255"/>
      <c r="T679" s="255"/>
      <c r="U679" s="255"/>
      <c r="V679" s="255"/>
      <c r="W679" s="255"/>
      <c r="X679" s="255"/>
      <c r="Y679" s="255"/>
      <c r="Z679" s="255"/>
      <c r="AA679" s="255"/>
      <c r="AB679" s="255"/>
    </row>
    <row r="680">
      <c r="A680" s="255"/>
      <c r="B680" s="255"/>
      <c r="C680" s="261"/>
      <c r="D680" s="262"/>
      <c r="E680" s="364"/>
      <c r="F680" s="364"/>
      <c r="G680" s="355"/>
      <c r="H680" s="255"/>
      <c r="I680" s="255"/>
      <c r="J680" s="255"/>
      <c r="K680" s="255"/>
      <c r="L680" s="255"/>
      <c r="M680" s="255"/>
      <c r="N680" s="255"/>
      <c r="O680" s="255"/>
      <c r="P680" s="255"/>
      <c r="Q680" s="255"/>
      <c r="R680" s="255"/>
      <c r="S680" s="255"/>
      <c r="T680" s="255"/>
      <c r="U680" s="255"/>
      <c r="V680" s="255"/>
      <c r="W680" s="255"/>
      <c r="X680" s="255"/>
      <c r="Y680" s="255"/>
      <c r="Z680" s="255"/>
      <c r="AA680" s="255"/>
      <c r="AB680" s="255"/>
    </row>
    <row r="681">
      <c r="A681" s="255"/>
      <c r="B681" s="255"/>
      <c r="C681" s="261"/>
      <c r="D681" s="262"/>
      <c r="E681" s="364"/>
      <c r="F681" s="364"/>
      <c r="G681" s="355"/>
      <c r="H681" s="255"/>
      <c r="I681" s="255"/>
      <c r="J681" s="255"/>
      <c r="K681" s="255"/>
      <c r="L681" s="255"/>
      <c r="M681" s="255"/>
      <c r="N681" s="255"/>
      <c r="O681" s="255"/>
      <c r="P681" s="255"/>
      <c r="Q681" s="255"/>
      <c r="R681" s="255"/>
      <c r="S681" s="255"/>
      <c r="T681" s="255"/>
      <c r="U681" s="255"/>
      <c r="V681" s="255"/>
      <c r="W681" s="255"/>
      <c r="X681" s="255"/>
      <c r="Y681" s="255"/>
      <c r="Z681" s="255"/>
      <c r="AA681" s="255"/>
      <c r="AB681" s="255"/>
    </row>
    <row r="682">
      <c r="A682" s="255"/>
      <c r="B682" s="255"/>
      <c r="C682" s="261"/>
      <c r="D682" s="262"/>
      <c r="E682" s="364"/>
      <c r="F682" s="364"/>
      <c r="G682" s="355"/>
      <c r="H682" s="255"/>
      <c r="I682" s="255"/>
      <c r="J682" s="255"/>
      <c r="K682" s="255"/>
      <c r="L682" s="255"/>
      <c r="M682" s="255"/>
      <c r="N682" s="255"/>
      <c r="O682" s="255"/>
      <c r="P682" s="255"/>
      <c r="Q682" s="255"/>
      <c r="R682" s="255"/>
      <c r="S682" s="255"/>
      <c r="T682" s="255"/>
      <c r="U682" s="255"/>
      <c r="V682" s="255"/>
      <c r="W682" s="255"/>
      <c r="X682" s="255"/>
      <c r="Y682" s="255"/>
      <c r="Z682" s="255"/>
      <c r="AA682" s="255"/>
      <c r="AB682" s="255"/>
    </row>
    <row r="683">
      <c r="A683" s="255"/>
      <c r="B683" s="255"/>
      <c r="C683" s="261"/>
      <c r="D683" s="262"/>
      <c r="E683" s="364"/>
      <c r="F683" s="364"/>
      <c r="G683" s="355"/>
      <c r="H683" s="255"/>
      <c r="I683" s="255"/>
      <c r="J683" s="255"/>
      <c r="K683" s="255"/>
      <c r="L683" s="255"/>
      <c r="M683" s="255"/>
      <c r="N683" s="255"/>
      <c r="O683" s="255"/>
      <c r="P683" s="255"/>
      <c r="Q683" s="255"/>
      <c r="R683" s="255"/>
      <c r="S683" s="255"/>
      <c r="T683" s="255"/>
      <c r="U683" s="255"/>
      <c r="V683" s="255"/>
      <c r="W683" s="255"/>
      <c r="X683" s="255"/>
      <c r="Y683" s="255"/>
      <c r="Z683" s="255"/>
      <c r="AA683" s="255"/>
      <c r="AB683" s="255"/>
    </row>
    <row r="684">
      <c r="A684" s="255"/>
      <c r="B684" s="255"/>
      <c r="C684" s="261"/>
      <c r="D684" s="262"/>
      <c r="E684" s="364"/>
      <c r="F684" s="364"/>
      <c r="G684" s="355"/>
      <c r="H684" s="255"/>
      <c r="I684" s="255"/>
      <c r="J684" s="255"/>
      <c r="K684" s="255"/>
      <c r="L684" s="255"/>
      <c r="M684" s="255"/>
      <c r="N684" s="255"/>
      <c r="O684" s="255"/>
      <c r="P684" s="255"/>
      <c r="Q684" s="255"/>
      <c r="R684" s="255"/>
      <c r="S684" s="255"/>
      <c r="T684" s="255"/>
      <c r="U684" s="255"/>
      <c r="V684" s="255"/>
      <c r="W684" s="255"/>
      <c r="X684" s="255"/>
      <c r="Y684" s="255"/>
      <c r="Z684" s="255"/>
      <c r="AA684" s="255"/>
      <c r="AB684" s="255"/>
    </row>
    <row r="685">
      <c r="A685" s="255"/>
      <c r="B685" s="255"/>
      <c r="C685" s="261"/>
      <c r="D685" s="262"/>
      <c r="E685" s="364"/>
      <c r="F685" s="364"/>
      <c r="G685" s="355"/>
      <c r="H685" s="255"/>
      <c r="I685" s="255"/>
      <c r="J685" s="255"/>
      <c r="K685" s="255"/>
      <c r="L685" s="255"/>
      <c r="M685" s="255"/>
      <c r="N685" s="255"/>
      <c r="O685" s="255"/>
      <c r="P685" s="255"/>
      <c r="Q685" s="255"/>
      <c r="R685" s="255"/>
      <c r="S685" s="255"/>
      <c r="T685" s="255"/>
      <c r="U685" s="255"/>
      <c r="V685" s="255"/>
      <c r="W685" s="255"/>
      <c r="X685" s="255"/>
      <c r="Y685" s="255"/>
      <c r="Z685" s="255"/>
      <c r="AA685" s="255"/>
      <c r="AB685" s="255"/>
    </row>
    <row r="686">
      <c r="A686" s="255"/>
      <c r="B686" s="255"/>
      <c r="C686" s="261"/>
      <c r="D686" s="262"/>
      <c r="E686" s="364"/>
      <c r="F686" s="364"/>
      <c r="G686" s="355"/>
      <c r="H686" s="255"/>
      <c r="I686" s="255"/>
      <c r="J686" s="255"/>
      <c r="K686" s="255"/>
      <c r="L686" s="255"/>
      <c r="M686" s="255"/>
      <c r="N686" s="255"/>
      <c r="O686" s="255"/>
      <c r="P686" s="255"/>
      <c r="Q686" s="255"/>
      <c r="R686" s="255"/>
      <c r="S686" s="255"/>
      <c r="T686" s="255"/>
      <c r="U686" s="255"/>
      <c r="V686" s="255"/>
      <c r="W686" s="255"/>
      <c r="X686" s="255"/>
      <c r="Y686" s="255"/>
      <c r="Z686" s="255"/>
      <c r="AA686" s="255"/>
      <c r="AB686" s="255"/>
    </row>
    <row r="687">
      <c r="A687" s="255"/>
      <c r="B687" s="255"/>
      <c r="C687" s="261"/>
      <c r="D687" s="262"/>
      <c r="E687" s="364"/>
      <c r="F687" s="364"/>
      <c r="G687" s="355"/>
      <c r="H687" s="255"/>
      <c r="I687" s="255"/>
      <c r="J687" s="255"/>
      <c r="K687" s="255"/>
      <c r="L687" s="255"/>
      <c r="M687" s="255"/>
      <c r="N687" s="255"/>
      <c r="O687" s="255"/>
      <c r="P687" s="255"/>
      <c r="Q687" s="255"/>
      <c r="R687" s="255"/>
      <c r="S687" s="255"/>
      <c r="T687" s="255"/>
      <c r="U687" s="255"/>
      <c r="V687" s="255"/>
      <c r="W687" s="255"/>
      <c r="X687" s="255"/>
      <c r="Y687" s="255"/>
      <c r="Z687" s="255"/>
      <c r="AA687" s="255"/>
      <c r="AB687" s="255"/>
    </row>
    <row r="688">
      <c r="A688" s="255"/>
      <c r="B688" s="255"/>
      <c r="C688" s="261"/>
      <c r="D688" s="262"/>
      <c r="E688" s="364"/>
      <c r="F688" s="364"/>
      <c r="G688" s="355"/>
      <c r="H688" s="255"/>
      <c r="I688" s="255"/>
      <c r="J688" s="255"/>
      <c r="K688" s="255"/>
      <c r="L688" s="255"/>
      <c r="M688" s="255"/>
      <c r="N688" s="255"/>
      <c r="O688" s="255"/>
      <c r="P688" s="255"/>
      <c r="Q688" s="255"/>
      <c r="R688" s="255"/>
      <c r="S688" s="255"/>
      <c r="T688" s="255"/>
      <c r="U688" s="255"/>
      <c r="V688" s="255"/>
      <c r="W688" s="255"/>
      <c r="X688" s="255"/>
      <c r="Y688" s="255"/>
      <c r="Z688" s="255"/>
      <c r="AA688" s="255"/>
      <c r="AB688" s="255"/>
    </row>
    <row r="689">
      <c r="A689" s="255"/>
      <c r="B689" s="255"/>
      <c r="C689" s="261"/>
      <c r="D689" s="262"/>
      <c r="E689" s="364"/>
      <c r="F689" s="364"/>
      <c r="G689" s="355"/>
      <c r="H689" s="255"/>
      <c r="I689" s="255"/>
      <c r="J689" s="255"/>
      <c r="K689" s="255"/>
      <c r="L689" s="255"/>
      <c r="M689" s="255"/>
      <c r="N689" s="255"/>
      <c r="O689" s="255"/>
      <c r="P689" s="255"/>
      <c r="Q689" s="255"/>
      <c r="R689" s="255"/>
      <c r="S689" s="255"/>
      <c r="T689" s="255"/>
      <c r="U689" s="255"/>
      <c r="V689" s="255"/>
      <c r="W689" s="255"/>
      <c r="X689" s="255"/>
      <c r="Y689" s="255"/>
      <c r="Z689" s="255"/>
      <c r="AA689" s="255"/>
      <c r="AB689" s="255"/>
    </row>
    <row r="690">
      <c r="A690" s="255"/>
      <c r="B690" s="255"/>
      <c r="C690" s="261"/>
      <c r="D690" s="262"/>
      <c r="E690" s="364"/>
      <c r="F690" s="364"/>
      <c r="G690" s="355"/>
      <c r="H690" s="255"/>
      <c r="I690" s="255"/>
      <c r="J690" s="255"/>
      <c r="K690" s="255"/>
      <c r="L690" s="255"/>
      <c r="M690" s="255"/>
      <c r="N690" s="255"/>
      <c r="O690" s="255"/>
      <c r="P690" s="255"/>
      <c r="Q690" s="255"/>
      <c r="R690" s="255"/>
      <c r="S690" s="255"/>
      <c r="T690" s="255"/>
      <c r="U690" s="255"/>
      <c r="V690" s="255"/>
      <c r="W690" s="255"/>
      <c r="X690" s="255"/>
      <c r="Y690" s="255"/>
      <c r="Z690" s="255"/>
      <c r="AA690" s="255"/>
      <c r="AB690" s="255"/>
    </row>
    <row r="691">
      <c r="A691" s="255"/>
      <c r="B691" s="255"/>
      <c r="C691" s="261"/>
      <c r="D691" s="262"/>
      <c r="E691" s="364"/>
      <c r="F691" s="364"/>
      <c r="G691" s="355"/>
      <c r="H691" s="255"/>
      <c r="I691" s="255"/>
      <c r="J691" s="255"/>
      <c r="K691" s="255"/>
      <c r="L691" s="255"/>
      <c r="M691" s="255"/>
      <c r="N691" s="255"/>
      <c r="O691" s="255"/>
      <c r="P691" s="255"/>
      <c r="Q691" s="255"/>
      <c r="R691" s="255"/>
      <c r="S691" s="255"/>
      <c r="T691" s="255"/>
      <c r="U691" s="255"/>
      <c r="V691" s="255"/>
      <c r="W691" s="255"/>
      <c r="X691" s="255"/>
      <c r="Y691" s="255"/>
      <c r="Z691" s="255"/>
      <c r="AA691" s="255"/>
      <c r="AB691" s="255"/>
    </row>
    <row r="692">
      <c r="A692" s="255"/>
      <c r="B692" s="255"/>
      <c r="C692" s="261"/>
      <c r="D692" s="262"/>
      <c r="E692" s="364"/>
      <c r="F692" s="364"/>
      <c r="G692" s="355"/>
      <c r="H692" s="255"/>
      <c r="I692" s="255"/>
      <c r="J692" s="255"/>
      <c r="K692" s="255"/>
      <c r="L692" s="255"/>
      <c r="M692" s="255"/>
      <c r="N692" s="255"/>
      <c r="O692" s="255"/>
      <c r="P692" s="255"/>
      <c r="Q692" s="255"/>
      <c r="R692" s="255"/>
      <c r="S692" s="255"/>
      <c r="T692" s="255"/>
      <c r="U692" s="255"/>
      <c r="V692" s="255"/>
      <c r="W692" s="255"/>
      <c r="X692" s="255"/>
      <c r="Y692" s="255"/>
      <c r="Z692" s="255"/>
      <c r="AA692" s="255"/>
      <c r="AB692" s="255"/>
    </row>
    <row r="693">
      <c r="A693" s="255"/>
      <c r="B693" s="255"/>
      <c r="C693" s="261"/>
      <c r="D693" s="262"/>
      <c r="E693" s="364"/>
      <c r="F693" s="364"/>
      <c r="G693" s="355"/>
      <c r="H693" s="255"/>
      <c r="I693" s="255"/>
      <c r="J693" s="255"/>
      <c r="K693" s="255"/>
      <c r="L693" s="255"/>
      <c r="M693" s="255"/>
      <c r="N693" s="255"/>
      <c r="O693" s="255"/>
      <c r="P693" s="255"/>
      <c r="Q693" s="255"/>
      <c r="R693" s="255"/>
      <c r="S693" s="255"/>
      <c r="T693" s="255"/>
      <c r="U693" s="255"/>
      <c r="V693" s="255"/>
      <c r="W693" s="255"/>
      <c r="X693" s="255"/>
      <c r="Y693" s="255"/>
      <c r="Z693" s="255"/>
      <c r="AA693" s="255"/>
      <c r="AB693" s="255"/>
    </row>
    <row r="694">
      <c r="A694" s="255"/>
      <c r="B694" s="255"/>
      <c r="C694" s="261"/>
      <c r="D694" s="262"/>
      <c r="E694" s="364"/>
      <c r="F694" s="364"/>
      <c r="G694" s="355"/>
      <c r="H694" s="255"/>
      <c r="I694" s="255"/>
      <c r="J694" s="255"/>
      <c r="K694" s="255"/>
      <c r="L694" s="255"/>
      <c r="M694" s="255"/>
      <c r="N694" s="255"/>
      <c r="O694" s="255"/>
      <c r="P694" s="255"/>
      <c r="Q694" s="255"/>
      <c r="R694" s="255"/>
      <c r="S694" s="255"/>
      <c r="T694" s="255"/>
      <c r="U694" s="255"/>
      <c r="V694" s="255"/>
      <c r="W694" s="255"/>
      <c r="X694" s="255"/>
      <c r="Y694" s="255"/>
      <c r="Z694" s="255"/>
      <c r="AA694" s="255"/>
      <c r="AB694" s="255"/>
    </row>
    <row r="695">
      <c r="A695" s="255"/>
      <c r="B695" s="255"/>
      <c r="C695" s="261"/>
      <c r="D695" s="262"/>
      <c r="E695" s="364"/>
      <c r="F695" s="364"/>
      <c r="G695" s="355"/>
      <c r="H695" s="255"/>
      <c r="I695" s="255"/>
      <c r="J695" s="255"/>
      <c r="K695" s="255"/>
      <c r="L695" s="255"/>
      <c r="M695" s="255"/>
      <c r="N695" s="255"/>
      <c r="O695" s="255"/>
      <c r="P695" s="255"/>
      <c r="Q695" s="255"/>
      <c r="R695" s="255"/>
      <c r="S695" s="255"/>
      <c r="T695" s="255"/>
      <c r="U695" s="255"/>
      <c r="V695" s="255"/>
      <c r="W695" s="255"/>
      <c r="X695" s="255"/>
      <c r="Y695" s="255"/>
      <c r="Z695" s="255"/>
      <c r="AA695" s="255"/>
      <c r="AB695" s="255"/>
    </row>
    <row r="696">
      <c r="A696" s="255"/>
      <c r="B696" s="255"/>
      <c r="C696" s="261"/>
      <c r="D696" s="262"/>
      <c r="E696" s="364"/>
      <c r="F696" s="364"/>
      <c r="G696" s="355"/>
      <c r="H696" s="255"/>
      <c r="I696" s="255"/>
      <c r="J696" s="255"/>
      <c r="K696" s="255"/>
      <c r="L696" s="255"/>
      <c r="M696" s="255"/>
      <c r="N696" s="255"/>
      <c r="O696" s="255"/>
      <c r="P696" s="255"/>
      <c r="Q696" s="255"/>
      <c r="R696" s="255"/>
      <c r="S696" s="255"/>
      <c r="T696" s="255"/>
      <c r="U696" s="255"/>
      <c r="V696" s="255"/>
      <c r="W696" s="255"/>
      <c r="X696" s="255"/>
      <c r="Y696" s="255"/>
      <c r="Z696" s="255"/>
      <c r="AA696" s="255"/>
      <c r="AB696" s="255"/>
    </row>
    <row r="697">
      <c r="A697" s="255"/>
      <c r="B697" s="255"/>
      <c r="C697" s="261"/>
      <c r="D697" s="262"/>
      <c r="E697" s="364"/>
      <c r="F697" s="364"/>
      <c r="G697" s="355"/>
      <c r="H697" s="255"/>
      <c r="I697" s="255"/>
      <c r="J697" s="255"/>
      <c r="K697" s="255"/>
      <c r="L697" s="255"/>
      <c r="M697" s="255"/>
      <c r="N697" s="255"/>
      <c r="O697" s="255"/>
      <c r="P697" s="255"/>
      <c r="Q697" s="255"/>
      <c r="R697" s="255"/>
      <c r="S697" s="255"/>
      <c r="T697" s="255"/>
      <c r="U697" s="255"/>
      <c r="V697" s="255"/>
      <c r="W697" s="255"/>
      <c r="X697" s="255"/>
      <c r="Y697" s="255"/>
      <c r="Z697" s="255"/>
      <c r="AA697" s="255"/>
      <c r="AB697" s="255"/>
    </row>
    <row r="698">
      <c r="A698" s="255"/>
      <c r="B698" s="255"/>
      <c r="C698" s="261"/>
      <c r="D698" s="262"/>
      <c r="E698" s="364"/>
      <c r="F698" s="364"/>
      <c r="G698" s="355"/>
      <c r="H698" s="255"/>
      <c r="I698" s="255"/>
      <c r="J698" s="255"/>
      <c r="K698" s="255"/>
      <c r="L698" s="255"/>
      <c r="M698" s="255"/>
      <c r="N698" s="255"/>
      <c r="O698" s="255"/>
      <c r="P698" s="255"/>
      <c r="Q698" s="255"/>
      <c r="R698" s="255"/>
      <c r="S698" s="255"/>
      <c r="T698" s="255"/>
      <c r="U698" s="255"/>
      <c r="V698" s="255"/>
      <c r="W698" s="255"/>
      <c r="X698" s="255"/>
      <c r="Y698" s="255"/>
      <c r="Z698" s="255"/>
      <c r="AA698" s="255"/>
      <c r="AB698" s="255"/>
    </row>
    <row r="699">
      <c r="A699" s="255"/>
      <c r="B699" s="255"/>
      <c r="C699" s="261"/>
      <c r="D699" s="262"/>
      <c r="E699" s="364"/>
      <c r="F699" s="364"/>
      <c r="G699" s="355"/>
      <c r="H699" s="255"/>
      <c r="I699" s="255"/>
      <c r="J699" s="255"/>
      <c r="K699" s="255"/>
      <c r="L699" s="255"/>
      <c r="M699" s="255"/>
      <c r="N699" s="255"/>
      <c r="O699" s="255"/>
      <c r="P699" s="255"/>
      <c r="Q699" s="255"/>
      <c r="R699" s="255"/>
      <c r="S699" s="255"/>
      <c r="T699" s="255"/>
      <c r="U699" s="255"/>
      <c r="V699" s="255"/>
      <c r="W699" s="255"/>
      <c r="X699" s="255"/>
      <c r="Y699" s="255"/>
      <c r="Z699" s="255"/>
      <c r="AA699" s="255"/>
      <c r="AB699" s="255"/>
    </row>
    <row r="700">
      <c r="A700" s="255"/>
      <c r="B700" s="255"/>
      <c r="C700" s="261"/>
      <c r="D700" s="262"/>
      <c r="E700" s="364"/>
      <c r="F700" s="364"/>
      <c r="G700" s="355"/>
      <c r="H700" s="255"/>
      <c r="I700" s="255"/>
      <c r="J700" s="255"/>
      <c r="K700" s="255"/>
      <c r="L700" s="255"/>
      <c r="M700" s="255"/>
      <c r="N700" s="255"/>
      <c r="O700" s="255"/>
      <c r="P700" s="255"/>
      <c r="Q700" s="255"/>
      <c r="R700" s="255"/>
      <c r="S700" s="255"/>
      <c r="T700" s="255"/>
      <c r="U700" s="255"/>
      <c r="V700" s="255"/>
      <c r="W700" s="255"/>
      <c r="X700" s="255"/>
      <c r="Y700" s="255"/>
      <c r="Z700" s="255"/>
      <c r="AA700" s="255"/>
      <c r="AB700" s="255"/>
    </row>
    <row r="701">
      <c r="A701" s="255"/>
      <c r="B701" s="255"/>
      <c r="C701" s="261"/>
      <c r="D701" s="262"/>
      <c r="E701" s="364"/>
      <c r="F701" s="364"/>
      <c r="G701" s="355"/>
      <c r="H701" s="255"/>
      <c r="I701" s="255"/>
      <c r="J701" s="255"/>
      <c r="K701" s="255"/>
      <c r="L701" s="255"/>
      <c r="M701" s="255"/>
      <c r="N701" s="255"/>
      <c r="O701" s="255"/>
      <c r="P701" s="255"/>
      <c r="Q701" s="255"/>
      <c r="R701" s="255"/>
      <c r="S701" s="255"/>
      <c r="T701" s="255"/>
      <c r="U701" s="255"/>
      <c r="V701" s="255"/>
      <c r="W701" s="255"/>
      <c r="X701" s="255"/>
      <c r="Y701" s="255"/>
      <c r="Z701" s="255"/>
      <c r="AA701" s="255"/>
      <c r="AB701" s="255"/>
    </row>
    <row r="702">
      <c r="A702" s="255"/>
      <c r="B702" s="255"/>
      <c r="C702" s="261"/>
      <c r="D702" s="262"/>
      <c r="E702" s="364"/>
      <c r="F702" s="364"/>
      <c r="G702" s="355"/>
      <c r="H702" s="255"/>
      <c r="I702" s="255"/>
      <c r="J702" s="255"/>
      <c r="K702" s="255"/>
      <c r="L702" s="255"/>
      <c r="M702" s="255"/>
      <c r="N702" s="255"/>
      <c r="O702" s="255"/>
      <c r="P702" s="255"/>
      <c r="Q702" s="255"/>
      <c r="R702" s="255"/>
      <c r="S702" s="255"/>
      <c r="T702" s="255"/>
      <c r="U702" s="255"/>
      <c r="V702" s="255"/>
      <c r="W702" s="255"/>
      <c r="X702" s="255"/>
      <c r="Y702" s="255"/>
      <c r="Z702" s="255"/>
      <c r="AA702" s="255"/>
      <c r="AB702" s="255"/>
    </row>
    <row r="703">
      <c r="A703" s="255"/>
      <c r="B703" s="255"/>
      <c r="C703" s="261"/>
      <c r="D703" s="262"/>
      <c r="E703" s="364"/>
      <c r="F703" s="364"/>
      <c r="G703" s="355"/>
      <c r="H703" s="255"/>
      <c r="I703" s="255"/>
      <c r="J703" s="255"/>
      <c r="K703" s="255"/>
      <c r="L703" s="255"/>
      <c r="M703" s="255"/>
      <c r="N703" s="255"/>
      <c r="O703" s="255"/>
      <c r="P703" s="255"/>
      <c r="Q703" s="255"/>
      <c r="R703" s="255"/>
      <c r="S703" s="255"/>
      <c r="T703" s="255"/>
      <c r="U703" s="255"/>
      <c r="V703" s="255"/>
      <c r="W703" s="255"/>
      <c r="X703" s="255"/>
      <c r="Y703" s="255"/>
      <c r="Z703" s="255"/>
      <c r="AA703" s="255"/>
      <c r="AB703" s="255"/>
    </row>
    <row r="704">
      <c r="A704" s="255"/>
      <c r="B704" s="255"/>
      <c r="C704" s="261"/>
      <c r="D704" s="262"/>
      <c r="E704" s="364"/>
      <c r="F704" s="364"/>
      <c r="G704" s="355"/>
      <c r="H704" s="255"/>
      <c r="I704" s="255"/>
      <c r="J704" s="255"/>
      <c r="K704" s="255"/>
      <c r="L704" s="255"/>
      <c r="M704" s="255"/>
      <c r="N704" s="255"/>
      <c r="O704" s="255"/>
      <c r="P704" s="255"/>
      <c r="Q704" s="255"/>
      <c r="R704" s="255"/>
      <c r="S704" s="255"/>
      <c r="T704" s="255"/>
      <c r="U704" s="255"/>
      <c r="V704" s="255"/>
      <c r="W704" s="255"/>
      <c r="X704" s="255"/>
      <c r="Y704" s="255"/>
      <c r="Z704" s="255"/>
      <c r="AA704" s="255"/>
      <c r="AB704" s="255"/>
    </row>
    <row r="705">
      <c r="A705" s="255"/>
      <c r="B705" s="255"/>
      <c r="C705" s="261"/>
      <c r="D705" s="262"/>
      <c r="E705" s="364"/>
      <c r="F705" s="364"/>
      <c r="G705" s="355"/>
      <c r="H705" s="255"/>
      <c r="I705" s="255"/>
      <c r="J705" s="255"/>
      <c r="K705" s="255"/>
      <c r="L705" s="255"/>
      <c r="M705" s="255"/>
      <c r="N705" s="255"/>
      <c r="O705" s="255"/>
      <c r="P705" s="255"/>
      <c r="Q705" s="255"/>
      <c r="R705" s="255"/>
      <c r="S705" s="255"/>
      <c r="T705" s="255"/>
      <c r="U705" s="255"/>
      <c r="V705" s="255"/>
      <c r="W705" s="255"/>
      <c r="X705" s="255"/>
      <c r="Y705" s="255"/>
      <c r="Z705" s="255"/>
      <c r="AA705" s="255"/>
      <c r="AB705" s="255"/>
    </row>
    <row r="706">
      <c r="A706" s="255"/>
      <c r="B706" s="255"/>
      <c r="C706" s="261"/>
      <c r="D706" s="262"/>
      <c r="E706" s="364"/>
      <c r="F706" s="364"/>
      <c r="G706" s="355"/>
      <c r="H706" s="255"/>
      <c r="I706" s="255"/>
      <c r="J706" s="255"/>
      <c r="K706" s="255"/>
      <c r="L706" s="255"/>
      <c r="M706" s="255"/>
      <c r="N706" s="255"/>
      <c r="O706" s="255"/>
      <c r="P706" s="255"/>
      <c r="Q706" s="255"/>
      <c r="R706" s="255"/>
      <c r="S706" s="255"/>
      <c r="T706" s="255"/>
      <c r="U706" s="255"/>
      <c r="V706" s="255"/>
      <c r="W706" s="255"/>
      <c r="X706" s="255"/>
      <c r="Y706" s="255"/>
      <c r="Z706" s="255"/>
      <c r="AA706" s="255"/>
      <c r="AB706" s="255"/>
    </row>
    <row r="707">
      <c r="A707" s="255"/>
      <c r="B707" s="255"/>
      <c r="C707" s="261"/>
      <c r="D707" s="262"/>
      <c r="E707" s="364"/>
      <c r="F707" s="364"/>
      <c r="G707" s="355"/>
      <c r="H707" s="255"/>
      <c r="I707" s="255"/>
      <c r="J707" s="255"/>
      <c r="K707" s="255"/>
      <c r="L707" s="255"/>
      <c r="M707" s="255"/>
      <c r="N707" s="255"/>
      <c r="O707" s="255"/>
      <c r="P707" s="255"/>
      <c r="Q707" s="255"/>
      <c r="R707" s="255"/>
      <c r="S707" s="255"/>
      <c r="T707" s="255"/>
      <c r="U707" s="255"/>
      <c r="V707" s="255"/>
      <c r="W707" s="255"/>
      <c r="X707" s="255"/>
      <c r="Y707" s="255"/>
      <c r="Z707" s="255"/>
      <c r="AA707" s="255"/>
      <c r="AB707" s="255"/>
    </row>
    <row r="708">
      <c r="A708" s="255"/>
      <c r="B708" s="255"/>
      <c r="C708" s="261"/>
      <c r="D708" s="262"/>
      <c r="E708" s="364"/>
      <c r="F708" s="364"/>
      <c r="G708" s="355"/>
      <c r="H708" s="255"/>
      <c r="I708" s="255"/>
      <c r="J708" s="255"/>
      <c r="K708" s="255"/>
      <c r="L708" s="255"/>
      <c r="M708" s="255"/>
      <c r="N708" s="255"/>
      <c r="O708" s="255"/>
      <c r="P708" s="255"/>
      <c r="Q708" s="255"/>
      <c r="R708" s="255"/>
      <c r="S708" s="255"/>
      <c r="T708" s="255"/>
      <c r="U708" s="255"/>
      <c r="V708" s="255"/>
      <c r="W708" s="255"/>
      <c r="X708" s="255"/>
      <c r="Y708" s="255"/>
      <c r="Z708" s="255"/>
      <c r="AA708" s="255"/>
      <c r="AB708" s="255"/>
    </row>
    <row r="709">
      <c r="A709" s="255"/>
      <c r="B709" s="255"/>
      <c r="C709" s="261"/>
      <c r="D709" s="262"/>
      <c r="E709" s="364"/>
      <c r="F709" s="364"/>
      <c r="G709" s="355"/>
      <c r="H709" s="255"/>
      <c r="I709" s="255"/>
      <c r="J709" s="255"/>
      <c r="K709" s="255"/>
      <c r="L709" s="255"/>
      <c r="M709" s="255"/>
      <c r="N709" s="255"/>
      <c r="O709" s="255"/>
      <c r="P709" s="255"/>
      <c r="Q709" s="255"/>
      <c r="R709" s="255"/>
      <c r="S709" s="255"/>
      <c r="T709" s="255"/>
      <c r="U709" s="255"/>
      <c r="V709" s="255"/>
      <c r="W709" s="255"/>
      <c r="X709" s="255"/>
      <c r="Y709" s="255"/>
      <c r="Z709" s="255"/>
      <c r="AA709" s="255"/>
      <c r="AB709" s="255"/>
    </row>
    <row r="710">
      <c r="A710" s="255"/>
      <c r="B710" s="255"/>
      <c r="C710" s="261"/>
      <c r="D710" s="262"/>
      <c r="E710" s="364"/>
      <c r="F710" s="364"/>
      <c r="G710" s="355"/>
      <c r="H710" s="255"/>
      <c r="I710" s="255"/>
      <c r="J710" s="255"/>
      <c r="K710" s="255"/>
      <c r="L710" s="255"/>
      <c r="M710" s="255"/>
      <c r="N710" s="255"/>
      <c r="O710" s="255"/>
      <c r="P710" s="255"/>
      <c r="Q710" s="255"/>
      <c r="R710" s="255"/>
      <c r="S710" s="255"/>
      <c r="T710" s="255"/>
      <c r="U710" s="255"/>
      <c r="V710" s="255"/>
      <c r="W710" s="255"/>
      <c r="X710" s="255"/>
      <c r="Y710" s="255"/>
      <c r="Z710" s="255"/>
      <c r="AA710" s="255"/>
      <c r="AB710" s="255"/>
    </row>
    <row r="711">
      <c r="A711" s="255"/>
      <c r="B711" s="255"/>
      <c r="C711" s="261"/>
      <c r="D711" s="262"/>
      <c r="E711" s="364"/>
      <c r="F711" s="364"/>
      <c r="G711" s="355"/>
      <c r="H711" s="255"/>
      <c r="I711" s="255"/>
      <c r="J711" s="255"/>
      <c r="K711" s="255"/>
      <c r="L711" s="255"/>
      <c r="M711" s="255"/>
      <c r="N711" s="255"/>
      <c r="O711" s="255"/>
      <c r="P711" s="255"/>
      <c r="Q711" s="255"/>
      <c r="R711" s="255"/>
      <c r="S711" s="255"/>
      <c r="T711" s="255"/>
      <c r="U711" s="255"/>
      <c r="V711" s="255"/>
      <c r="W711" s="255"/>
      <c r="X711" s="255"/>
      <c r="Y711" s="255"/>
      <c r="Z711" s="255"/>
      <c r="AA711" s="255"/>
      <c r="AB711" s="255"/>
    </row>
    <row r="712">
      <c r="A712" s="255"/>
      <c r="B712" s="255"/>
      <c r="C712" s="261"/>
      <c r="D712" s="262"/>
      <c r="E712" s="364"/>
      <c r="F712" s="364"/>
      <c r="G712" s="355"/>
      <c r="H712" s="255"/>
      <c r="I712" s="255"/>
      <c r="J712" s="255"/>
      <c r="K712" s="255"/>
      <c r="L712" s="255"/>
      <c r="M712" s="255"/>
      <c r="N712" s="255"/>
      <c r="O712" s="255"/>
      <c r="P712" s="255"/>
      <c r="Q712" s="255"/>
      <c r="R712" s="255"/>
      <c r="S712" s="255"/>
      <c r="T712" s="255"/>
      <c r="U712" s="255"/>
      <c r="V712" s="255"/>
      <c r="W712" s="255"/>
      <c r="X712" s="255"/>
      <c r="Y712" s="255"/>
      <c r="Z712" s="255"/>
      <c r="AA712" s="255"/>
      <c r="AB712" s="255"/>
    </row>
    <row r="713">
      <c r="A713" s="255"/>
      <c r="B713" s="255"/>
      <c r="C713" s="261"/>
      <c r="D713" s="262"/>
      <c r="E713" s="364"/>
      <c r="F713" s="364"/>
      <c r="G713" s="355"/>
      <c r="H713" s="255"/>
      <c r="I713" s="255"/>
      <c r="J713" s="255"/>
      <c r="K713" s="255"/>
      <c r="L713" s="255"/>
      <c r="M713" s="255"/>
      <c r="N713" s="255"/>
      <c r="O713" s="255"/>
      <c r="P713" s="255"/>
      <c r="Q713" s="255"/>
      <c r="R713" s="255"/>
      <c r="S713" s="255"/>
      <c r="T713" s="255"/>
      <c r="U713" s="255"/>
      <c r="V713" s="255"/>
      <c r="W713" s="255"/>
      <c r="X713" s="255"/>
      <c r="Y713" s="255"/>
      <c r="Z713" s="255"/>
      <c r="AA713" s="255"/>
      <c r="AB713" s="255"/>
    </row>
    <row r="714">
      <c r="A714" s="255"/>
      <c r="B714" s="255"/>
      <c r="C714" s="261"/>
      <c r="D714" s="262"/>
      <c r="E714" s="364"/>
      <c r="F714" s="364"/>
      <c r="G714" s="355"/>
      <c r="H714" s="255"/>
      <c r="I714" s="255"/>
      <c r="J714" s="255"/>
      <c r="K714" s="255"/>
      <c r="L714" s="255"/>
      <c r="M714" s="255"/>
      <c r="N714" s="255"/>
      <c r="O714" s="255"/>
      <c r="P714" s="255"/>
      <c r="Q714" s="255"/>
      <c r="R714" s="255"/>
      <c r="S714" s="255"/>
      <c r="T714" s="255"/>
      <c r="U714" s="255"/>
      <c r="V714" s="255"/>
      <c r="W714" s="255"/>
      <c r="X714" s="255"/>
      <c r="Y714" s="255"/>
      <c r="Z714" s="255"/>
      <c r="AA714" s="255"/>
      <c r="AB714" s="255"/>
    </row>
    <row r="715">
      <c r="A715" s="255"/>
      <c r="B715" s="255"/>
      <c r="C715" s="261"/>
      <c r="D715" s="262"/>
      <c r="E715" s="364"/>
      <c r="F715" s="364"/>
      <c r="G715" s="355"/>
      <c r="H715" s="255"/>
      <c r="I715" s="255"/>
      <c r="J715" s="255"/>
      <c r="K715" s="255"/>
      <c r="L715" s="255"/>
      <c r="M715" s="255"/>
      <c r="N715" s="255"/>
      <c r="O715" s="255"/>
      <c r="P715" s="255"/>
      <c r="Q715" s="255"/>
      <c r="R715" s="255"/>
      <c r="S715" s="255"/>
      <c r="T715" s="255"/>
      <c r="U715" s="255"/>
      <c r="V715" s="255"/>
      <c r="W715" s="255"/>
      <c r="X715" s="255"/>
      <c r="Y715" s="255"/>
      <c r="Z715" s="255"/>
      <c r="AA715" s="255"/>
      <c r="AB715" s="255"/>
    </row>
    <row r="716">
      <c r="A716" s="255"/>
      <c r="B716" s="255"/>
      <c r="C716" s="261"/>
      <c r="D716" s="262"/>
      <c r="E716" s="364"/>
      <c r="F716" s="364"/>
      <c r="G716" s="355"/>
      <c r="H716" s="255"/>
      <c r="I716" s="255"/>
      <c r="J716" s="255"/>
      <c r="K716" s="255"/>
      <c r="L716" s="255"/>
      <c r="M716" s="255"/>
      <c r="N716" s="255"/>
      <c r="O716" s="255"/>
      <c r="P716" s="255"/>
      <c r="Q716" s="255"/>
      <c r="R716" s="255"/>
      <c r="S716" s="255"/>
      <c r="T716" s="255"/>
      <c r="U716" s="255"/>
      <c r="V716" s="255"/>
      <c r="W716" s="255"/>
      <c r="X716" s="255"/>
      <c r="Y716" s="255"/>
      <c r="Z716" s="255"/>
      <c r="AA716" s="255"/>
      <c r="AB716" s="255"/>
    </row>
    <row r="717">
      <c r="A717" s="255"/>
      <c r="B717" s="255"/>
      <c r="C717" s="261"/>
      <c r="D717" s="262"/>
      <c r="E717" s="364"/>
      <c r="F717" s="364"/>
      <c r="G717" s="355"/>
      <c r="H717" s="255"/>
      <c r="I717" s="255"/>
      <c r="J717" s="255"/>
      <c r="K717" s="255"/>
      <c r="L717" s="255"/>
      <c r="M717" s="255"/>
      <c r="N717" s="255"/>
      <c r="O717" s="255"/>
      <c r="P717" s="255"/>
      <c r="Q717" s="255"/>
      <c r="R717" s="255"/>
      <c r="S717" s="255"/>
      <c r="T717" s="255"/>
      <c r="U717" s="255"/>
      <c r="V717" s="255"/>
      <c r="W717" s="255"/>
      <c r="X717" s="255"/>
      <c r="Y717" s="255"/>
      <c r="Z717" s="255"/>
      <c r="AA717" s="255"/>
      <c r="AB717" s="255"/>
    </row>
    <row r="718">
      <c r="A718" s="255"/>
      <c r="B718" s="255"/>
      <c r="C718" s="261"/>
      <c r="D718" s="262"/>
      <c r="E718" s="364"/>
      <c r="F718" s="364"/>
      <c r="G718" s="355"/>
      <c r="H718" s="255"/>
      <c r="I718" s="255"/>
      <c r="J718" s="255"/>
      <c r="K718" s="255"/>
      <c r="L718" s="255"/>
      <c r="M718" s="255"/>
      <c r="N718" s="255"/>
      <c r="O718" s="255"/>
      <c r="P718" s="255"/>
      <c r="Q718" s="255"/>
      <c r="R718" s="255"/>
      <c r="S718" s="255"/>
      <c r="T718" s="255"/>
      <c r="U718" s="255"/>
      <c r="V718" s="255"/>
      <c r="W718" s="255"/>
      <c r="X718" s="255"/>
      <c r="Y718" s="255"/>
      <c r="Z718" s="255"/>
      <c r="AA718" s="255"/>
      <c r="AB718" s="255"/>
    </row>
    <row r="719">
      <c r="A719" s="255"/>
      <c r="B719" s="255"/>
      <c r="C719" s="261"/>
      <c r="D719" s="262"/>
      <c r="E719" s="364"/>
      <c r="F719" s="364"/>
      <c r="G719" s="355"/>
      <c r="H719" s="255"/>
      <c r="I719" s="255"/>
      <c r="J719" s="255"/>
      <c r="K719" s="255"/>
      <c r="L719" s="255"/>
      <c r="M719" s="255"/>
      <c r="N719" s="255"/>
      <c r="O719" s="255"/>
      <c r="P719" s="255"/>
      <c r="Q719" s="255"/>
      <c r="R719" s="255"/>
      <c r="S719" s="255"/>
      <c r="T719" s="255"/>
      <c r="U719" s="255"/>
      <c r="V719" s="255"/>
      <c r="W719" s="255"/>
      <c r="X719" s="255"/>
      <c r="Y719" s="255"/>
      <c r="Z719" s="255"/>
      <c r="AA719" s="255"/>
      <c r="AB719" s="255"/>
    </row>
    <row r="720">
      <c r="A720" s="255"/>
      <c r="B720" s="255"/>
      <c r="C720" s="261"/>
      <c r="D720" s="262"/>
      <c r="E720" s="364"/>
      <c r="F720" s="364"/>
      <c r="G720" s="355"/>
      <c r="H720" s="255"/>
      <c r="I720" s="255"/>
      <c r="J720" s="255"/>
      <c r="K720" s="255"/>
      <c r="L720" s="255"/>
      <c r="M720" s="255"/>
      <c r="N720" s="255"/>
      <c r="O720" s="255"/>
      <c r="P720" s="255"/>
      <c r="Q720" s="255"/>
      <c r="R720" s="255"/>
      <c r="S720" s="255"/>
      <c r="T720" s="255"/>
      <c r="U720" s="255"/>
      <c r="V720" s="255"/>
      <c r="W720" s="255"/>
      <c r="X720" s="255"/>
      <c r="Y720" s="255"/>
      <c r="Z720" s="255"/>
      <c r="AA720" s="255"/>
      <c r="AB720" s="255"/>
    </row>
    <row r="721">
      <c r="A721" s="255"/>
      <c r="B721" s="255"/>
      <c r="C721" s="261"/>
      <c r="D721" s="262"/>
      <c r="E721" s="364"/>
      <c r="F721" s="364"/>
      <c r="G721" s="355"/>
      <c r="H721" s="255"/>
      <c r="I721" s="255"/>
      <c r="J721" s="255"/>
      <c r="K721" s="255"/>
      <c r="L721" s="255"/>
      <c r="M721" s="255"/>
      <c r="N721" s="255"/>
      <c r="O721" s="255"/>
      <c r="P721" s="255"/>
      <c r="Q721" s="255"/>
      <c r="R721" s="255"/>
      <c r="S721" s="255"/>
      <c r="T721" s="255"/>
      <c r="U721" s="255"/>
      <c r="V721" s="255"/>
      <c r="W721" s="255"/>
      <c r="X721" s="255"/>
      <c r="Y721" s="255"/>
      <c r="Z721" s="255"/>
      <c r="AA721" s="255"/>
      <c r="AB721" s="255"/>
    </row>
    <row r="722">
      <c r="A722" s="255"/>
      <c r="B722" s="255"/>
      <c r="C722" s="261"/>
      <c r="D722" s="262"/>
      <c r="E722" s="364"/>
      <c r="F722" s="364"/>
      <c r="G722" s="355"/>
      <c r="H722" s="255"/>
      <c r="I722" s="255"/>
      <c r="J722" s="255"/>
      <c r="K722" s="255"/>
      <c r="L722" s="255"/>
      <c r="M722" s="255"/>
      <c r="N722" s="255"/>
      <c r="O722" s="255"/>
      <c r="P722" s="255"/>
      <c r="Q722" s="255"/>
      <c r="R722" s="255"/>
      <c r="S722" s="255"/>
      <c r="T722" s="255"/>
      <c r="U722" s="255"/>
      <c r="V722" s="255"/>
      <c r="W722" s="255"/>
      <c r="X722" s="255"/>
      <c r="Y722" s="255"/>
      <c r="Z722" s="255"/>
      <c r="AA722" s="255"/>
      <c r="AB722" s="255"/>
    </row>
    <row r="723">
      <c r="A723" s="255"/>
      <c r="B723" s="255"/>
      <c r="C723" s="261"/>
      <c r="D723" s="262"/>
      <c r="E723" s="364"/>
      <c r="F723" s="364"/>
      <c r="G723" s="355"/>
      <c r="H723" s="255"/>
      <c r="I723" s="255"/>
      <c r="J723" s="255"/>
      <c r="K723" s="255"/>
      <c r="L723" s="255"/>
      <c r="M723" s="255"/>
      <c r="N723" s="255"/>
      <c r="O723" s="255"/>
      <c r="P723" s="255"/>
      <c r="Q723" s="255"/>
      <c r="R723" s="255"/>
      <c r="S723" s="255"/>
      <c r="T723" s="255"/>
      <c r="U723" s="255"/>
      <c r="V723" s="255"/>
      <c r="W723" s="255"/>
      <c r="X723" s="255"/>
      <c r="Y723" s="255"/>
      <c r="Z723" s="255"/>
      <c r="AA723" s="255"/>
      <c r="AB723" s="255"/>
    </row>
    <row r="724">
      <c r="A724" s="255"/>
      <c r="B724" s="255"/>
      <c r="C724" s="261"/>
      <c r="D724" s="262"/>
      <c r="E724" s="364"/>
      <c r="F724" s="364"/>
      <c r="G724" s="355"/>
      <c r="H724" s="255"/>
      <c r="I724" s="255"/>
      <c r="J724" s="255"/>
      <c r="K724" s="255"/>
      <c r="L724" s="255"/>
      <c r="M724" s="255"/>
      <c r="N724" s="255"/>
      <c r="O724" s="255"/>
      <c r="P724" s="255"/>
      <c r="Q724" s="255"/>
      <c r="R724" s="255"/>
      <c r="S724" s="255"/>
      <c r="T724" s="255"/>
      <c r="U724" s="255"/>
      <c r="V724" s="255"/>
      <c r="W724" s="255"/>
      <c r="X724" s="255"/>
      <c r="Y724" s="255"/>
      <c r="Z724" s="255"/>
      <c r="AA724" s="255"/>
      <c r="AB724" s="255"/>
    </row>
    <row r="725">
      <c r="A725" s="255"/>
      <c r="B725" s="255"/>
      <c r="C725" s="261"/>
      <c r="D725" s="262"/>
      <c r="E725" s="364"/>
      <c r="F725" s="364"/>
      <c r="G725" s="355"/>
      <c r="H725" s="255"/>
      <c r="I725" s="255"/>
      <c r="J725" s="255"/>
      <c r="K725" s="255"/>
      <c r="L725" s="255"/>
      <c r="M725" s="255"/>
      <c r="N725" s="255"/>
      <c r="O725" s="255"/>
      <c r="P725" s="255"/>
      <c r="Q725" s="255"/>
      <c r="R725" s="255"/>
      <c r="S725" s="255"/>
      <c r="T725" s="255"/>
      <c r="U725" s="255"/>
      <c r="V725" s="255"/>
      <c r="W725" s="255"/>
      <c r="X725" s="255"/>
      <c r="Y725" s="255"/>
      <c r="Z725" s="255"/>
      <c r="AA725" s="255"/>
      <c r="AB725" s="255"/>
    </row>
    <row r="726">
      <c r="A726" s="255"/>
      <c r="B726" s="255"/>
      <c r="C726" s="261"/>
      <c r="D726" s="262"/>
      <c r="E726" s="364"/>
      <c r="F726" s="364"/>
      <c r="G726" s="355"/>
      <c r="H726" s="255"/>
      <c r="I726" s="255"/>
      <c r="J726" s="255"/>
      <c r="K726" s="255"/>
      <c r="L726" s="255"/>
      <c r="M726" s="255"/>
      <c r="N726" s="255"/>
      <c r="O726" s="255"/>
      <c r="P726" s="255"/>
      <c r="Q726" s="255"/>
      <c r="R726" s="255"/>
      <c r="S726" s="255"/>
      <c r="T726" s="255"/>
      <c r="U726" s="255"/>
      <c r="V726" s="255"/>
      <c r="W726" s="255"/>
      <c r="X726" s="255"/>
      <c r="Y726" s="255"/>
      <c r="Z726" s="255"/>
      <c r="AA726" s="255"/>
      <c r="AB726" s="255"/>
    </row>
    <row r="727">
      <c r="A727" s="255"/>
      <c r="B727" s="255"/>
      <c r="C727" s="261"/>
      <c r="D727" s="262"/>
      <c r="E727" s="364"/>
      <c r="F727" s="364"/>
      <c r="G727" s="355"/>
      <c r="H727" s="255"/>
      <c r="I727" s="255"/>
      <c r="J727" s="255"/>
      <c r="K727" s="255"/>
      <c r="L727" s="255"/>
      <c r="M727" s="255"/>
      <c r="N727" s="255"/>
      <c r="O727" s="255"/>
      <c r="P727" s="255"/>
      <c r="Q727" s="255"/>
      <c r="R727" s="255"/>
      <c r="S727" s="255"/>
      <c r="T727" s="255"/>
      <c r="U727" s="255"/>
      <c r="V727" s="255"/>
      <c r="W727" s="255"/>
      <c r="X727" s="255"/>
      <c r="Y727" s="255"/>
      <c r="Z727" s="255"/>
      <c r="AA727" s="255"/>
      <c r="AB727" s="255"/>
    </row>
    <row r="728">
      <c r="A728" s="255"/>
      <c r="B728" s="255"/>
      <c r="C728" s="261"/>
      <c r="D728" s="262"/>
      <c r="E728" s="364"/>
      <c r="F728" s="364"/>
      <c r="G728" s="355"/>
      <c r="H728" s="255"/>
      <c r="I728" s="255"/>
      <c r="J728" s="255"/>
      <c r="K728" s="255"/>
      <c r="L728" s="255"/>
      <c r="M728" s="255"/>
      <c r="N728" s="255"/>
      <c r="O728" s="255"/>
      <c r="P728" s="255"/>
      <c r="Q728" s="255"/>
      <c r="R728" s="255"/>
      <c r="S728" s="255"/>
      <c r="T728" s="255"/>
      <c r="U728" s="255"/>
      <c r="V728" s="255"/>
      <c r="W728" s="255"/>
      <c r="X728" s="255"/>
      <c r="Y728" s="255"/>
      <c r="Z728" s="255"/>
      <c r="AA728" s="255"/>
      <c r="AB728" s="255"/>
    </row>
    <row r="729">
      <c r="A729" s="255"/>
      <c r="B729" s="255"/>
      <c r="C729" s="261"/>
      <c r="D729" s="262"/>
      <c r="E729" s="364"/>
      <c r="F729" s="364"/>
      <c r="G729" s="355"/>
      <c r="H729" s="255"/>
      <c r="I729" s="255"/>
      <c r="J729" s="255"/>
      <c r="K729" s="255"/>
      <c r="L729" s="255"/>
      <c r="M729" s="255"/>
      <c r="N729" s="255"/>
      <c r="O729" s="255"/>
      <c r="P729" s="255"/>
      <c r="Q729" s="255"/>
      <c r="R729" s="255"/>
      <c r="S729" s="255"/>
      <c r="T729" s="255"/>
      <c r="U729" s="255"/>
      <c r="V729" s="255"/>
      <c r="W729" s="255"/>
      <c r="X729" s="255"/>
      <c r="Y729" s="255"/>
      <c r="Z729" s="255"/>
      <c r="AA729" s="255"/>
      <c r="AB729" s="255"/>
    </row>
    <row r="730">
      <c r="A730" s="255"/>
      <c r="B730" s="255"/>
      <c r="C730" s="261"/>
      <c r="D730" s="262"/>
      <c r="E730" s="364"/>
      <c r="F730" s="364"/>
      <c r="G730" s="355"/>
      <c r="H730" s="255"/>
      <c r="I730" s="255"/>
      <c r="J730" s="255"/>
      <c r="K730" s="255"/>
      <c r="L730" s="255"/>
      <c r="M730" s="255"/>
      <c r="N730" s="255"/>
      <c r="O730" s="255"/>
      <c r="P730" s="255"/>
      <c r="Q730" s="255"/>
      <c r="R730" s="255"/>
      <c r="S730" s="255"/>
      <c r="T730" s="255"/>
      <c r="U730" s="255"/>
      <c r="V730" s="255"/>
      <c r="W730" s="255"/>
      <c r="X730" s="255"/>
      <c r="Y730" s="255"/>
      <c r="Z730" s="255"/>
      <c r="AA730" s="255"/>
      <c r="AB730" s="255"/>
    </row>
    <row r="731">
      <c r="A731" s="255"/>
      <c r="B731" s="255"/>
      <c r="C731" s="261"/>
      <c r="D731" s="262"/>
      <c r="E731" s="364"/>
      <c r="F731" s="364"/>
      <c r="G731" s="355"/>
      <c r="H731" s="255"/>
      <c r="I731" s="255"/>
      <c r="J731" s="255"/>
      <c r="K731" s="255"/>
      <c r="L731" s="255"/>
      <c r="M731" s="255"/>
      <c r="N731" s="255"/>
      <c r="O731" s="255"/>
      <c r="P731" s="255"/>
      <c r="Q731" s="255"/>
      <c r="R731" s="255"/>
      <c r="S731" s="255"/>
      <c r="T731" s="255"/>
      <c r="U731" s="255"/>
      <c r="V731" s="255"/>
      <c r="W731" s="255"/>
      <c r="X731" s="255"/>
      <c r="Y731" s="255"/>
      <c r="Z731" s="255"/>
      <c r="AA731" s="255"/>
      <c r="AB731" s="255"/>
    </row>
    <row r="732">
      <c r="A732" s="255"/>
      <c r="B732" s="255"/>
      <c r="C732" s="261"/>
      <c r="D732" s="262"/>
      <c r="E732" s="364"/>
      <c r="F732" s="364"/>
      <c r="G732" s="355"/>
      <c r="H732" s="255"/>
      <c r="I732" s="255"/>
      <c r="J732" s="255"/>
      <c r="K732" s="255"/>
      <c r="L732" s="255"/>
      <c r="M732" s="255"/>
      <c r="N732" s="255"/>
      <c r="O732" s="255"/>
      <c r="P732" s="255"/>
      <c r="Q732" s="255"/>
      <c r="R732" s="255"/>
      <c r="S732" s="255"/>
      <c r="T732" s="255"/>
      <c r="U732" s="255"/>
      <c r="V732" s="255"/>
      <c r="W732" s="255"/>
      <c r="X732" s="255"/>
      <c r="Y732" s="255"/>
      <c r="Z732" s="255"/>
      <c r="AA732" s="255"/>
      <c r="AB732" s="255"/>
    </row>
    <row r="733">
      <c r="A733" s="255"/>
      <c r="B733" s="255"/>
      <c r="C733" s="261"/>
      <c r="D733" s="262"/>
      <c r="E733" s="364"/>
      <c r="F733" s="364"/>
      <c r="G733" s="355"/>
      <c r="H733" s="255"/>
      <c r="I733" s="255"/>
      <c r="J733" s="255"/>
      <c r="K733" s="255"/>
      <c r="L733" s="255"/>
      <c r="M733" s="255"/>
      <c r="N733" s="255"/>
      <c r="O733" s="255"/>
      <c r="P733" s="255"/>
      <c r="Q733" s="255"/>
      <c r="R733" s="255"/>
      <c r="S733" s="255"/>
      <c r="T733" s="255"/>
      <c r="U733" s="255"/>
      <c r="V733" s="255"/>
      <c r="W733" s="255"/>
      <c r="X733" s="255"/>
      <c r="Y733" s="255"/>
      <c r="Z733" s="255"/>
      <c r="AA733" s="255"/>
      <c r="AB733" s="255"/>
    </row>
    <row r="734">
      <c r="A734" s="255"/>
      <c r="B734" s="255"/>
      <c r="C734" s="261"/>
      <c r="D734" s="262"/>
      <c r="E734" s="364"/>
      <c r="F734" s="364"/>
      <c r="G734" s="355"/>
      <c r="H734" s="255"/>
      <c r="I734" s="255"/>
      <c r="J734" s="255"/>
      <c r="K734" s="255"/>
      <c r="L734" s="255"/>
      <c r="M734" s="255"/>
      <c r="N734" s="255"/>
      <c r="O734" s="255"/>
      <c r="P734" s="255"/>
      <c r="Q734" s="255"/>
      <c r="R734" s="255"/>
      <c r="S734" s="255"/>
      <c r="T734" s="255"/>
      <c r="U734" s="255"/>
      <c r="V734" s="255"/>
      <c r="W734" s="255"/>
      <c r="X734" s="255"/>
      <c r="Y734" s="255"/>
      <c r="Z734" s="255"/>
      <c r="AA734" s="255"/>
      <c r="AB734" s="255"/>
    </row>
    <row r="735">
      <c r="A735" s="255"/>
      <c r="B735" s="255"/>
      <c r="C735" s="261"/>
      <c r="D735" s="262"/>
      <c r="E735" s="364"/>
      <c r="F735" s="364"/>
      <c r="G735" s="355"/>
      <c r="H735" s="255"/>
      <c r="I735" s="255"/>
      <c r="J735" s="255"/>
      <c r="K735" s="255"/>
      <c r="L735" s="255"/>
      <c r="M735" s="255"/>
      <c r="N735" s="255"/>
      <c r="O735" s="255"/>
      <c r="P735" s="255"/>
      <c r="Q735" s="255"/>
      <c r="R735" s="255"/>
      <c r="S735" s="255"/>
      <c r="T735" s="255"/>
      <c r="U735" s="255"/>
      <c r="V735" s="255"/>
      <c r="W735" s="255"/>
      <c r="X735" s="255"/>
      <c r="Y735" s="255"/>
      <c r="Z735" s="255"/>
      <c r="AA735" s="255"/>
      <c r="AB735" s="255"/>
    </row>
    <row r="736">
      <c r="A736" s="255"/>
      <c r="B736" s="255"/>
      <c r="C736" s="261"/>
      <c r="D736" s="262"/>
      <c r="E736" s="364"/>
      <c r="F736" s="364"/>
      <c r="G736" s="355"/>
      <c r="H736" s="255"/>
      <c r="I736" s="255"/>
      <c r="J736" s="255"/>
      <c r="K736" s="255"/>
      <c r="L736" s="255"/>
      <c r="M736" s="255"/>
      <c r="N736" s="255"/>
      <c r="O736" s="255"/>
      <c r="P736" s="255"/>
      <c r="Q736" s="255"/>
      <c r="R736" s="255"/>
      <c r="S736" s="255"/>
      <c r="T736" s="255"/>
      <c r="U736" s="255"/>
      <c r="V736" s="255"/>
      <c r="W736" s="255"/>
      <c r="X736" s="255"/>
      <c r="Y736" s="255"/>
      <c r="Z736" s="255"/>
      <c r="AA736" s="255"/>
      <c r="AB736" s="255"/>
    </row>
    <row r="737">
      <c r="A737" s="255"/>
      <c r="B737" s="255"/>
      <c r="C737" s="261"/>
      <c r="D737" s="262"/>
      <c r="E737" s="364"/>
      <c r="F737" s="364"/>
      <c r="G737" s="355"/>
      <c r="H737" s="255"/>
      <c r="I737" s="255"/>
      <c r="J737" s="255"/>
      <c r="K737" s="255"/>
      <c r="L737" s="255"/>
      <c r="M737" s="255"/>
      <c r="N737" s="255"/>
      <c r="O737" s="255"/>
      <c r="P737" s="255"/>
      <c r="Q737" s="255"/>
      <c r="R737" s="255"/>
      <c r="S737" s="255"/>
      <c r="T737" s="255"/>
      <c r="U737" s="255"/>
      <c r="V737" s="255"/>
      <c r="W737" s="255"/>
      <c r="X737" s="255"/>
      <c r="Y737" s="255"/>
      <c r="Z737" s="255"/>
      <c r="AA737" s="255"/>
      <c r="AB737" s="255"/>
    </row>
    <row r="738">
      <c r="A738" s="255"/>
      <c r="B738" s="255"/>
      <c r="C738" s="261"/>
      <c r="D738" s="262"/>
      <c r="E738" s="364"/>
      <c r="F738" s="364"/>
      <c r="G738" s="355"/>
      <c r="H738" s="255"/>
      <c r="I738" s="255"/>
      <c r="J738" s="255"/>
      <c r="K738" s="255"/>
      <c r="L738" s="255"/>
      <c r="M738" s="255"/>
      <c r="N738" s="255"/>
      <c r="O738" s="255"/>
      <c r="P738" s="255"/>
      <c r="Q738" s="255"/>
      <c r="R738" s="255"/>
      <c r="S738" s="255"/>
      <c r="T738" s="255"/>
      <c r="U738" s="255"/>
      <c r="V738" s="255"/>
      <c r="W738" s="255"/>
      <c r="X738" s="255"/>
      <c r="Y738" s="255"/>
      <c r="Z738" s="255"/>
      <c r="AA738" s="255"/>
      <c r="AB738" s="255"/>
    </row>
    <row r="739">
      <c r="A739" s="255"/>
      <c r="B739" s="255"/>
      <c r="C739" s="261"/>
      <c r="D739" s="262"/>
      <c r="E739" s="364"/>
      <c r="F739" s="364"/>
      <c r="G739" s="355"/>
      <c r="H739" s="255"/>
      <c r="I739" s="255"/>
      <c r="J739" s="255"/>
      <c r="K739" s="255"/>
      <c r="L739" s="255"/>
      <c r="M739" s="255"/>
      <c r="N739" s="255"/>
      <c r="O739" s="255"/>
      <c r="P739" s="255"/>
      <c r="Q739" s="255"/>
      <c r="R739" s="255"/>
      <c r="S739" s="255"/>
      <c r="T739" s="255"/>
      <c r="U739" s="255"/>
      <c r="V739" s="255"/>
      <c r="W739" s="255"/>
      <c r="X739" s="255"/>
      <c r="Y739" s="255"/>
      <c r="Z739" s="255"/>
      <c r="AA739" s="255"/>
      <c r="AB739" s="255"/>
    </row>
    <row r="740">
      <c r="A740" s="255"/>
      <c r="B740" s="255"/>
      <c r="C740" s="261"/>
      <c r="D740" s="262"/>
      <c r="E740" s="364"/>
      <c r="F740" s="364"/>
      <c r="G740" s="355"/>
      <c r="H740" s="255"/>
      <c r="I740" s="255"/>
      <c r="J740" s="255"/>
      <c r="K740" s="255"/>
      <c r="L740" s="255"/>
      <c r="M740" s="255"/>
      <c r="N740" s="255"/>
      <c r="O740" s="255"/>
      <c r="P740" s="255"/>
      <c r="Q740" s="255"/>
      <c r="R740" s="255"/>
      <c r="S740" s="255"/>
      <c r="T740" s="255"/>
      <c r="U740" s="255"/>
      <c r="V740" s="255"/>
      <c r="W740" s="255"/>
      <c r="X740" s="255"/>
      <c r="Y740" s="255"/>
      <c r="Z740" s="255"/>
      <c r="AA740" s="255"/>
      <c r="AB740" s="255"/>
    </row>
    <row r="741">
      <c r="A741" s="255"/>
      <c r="B741" s="255"/>
      <c r="C741" s="261"/>
      <c r="D741" s="262"/>
      <c r="E741" s="364"/>
      <c r="F741" s="364"/>
      <c r="G741" s="355"/>
      <c r="H741" s="255"/>
      <c r="I741" s="255"/>
      <c r="J741" s="255"/>
      <c r="K741" s="255"/>
      <c r="L741" s="255"/>
      <c r="M741" s="255"/>
      <c r="N741" s="255"/>
      <c r="O741" s="255"/>
      <c r="P741" s="255"/>
      <c r="Q741" s="255"/>
      <c r="R741" s="255"/>
      <c r="S741" s="255"/>
      <c r="T741" s="255"/>
      <c r="U741" s="255"/>
      <c r="V741" s="255"/>
      <c r="W741" s="255"/>
      <c r="X741" s="255"/>
      <c r="Y741" s="255"/>
      <c r="Z741" s="255"/>
      <c r="AA741" s="255"/>
      <c r="AB741" s="255"/>
    </row>
    <row r="742">
      <c r="A742" s="255"/>
      <c r="B742" s="255"/>
      <c r="C742" s="261"/>
      <c r="D742" s="262"/>
      <c r="E742" s="364"/>
      <c r="F742" s="364"/>
      <c r="G742" s="355"/>
      <c r="H742" s="255"/>
      <c r="I742" s="255"/>
      <c r="J742" s="255"/>
      <c r="K742" s="255"/>
      <c r="L742" s="255"/>
      <c r="M742" s="255"/>
      <c r="N742" s="255"/>
      <c r="O742" s="255"/>
      <c r="P742" s="255"/>
      <c r="Q742" s="255"/>
      <c r="R742" s="255"/>
      <c r="S742" s="255"/>
      <c r="T742" s="255"/>
      <c r="U742" s="255"/>
      <c r="V742" s="255"/>
      <c r="W742" s="255"/>
      <c r="X742" s="255"/>
      <c r="Y742" s="255"/>
      <c r="Z742" s="255"/>
      <c r="AA742" s="255"/>
      <c r="AB742" s="255"/>
    </row>
    <row r="743">
      <c r="A743" s="255"/>
      <c r="B743" s="255"/>
      <c r="C743" s="261"/>
      <c r="D743" s="262"/>
      <c r="E743" s="364"/>
      <c r="F743" s="364"/>
      <c r="G743" s="355"/>
      <c r="H743" s="255"/>
      <c r="I743" s="255"/>
      <c r="J743" s="255"/>
      <c r="K743" s="255"/>
      <c r="L743" s="255"/>
      <c r="M743" s="255"/>
      <c r="N743" s="255"/>
      <c r="O743" s="255"/>
      <c r="P743" s="255"/>
      <c r="Q743" s="255"/>
      <c r="R743" s="255"/>
      <c r="S743" s="255"/>
      <c r="T743" s="255"/>
      <c r="U743" s="255"/>
      <c r="V743" s="255"/>
      <c r="W743" s="255"/>
      <c r="X743" s="255"/>
      <c r="Y743" s="255"/>
      <c r="Z743" s="255"/>
      <c r="AA743" s="255"/>
      <c r="AB743" s="255"/>
    </row>
    <row r="744">
      <c r="A744" s="255"/>
      <c r="B744" s="255"/>
      <c r="C744" s="261"/>
      <c r="D744" s="262"/>
      <c r="E744" s="364"/>
      <c r="F744" s="364"/>
      <c r="G744" s="355"/>
      <c r="H744" s="255"/>
      <c r="I744" s="255"/>
      <c r="J744" s="255"/>
      <c r="K744" s="255"/>
      <c r="L744" s="255"/>
      <c r="M744" s="255"/>
      <c r="N744" s="255"/>
      <c r="O744" s="255"/>
      <c r="P744" s="255"/>
      <c r="Q744" s="255"/>
      <c r="R744" s="255"/>
      <c r="S744" s="255"/>
      <c r="T744" s="255"/>
      <c r="U744" s="255"/>
      <c r="V744" s="255"/>
      <c r="W744" s="255"/>
      <c r="X744" s="255"/>
      <c r="Y744" s="255"/>
      <c r="Z744" s="255"/>
      <c r="AA744" s="255"/>
      <c r="AB744" s="255"/>
    </row>
    <row r="745">
      <c r="A745" s="255"/>
      <c r="B745" s="255"/>
      <c r="C745" s="261"/>
      <c r="D745" s="262"/>
      <c r="E745" s="364"/>
      <c r="F745" s="364"/>
      <c r="G745" s="355"/>
      <c r="H745" s="255"/>
      <c r="I745" s="255"/>
      <c r="J745" s="255"/>
      <c r="K745" s="255"/>
      <c r="L745" s="255"/>
      <c r="M745" s="255"/>
      <c r="N745" s="255"/>
      <c r="O745" s="255"/>
      <c r="P745" s="255"/>
      <c r="Q745" s="255"/>
      <c r="R745" s="255"/>
      <c r="S745" s="255"/>
      <c r="T745" s="255"/>
      <c r="U745" s="255"/>
      <c r="V745" s="255"/>
      <c r="W745" s="255"/>
      <c r="X745" s="255"/>
      <c r="Y745" s="255"/>
      <c r="Z745" s="255"/>
      <c r="AA745" s="255"/>
      <c r="AB745" s="255"/>
    </row>
    <row r="746">
      <c r="A746" s="255"/>
      <c r="B746" s="255"/>
      <c r="C746" s="261"/>
      <c r="D746" s="262"/>
      <c r="E746" s="364"/>
      <c r="F746" s="364"/>
      <c r="G746" s="355"/>
      <c r="H746" s="255"/>
      <c r="I746" s="255"/>
      <c r="J746" s="255"/>
      <c r="K746" s="255"/>
      <c r="L746" s="255"/>
      <c r="M746" s="255"/>
      <c r="N746" s="255"/>
      <c r="O746" s="255"/>
      <c r="P746" s="255"/>
      <c r="Q746" s="255"/>
      <c r="R746" s="255"/>
      <c r="S746" s="255"/>
      <c r="T746" s="255"/>
      <c r="U746" s="255"/>
      <c r="V746" s="255"/>
      <c r="W746" s="255"/>
      <c r="X746" s="255"/>
      <c r="Y746" s="255"/>
      <c r="Z746" s="255"/>
      <c r="AA746" s="255"/>
      <c r="AB746" s="255"/>
    </row>
    <row r="747">
      <c r="A747" s="255"/>
      <c r="B747" s="255"/>
      <c r="C747" s="261"/>
      <c r="D747" s="262"/>
      <c r="E747" s="364"/>
      <c r="F747" s="364"/>
      <c r="G747" s="355"/>
      <c r="H747" s="255"/>
      <c r="I747" s="255"/>
      <c r="J747" s="255"/>
      <c r="K747" s="255"/>
      <c r="L747" s="255"/>
      <c r="M747" s="255"/>
      <c r="N747" s="255"/>
      <c r="O747" s="255"/>
      <c r="P747" s="255"/>
      <c r="Q747" s="255"/>
      <c r="R747" s="255"/>
      <c r="S747" s="255"/>
      <c r="T747" s="255"/>
      <c r="U747" s="255"/>
      <c r="V747" s="255"/>
      <c r="W747" s="255"/>
      <c r="X747" s="255"/>
      <c r="Y747" s="255"/>
      <c r="Z747" s="255"/>
      <c r="AA747" s="255"/>
      <c r="AB747" s="255"/>
    </row>
    <row r="748">
      <c r="A748" s="255"/>
      <c r="B748" s="255"/>
      <c r="C748" s="261"/>
      <c r="D748" s="262"/>
      <c r="E748" s="364"/>
      <c r="F748" s="364"/>
      <c r="G748" s="355"/>
      <c r="H748" s="255"/>
      <c r="I748" s="255"/>
      <c r="J748" s="255"/>
      <c r="K748" s="255"/>
      <c r="L748" s="255"/>
      <c r="M748" s="255"/>
      <c r="N748" s="255"/>
      <c r="O748" s="255"/>
      <c r="P748" s="255"/>
      <c r="Q748" s="255"/>
      <c r="R748" s="255"/>
      <c r="S748" s="255"/>
      <c r="T748" s="255"/>
      <c r="U748" s="255"/>
      <c r="V748" s="255"/>
      <c r="W748" s="255"/>
      <c r="X748" s="255"/>
      <c r="Y748" s="255"/>
      <c r="Z748" s="255"/>
      <c r="AA748" s="255"/>
      <c r="AB748" s="255"/>
    </row>
    <row r="749">
      <c r="A749" s="255"/>
      <c r="B749" s="255"/>
      <c r="C749" s="261"/>
      <c r="D749" s="262"/>
      <c r="E749" s="364"/>
      <c r="F749" s="364"/>
      <c r="G749" s="355"/>
      <c r="H749" s="255"/>
      <c r="I749" s="255"/>
      <c r="J749" s="255"/>
      <c r="K749" s="255"/>
      <c r="L749" s="255"/>
      <c r="M749" s="255"/>
      <c r="N749" s="255"/>
      <c r="O749" s="255"/>
      <c r="P749" s="255"/>
      <c r="Q749" s="255"/>
      <c r="R749" s="255"/>
      <c r="S749" s="255"/>
      <c r="T749" s="255"/>
      <c r="U749" s="255"/>
      <c r="V749" s="255"/>
      <c r="W749" s="255"/>
      <c r="X749" s="255"/>
      <c r="Y749" s="255"/>
      <c r="Z749" s="255"/>
      <c r="AA749" s="255"/>
      <c r="AB749" s="255"/>
    </row>
    <row r="750">
      <c r="A750" s="255"/>
      <c r="B750" s="255"/>
      <c r="C750" s="261"/>
      <c r="D750" s="262"/>
      <c r="E750" s="364"/>
      <c r="F750" s="364"/>
      <c r="G750" s="355"/>
      <c r="H750" s="255"/>
      <c r="I750" s="255"/>
      <c r="J750" s="255"/>
      <c r="K750" s="255"/>
      <c r="L750" s="255"/>
      <c r="M750" s="255"/>
      <c r="N750" s="255"/>
      <c r="O750" s="255"/>
      <c r="P750" s="255"/>
      <c r="Q750" s="255"/>
      <c r="R750" s="255"/>
      <c r="S750" s="255"/>
      <c r="T750" s="255"/>
      <c r="U750" s="255"/>
      <c r="V750" s="255"/>
      <c r="W750" s="255"/>
      <c r="X750" s="255"/>
      <c r="Y750" s="255"/>
      <c r="Z750" s="255"/>
      <c r="AA750" s="255"/>
      <c r="AB750" s="255"/>
    </row>
    <row r="751">
      <c r="A751" s="255"/>
      <c r="B751" s="255"/>
      <c r="C751" s="261"/>
      <c r="D751" s="262"/>
      <c r="E751" s="364"/>
      <c r="F751" s="364"/>
      <c r="G751" s="355"/>
      <c r="H751" s="255"/>
      <c r="I751" s="255"/>
      <c r="J751" s="255"/>
      <c r="K751" s="255"/>
      <c r="L751" s="255"/>
      <c r="M751" s="255"/>
      <c r="N751" s="255"/>
      <c r="O751" s="255"/>
      <c r="P751" s="255"/>
      <c r="Q751" s="255"/>
      <c r="R751" s="255"/>
      <c r="S751" s="255"/>
      <c r="T751" s="255"/>
      <c r="U751" s="255"/>
      <c r="V751" s="255"/>
      <c r="W751" s="255"/>
      <c r="X751" s="255"/>
      <c r="Y751" s="255"/>
      <c r="Z751" s="255"/>
      <c r="AA751" s="255"/>
      <c r="AB751" s="255"/>
    </row>
    <row r="752">
      <c r="A752" s="255"/>
      <c r="B752" s="255"/>
      <c r="C752" s="261"/>
      <c r="D752" s="262"/>
      <c r="E752" s="364"/>
      <c r="F752" s="364"/>
      <c r="G752" s="355"/>
      <c r="H752" s="255"/>
      <c r="I752" s="255"/>
      <c r="J752" s="255"/>
      <c r="K752" s="255"/>
      <c r="L752" s="255"/>
      <c r="M752" s="255"/>
      <c r="N752" s="255"/>
      <c r="O752" s="255"/>
      <c r="P752" s="255"/>
      <c r="Q752" s="255"/>
      <c r="R752" s="255"/>
      <c r="S752" s="255"/>
      <c r="T752" s="255"/>
      <c r="U752" s="255"/>
      <c r="V752" s="255"/>
      <c r="W752" s="255"/>
      <c r="X752" s="255"/>
      <c r="Y752" s="255"/>
      <c r="Z752" s="255"/>
      <c r="AA752" s="255"/>
      <c r="AB752" s="255"/>
    </row>
    <row r="753">
      <c r="A753" s="255"/>
      <c r="B753" s="255"/>
      <c r="C753" s="261"/>
      <c r="D753" s="262"/>
      <c r="E753" s="364"/>
      <c r="F753" s="364"/>
      <c r="G753" s="355"/>
      <c r="H753" s="255"/>
      <c r="I753" s="255"/>
      <c r="J753" s="255"/>
      <c r="K753" s="255"/>
      <c r="L753" s="255"/>
      <c r="M753" s="255"/>
      <c r="N753" s="255"/>
      <c r="O753" s="255"/>
      <c r="P753" s="255"/>
      <c r="Q753" s="255"/>
      <c r="R753" s="255"/>
      <c r="S753" s="255"/>
      <c r="T753" s="255"/>
      <c r="U753" s="255"/>
      <c r="V753" s="255"/>
      <c r="W753" s="255"/>
      <c r="X753" s="255"/>
      <c r="Y753" s="255"/>
      <c r="Z753" s="255"/>
      <c r="AA753" s="255"/>
      <c r="AB753" s="255"/>
    </row>
    <row r="754">
      <c r="A754" s="255"/>
      <c r="B754" s="255"/>
      <c r="C754" s="261"/>
      <c r="D754" s="262"/>
      <c r="E754" s="364"/>
      <c r="F754" s="364"/>
      <c r="G754" s="355"/>
      <c r="H754" s="255"/>
      <c r="I754" s="255"/>
      <c r="J754" s="255"/>
      <c r="K754" s="255"/>
      <c r="L754" s="255"/>
      <c r="M754" s="255"/>
      <c r="N754" s="255"/>
      <c r="O754" s="255"/>
      <c r="P754" s="255"/>
      <c r="Q754" s="255"/>
      <c r="R754" s="255"/>
      <c r="S754" s="255"/>
      <c r="T754" s="255"/>
      <c r="U754" s="255"/>
      <c r="V754" s="255"/>
      <c r="W754" s="255"/>
      <c r="X754" s="255"/>
      <c r="Y754" s="255"/>
      <c r="Z754" s="255"/>
      <c r="AA754" s="255"/>
      <c r="AB754" s="255"/>
    </row>
    <row r="755">
      <c r="A755" s="255"/>
      <c r="B755" s="255"/>
      <c r="C755" s="261"/>
      <c r="D755" s="262"/>
      <c r="E755" s="364"/>
      <c r="F755" s="364"/>
      <c r="G755" s="355"/>
      <c r="H755" s="255"/>
      <c r="I755" s="255"/>
      <c r="J755" s="255"/>
      <c r="K755" s="255"/>
      <c r="L755" s="255"/>
      <c r="M755" s="255"/>
      <c r="N755" s="255"/>
      <c r="O755" s="255"/>
      <c r="P755" s="255"/>
      <c r="Q755" s="255"/>
      <c r="R755" s="255"/>
      <c r="S755" s="255"/>
      <c r="T755" s="255"/>
      <c r="U755" s="255"/>
      <c r="V755" s="255"/>
      <c r="W755" s="255"/>
      <c r="X755" s="255"/>
      <c r="Y755" s="255"/>
      <c r="Z755" s="255"/>
      <c r="AA755" s="255"/>
      <c r="AB755" s="255"/>
    </row>
    <row r="756">
      <c r="A756" s="255"/>
      <c r="B756" s="255"/>
      <c r="C756" s="261"/>
      <c r="D756" s="262"/>
      <c r="E756" s="364"/>
      <c r="F756" s="364"/>
      <c r="G756" s="355"/>
      <c r="H756" s="255"/>
      <c r="I756" s="255"/>
      <c r="J756" s="255"/>
      <c r="K756" s="255"/>
      <c r="L756" s="255"/>
      <c r="M756" s="255"/>
      <c r="N756" s="255"/>
      <c r="O756" s="255"/>
      <c r="P756" s="255"/>
      <c r="Q756" s="255"/>
      <c r="R756" s="255"/>
      <c r="S756" s="255"/>
      <c r="T756" s="255"/>
      <c r="U756" s="255"/>
      <c r="V756" s="255"/>
      <c r="W756" s="255"/>
      <c r="X756" s="255"/>
      <c r="Y756" s="255"/>
      <c r="Z756" s="255"/>
      <c r="AA756" s="255"/>
      <c r="AB756" s="255"/>
    </row>
    <row r="757">
      <c r="A757" s="255"/>
      <c r="B757" s="255"/>
      <c r="C757" s="261"/>
      <c r="D757" s="262"/>
      <c r="E757" s="364"/>
      <c r="F757" s="364"/>
      <c r="G757" s="355"/>
      <c r="H757" s="255"/>
      <c r="I757" s="255"/>
      <c r="J757" s="255"/>
      <c r="K757" s="255"/>
      <c r="L757" s="255"/>
      <c r="M757" s="255"/>
      <c r="N757" s="255"/>
      <c r="O757" s="255"/>
      <c r="P757" s="255"/>
      <c r="Q757" s="255"/>
      <c r="R757" s="255"/>
      <c r="S757" s="255"/>
      <c r="T757" s="255"/>
      <c r="U757" s="255"/>
      <c r="V757" s="255"/>
      <c r="W757" s="255"/>
      <c r="X757" s="255"/>
      <c r="Y757" s="255"/>
      <c r="Z757" s="255"/>
      <c r="AA757" s="255"/>
      <c r="AB757" s="255"/>
    </row>
    <row r="758">
      <c r="A758" s="255"/>
      <c r="B758" s="255"/>
      <c r="C758" s="261"/>
      <c r="D758" s="262"/>
      <c r="E758" s="364"/>
      <c r="F758" s="364"/>
      <c r="G758" s="355"/>
      <c r="H758" s="255"/>
      <c r="I758" s="255"/>
      <c r="J758" s="255"/>
      <c r="K758" s="255"/>
      <c r="L758" s="255"/>
      <c r="M758" s="255"/>
      <c r="N758" s="255"/>
      <c r="O758" s="255"/>
      <c r="P758" s="255"/>
      <c r="Q758" s="255"/>
      <c r="R758" s="255"/>
      <c r="S758" s="255"/>
      <c r="T758" s="255"/>
      <c r="U758" s="255"/>
      <c r="V758" s="255"/>
      <c r="W758" s="255"/>
      <c r="X758" s="255"/>
      <c r="Y758" s="255"/>
      <c r="Z758" s="255"/>
      <c r="AA758" s="255"/>
      <c r="AB758" s="255"/>
    </row>
    <row r="759">
      <c r="A759" s="255"/>
      <c r="B759" s="255"/>
      <c r="C759" s="261"/>
      <c r="D759" s="262"/>
      <c r="E759" s="364"/>
      <c r="F759" s="364"/>
      <c r="G759" s="355"/>
      <c r="H759" s="255"/>
      <c r="I759" s="255"/>
      <c r="J759" s="255"/>
      <c r="K759" s="255"/>
      <c r="L759" s="255"/>
      <c r="M759" s="255"/>
      <c r="N759" s="255"/>
      <c r="O759" s="255"/>
      <c r="P759" s="255"/>
      <c r="Q759" s="255"/>
      <c r="R759" s="255"/>
      <c r="S759" s="255"/>
      <c r="T759" s="255"/>
      <c r="U759" s="255"/>
      <c r="V759" s="255"/>
      <c r="W759" s="255"/>
      <c r="X759" s="255"/>
      <c r="Y759" s="255"/>
      <c r="Z759" s="255"/>
      <c r="AA759" s="255"/>
      <c r="AB759" s="255"/>
    </row>
    <row r="760">
      <c r="A760" s="255"/>
      <c r="B760" s="255"/>
      <c r="C760" s="261"/>
      <c r="D760" s="262"/>
      <c r="E760" s="364"/>
      <c r="F760" s="364"/>
      <c r="G760" s="355"/>
      <c r="H760" s="255"/>
      <c r="I760" s="255"/>
      <c r="J760" s="255"/>
      <c r="K760" s="255"/>
      <c r="L760" s="255"/>
      <c r="M760" s="255"/>
      <c r="N760" s="255"/>
      <c r="O760" s="255"/>
      <c r="P760" s="255"/>
      <c r="Q760" s="255"/>
      <c r="R760" s="255"/>
      <c r="S760" s="255"/>
      <c r="T760" s="255"/>
      <c r="U760" s="255"/>
      <c r="V760" s="255"/>
      <c r="W760" s="255"/>
      <c r="X760" s="255"/>
      <c r="Y760" s="255"/>
      <c r="Z760" s="255"/>
      <c r="AA760" s="255"/>
      <c r="AB760" s="255"/>
    </row>
    <row r="761">
      <c r="A761" s="255"/>
      <c r="B761" s="255"/>
      <c r="C761" s="261"/>
      <c r="D761" s="262"/>
      <c r="E761" s="364"/>
      <c r="F761" s="364"/>
      <c r="G761" s="355"/>
      <c r="H761" s="255"/>
      <c r="I761" s="255"/>
      <c r="J761" s="255"/>
      <c r="K761" s="255"/>
      <c r="L761" s="255"/>
      <c r="M761" s="255"/>
      <c r="N761" s="255"/>
      <c r="O761" s="255"/>
      <c r="P761" s="255"/>
      <c r="Q761" s="255"/>
      <c r="R761" s="255"/>
      <c r="S761" s="255"/>
      <c r="T761" s="255"/>
      <c r="U761" s="255"/>
      <c r="V761" s="255"/>
      <c r="W761" s="255"/>
      <c r="X761" s="255"/>
      <c r="Y761" s="255"/>
      <c r="Z761" s="255"/>
      <c r="AA761" s="255"/>
      <c r="AB761" s="255"/>
    </row>
    <row r="762">
      <c r="A762" s="255"/>
      <c r="B762" s="255"/>
      <c r="C762" s="261"/>
      <c r="D762" s="262"/>
      <c r="E762" s="364"/>
      <c r="F762" s="364"/>
      <c r="G762" s="355"/>
      <c r="H762" s="255"/>
      <c r="I762" s="255"/>
      <c r="J762" s="255"/>
      <c r="K762" s="255"/>
      <c r="L762" s="255"/>
      <c r="M762" s="255"/>
      <c r="N762" s="255"/>
      <c r="O762" s="255"/>
      <c r="P762" s="255"/>
      <c r="Q762" s="255"/>
      <c r="R762" s="255"/>
      <c r="S762" s="255"/>
      <c r="T762" s="255"/>
      <c r="U762" s="255"/>
      <c r="V762" s="255"/>
      <c r="W762" s="255"/>
      <c r="X762" s="255"/>
      <c r="Y762" s="255"/>
      <c r="Z762" s="255"/>
      <c r="AA762" s="255"/>
      <c r="AB762" s="255"/>
    </row>
    <row r="763">
      <c r="A763" s="255"/>
      <c r="B763" s="255"/>
      <c r="C763" s="261"/>
      <c r="D763" s="262"/>
      <c r="E763" s="364"/>
      <c r="F763" s="364"/>
      <c r="G763" s="355"/>
      <c r="H763" s="255"/>
      <c r="I763" s="255"/>
      <c r="J763" s="255"/>
      <c r="K763" s="255"/>
      <c r="L763" s="255"/>
      <c r="M763" s="255"/>
      <c r="N763" s="255"/>
      <c r="O763" s="255"/>
      <c r="P763" s="255"/>
      <c r="Q763" s="255"/>
      <c r="R763" s="255"/>
      <c r="S763" s="255"/>
      <c r="T763" s="255"/>
      <c r="U763" s="255"/>
      <c r="V763" s="255"/>
      <c r="W763" s="255"/>
      <c r="X763" s="255"/>
      <c r="Y763" s="255"/>
      <c r="Z763" s="255"/>
      <c r="AA763" s="255"/>
      <c r="AB763" s="255"/>
    </row>
    <row r="764">
      <c r="A764" s="255"/>
      <c r="B764" s="255"/>
      <c r="C764" s="261"/>
      <c r="D764" s="262"/>
      <c r="E764" s="364"/>
      <c r="F764" s="364"/>
      <c r="G764" s="355"/>
      <c r="H764" s="255"/>
      <c r="I764" s="255"/>
      <c r="J764" s="255"/>
      <c r="K764" s="255"/>
      <c r="L764" s="255"/>
      <c r="M764" s="255"/>
      <c r="N764" s="255"/>
      <c r="O764" s="255"/>
      <c r="P764" s="255"/>
      <c r="Q764" s="255"/>
      <c r="R764" s="255"/>
      <c r="S764" s="255"/>
      <c r="T764" s="255"/>
      <c r="U764" s="255"/>
      <c r="V764" s="255"/>
      <c r="W764" s="255"/>
      <c r="X764" s="255"/>
      <c r="Y764" s="255"/>
      <c r="Z764" s="255"/>
      <c r="AA764" s="255"/>
      <c r="AB764" s="255"/>
    </row>
    <row r="765">
      <c r="A765" s="255"/>
      <c r="B765" s="255"/>
      <c r="C765" s="261"/>
      <c r="D765" s="262"/>
      <c r="E765" s="364"/>
      <c r="F765" s="364"/>
      <c r="G765" s="355"/>
      <c r="H765" s="255"/>
      <c r="I765" s="255"/>
      <c r="J765" s="255"/>
      <c r="K765" s="255"/>
      <c r="L765" s="255"/>
      <c r="M765" s="255"/>
      <c r="N765" s="255"/>
      <c r="O765" s="255"/>
      <c r="P765" s="255"/>
      <c r="Q765" s="255"/>
      <c r="R765" s="255"/>
      <c r="S765" s="255"/>
      <c r="T765" s="255"/>
      <c r="U765" s="255"/>
      <c r="V765" s="255"/>
      <c r="W765" s="255"/>
      <c r="X765" s="255"/>
      <c r="Y765" s="255"/>
      <c r="Z765" s="255"/>
      <c r="AA765" s="255"/>
      <c r="AB765" s="255"/>
    </row>
    <row r="766">
      <c r="A766" s="255"/>
      <c r="B766" s="255"/>
      <c r="C766" s="261"/>
      <c r="D766" s="262"/>
      <c r="E766" s="364"/>
      <c r="F766" s="364"/>
      <c r="G766" s="355"/>
      <c r="H766" s="255"/>
      <c r="I766" s="255"/>
      <c r="J766" s="255"/>
      <c r="K766" s="255"/>
      <c r="L766" s="255"/>
      <c r="M766" s="255"/>
      <c r="N766" s="255"/>
      <c r="O766" s="255"/>
      <c r="P766" s="255"/>
      <c r="Q766" s="255"/>
      <c r="R766" s="255"/>
      <c r="S766" s="255"/>
      <c r="T766" s="255"/>
      <c r="U766" s="255"/>
      <c r="V766" s="255"/>
      <c r="W766" s="255"/>
      <c r="X766" s="255"/>
      <c r="Y766" s="255"/>
      <c r="Z766" s="255"/>
      <c r="AA766" s="255"/>
      <c r="AB766" s="255"/>
    </row>
    <row r="767">
      <c r="A767" s="255"/>
      <c r="B767" s="255"/>
      <c r="C767" s="261"/>
      <c r="D767" s="262"/>
      <c r="E767" s="364"/>
      <c r="F767" s="364"/>
      <c r="G767" s="355"/>
      <c r="H767" s="255"/>
      <c r="I767" s="255"/>
      <c r="J767" s="255"/>
      <c r="K767" s="255"/>
      <c r="L767" s="255"/>
      <c r="M767" s="255"/>
      <c r="N767" s="255"/>
      <c r="O767" s="255"/>
      <c r="P767" s="255"/>
      <c r="Q767" s="255"/>
      <c r="R767" s="255"/>
      <c r="S767" s="255"/>
      <c r="T767" s="255"/>
      <c r="U767" s="255"/>
      <c r="V767" s="255"/>
      <c r="W767" s="255"/>
      <c r="X767" s="255"/>
      <c r="Y767" s="255"/>
      <c r="Z767" s="255"/>
      <c r="AA767" s="255"/>
      <c r="AB767" s="255"/>
    </row>
    <row r="768">
      <c r="A768" s="255"/>
      <c r="B768" s="255"/>
      <c r="C768" s="261"/>
      <c r="D768" s="262"/>
      <c r="E768" s="364"/>
      <c r="F768" s="364"/>
      <c r="G768" s="355"/>
      <c r="H768" s="255"/>
      <c r="I768" s="255"/>
      <c r="J768" s="255"/>
      <c r="K768" s="255"/>
      <c r="L768" s="255"/>
      <c r="M768" s="255"/>
      <c r="N768" s="255"/>
      <c r="O768" s="255"/>
      <c r="P768" s="255"/>
      <c r="Q768" s="255"/>
      <c r="R768" s="255"/>
      <c r="S768" s="255"/>
      <c r="T768" s="255"/>
      <c r="U768" s="255"/>
      <c r="V768" s="255"/>
      <c r="W768" s="255"/>
      <c r="X768" s="255"/>
      <c r="Y768" s="255"/>
      <c r="Z768" s="255"/>
      <c r="AA768" s="255"/>
      <c r="AB768" s="255"/>
    </row>
    <row r="769">
      <c r="A769" s="255"/>
      <c r="B769" s="255"/>
      <c r="C769" s="261"/>
      <c r="D769" s="262"/>
      <c r="E769" s="364"/>
      <c r="F769" s="364"/>
      <c r="G769" s="355"/>
      <c r="H769" s="255"/>
      <c r="I769" s="255"/>
      <c r="J769" s="255"/>
      <c r="K769" s="255"/>
      <c r="L769" s="255"/>
      <c r="M769" s="255"/>
      <c r="N769" s="255"/>
      <c r="O769" s="255"/>
      <c r="P769" s="255"/>
      <c r="Q769" s="255"/>
      <c r="R769" s="255"/>
      <c r="S769" s="255"/>
      <c r="T769" s="255"/>
      <c r="U769" s="255"/>
      <c r="V769" s="255"/>
      <c r="W769" s="255"/>
      <c r="X769" s="255"/>
      <c r="Y769" s="255"/>
      <c r="Z769" s="255"/>
      <c r="AA769" s="255"/>
      <c r="AB769" s="255"/>
    </row>
    <row r="770">
      <c r="A770" s="255"/>
      <c r="B770" s="255"/>
      <c r="C770" s="261"/>
      <c r="D770" s="262"/>
      <c r="E770" s="364"/>
      <c r="F770" s="364"/>
      <c r="G770" s="355"/>
      <c r="H770" s="255"/>
      <c r="I770" s="255"/>
      <c r="J770" s="255"/>
      <c r="K770" s="255"/>
      <c r="L770" s="255"/>
      <c r="M770" s="255"/>
      <c r="N770" s="255"/>
      <c r="O770" s="255"/>
      <c r="P770" s="255"/>
      <c r="Q770" s="255"/>
      <c r="R770" s="255"/>
      <c r="S770" s="255"/>
      <c r="T770" s="255"/>
      <c r="U770" s="255"/>
      <c r="V770" s="255"/>
      <c r="W770" s="255"/>
      <c r="X770" s="255"/>
      <c r="Y770" s="255"/>
      <c r="Z770" s="255"/>
      <c r="AA770" s="255"/>
      <c r="AB770" s="255"/>
    </row>
    <row r="771">
      <c r="A771" s="255"/>
      <c r="B771" s="255"/>
      <c r="C771" s="261"/>
      <c r="D771" s="262"/>
      <c r="E771" s="364"/>
      <c r="F771" s="364"/>
      <c r="G771" s="355"/>
      <c r="H771" s="255"/>
      <c r="I771" s="255"/>
      <c r="J771" s="255"/>
      <c r="K771" s="255"/>
      <c r="L771" s="255"/>
      <c r="M771" s="255"/>
      <c r="N771" s="255"/>
      <c r="O771" s="255"/>
      <c r="P771" s="255"/>
      <c r="Q771" s="255"/>
      <c r="R771" s="255"/>
      <c r="S771" s="255"/>
      <c r="T771" s="255"/>
      <c r="U771" s="255"/>
      <c r="V771" s="255"/>
      <c r="W771" s="255"/>
      <c r="X771" s="255"/>
      <c r="Y771" s="255"/>
      <c r="Z771" s="255"/>
      <c r="AA771" s="255"/>
      <c r="AB771" s="255"/>
    </row>
    <row r="772">
      <c r="A772" s="255"/>
      <c r="B772" s="255"/>
      <c r="C772" s="261"/>
      <c r="D772" s="262"/>
      <c r="E772" s="364"/>
      <c r="F772" s="364"/>
      <c r="G772" s="355"/>
      <c r="H772" s="255"/>
      <c r="I772" s="255"/>
      <c r="J772" s="255"/>
      <c r="K772" s="255"/>
      <c r="L772" s="255"/>
      <c r="M772" s="255"/>
      <c r="N772" s="255"/>
      <c r="O772" s="255"/>
      <c r="P772" s="255"/>
      <c r="Q772" s="255"/>
      <c r="R772" s="255"/>
      <c r="S772" s="255"/>
      <c r="T772" s="255"/>
      <c r="U772" s="255"/>
      <c r="V772" s="255"/>
      <c r="W772" s="255"/>
      <c r="X772" s="255"/>
      <c r="Y772" s="255"/>
      <c r="Z772" s="255"/>
      <c r="AA772" s="255"/>
      <c r="AB772" s="255"/>
    </row>
    <row r="773">
      <c r="A773" s="255"/>
      <c r="B773" s="255"/>
      <c r="C773" s="261"/>
      <c r="D773" s="262"/>
      <c r="E773" s="364"/>
      <c r="F773" s="364"/>
      <c r="G773" s="355"/>
      <c r="H773" s="255"/>
      <c r="I773" s="255"/>
      <c r="J773" s="255"/>
      <c r="K773" s="255"/>
      <c r="L773" s="255"/>
      <c r="M773" s="255"/>
      <c r="N773" s="255"/>
      <c r="O773" s="255"/>
      <c r="P773" s="255"/>
      <c r="Q773" s="255"/>
      <c r="R773" s="255"/>
      <c r="S773" s="255"/>
      <c r="T773" s="255"/>
      <c r="U773" s="255"/>
      <c r="V773" s="255"/>
      <c r="W773" s="255"/>
      <c r="X773" s="255"/>
      <c r="Y773" s="255"/>
      <c r="Z773" s="255"/>
      <c r="AA773" s="255"/>
      <c r="AB773" s="255"/>
    </row>
    <row r="774">
      <c r="A774" s="255"/>
      <c r="B774" s="255"/>
      <c r="C774" s="261"/>
      <c r="D774" s="262"/>
      <c r="E774" s="364"/>
      <c r="F774" s="364"/>
      <c r="G774" s="355"/>
      <c r="H774" s="255"/>
      <c r="I774" s="255"/>
      <c r="J774" s="255"/>
      <c r="K774" s="255"/>
      <c r="L774" s="255"/>
      <c r="M774" s="255"/>
      <c r="N774" s="255"/>
      <c r="O774" s="255"/>
      <c r="P774" s="255"/>
      <c r="Q774" s="255"/>
      <c r="R774" s="255"/>
      <c r="S774" s="255"/>
      <c r="T774" s="255"/>
      <c r="U774" s="255"/>
      <c r="V774" s="255"/>
      <c r="W774" s="255"/>
      <c r="X774" s="255"/>
      <c r="Y774" s="255"/>
      <c r="Z774" s="255"/>
      <c r="AA774" s="255"/>
      <c r="AB774" s="255"/>
    </row>
    <row r="775">
      <c r="A775" s="255"/>
      <c r="B775" s="255"/>
      <c r="C775" s="261"/>
      <c r="D775" s="262"/>
      <c r="E775" s="364"/>
      <c r="F775" s="364"/>
      <c r="G775" s="355"/>
      <c r="H775" s="255"/>
      <c r="I775" s="255"/>
      <c r="J775" s="255"/>
      <c r="K775" s="255"/>
      <c r="L775" s="255"/>
      <c r="M775" s="255"/>
      <c r="N775" s="255"/>
      <c r="O775" s="255"/>
      <c r="P775" s="255"/>
      <c r="Q775" s="255"/>
      <c r="R775" s="255"/>
      <c r="S775" s="255"/>
      <c r="T775" s="255"/>
      <c r="U775" s="255"/>
      <c r="V775" s="255"/>
      <c r="W775" s="255"/>
      <c r="X775" s="255"/>
      <c r="Y775" s="255"/>
      <c r="Z775" s="255"/>
      <c r="AA775" s="255"/>
      <c r="AB775" s="255"/>
    </row>
    <row r="776">
      <c r="A776" s="255"/>
      <c r="B776" s="255"/>
      <c r="C776" s="261"/>
      <c r="D776" s="262"/>
      <c r="E776" s="364"/>
      <c r="F776" s="364"/>
      <c r="G776" s="355"/>
      <c r="H776" s="255"/>
      <c r="I776" s="255"/>
      <c r="J776" s="255"/>
      <c r="K776" s="255"/>
      <c r="L776" s="255"/>
      <c r="M776" s="255"/>
      <c r="N776" s="255"/>
      <c r="O776" s="255"/>
      <c r="P776" s="255"/>
      <c r="Q776" s="255"/>
      <c r="R776" s="255"/>
      <c r="S776" s="255"/>
      <c r="T776" s="255"/>
      <c r="U776" s="255"/>
      <c r="V776" s="255"/>
      <c r="W776" s="255"/>
      <c r="X776" s="255"/>
      <c r="Y776" s="255"/>
      <c r="Z776" s="255"/>
      <c r="AA776" s="255"/>
      <c r="AB776" s="255"/>
    </row>
    <row r="777">
      <c r="A777" s="255"/>
      <c r="B777" s="255"/>
      <c r="C777" s="261"/>
      <c r="D777" s="262"/>
      <c r="E777" s="364"/>
      <c r="F777" s="364"/>
      <c r="G777" s="355"/>
      <c r="H777" s="255"/>
      <c r="I777" s="255"/>
      <c r="J777" s="255"/>
      <c r="K777" s="255"/>
      <c r="L777" s="255"/>
      <c r="M777" s="255"/>
      <c r="N777" s="255"/>
      <c r="O777" s="255"/>
      <c r="P777" s="255"/>
      <c r="Q777" s="255"/>
      <c r="R777" s="255"/>
      <c r="S777" s="255"/>
      <c r="T777" s="255"/>
      <c r="U777" s="255"/>
      <c r="V777" s="255"/>
      <c r="W777" s="255"/>
      <c r="X777" s="255"/>
      <c r="Y777" s="255"/>
      <c r="Z777" s="255"/>
      <c r="AA777" s="255"/>
      <c r="AB777" s="255"/>
    </row>
    <row r="778">
      <c r="A778" s="255"/>
      <c r="B778" s="255"/>
      <c r="C778" s="261"/>
      <c r="D778" s="262"/>
      <c r="E778" s="364"/>
      <c r="F778" s="364"/>
      <c r="G778" s="355"/>
      <c r="H778" s="255"/>
      <c r="I778" s="255"/>
      <c r="J778" s="255"/>
      <c r="K778" s="255"/>
      <c r="L778" s="255"/>
      <c r="M778" s="255"/>
      <c r="N778" s="255"/>
      <c r="O778" s="255"/>
      <c r="P778" s="255"/>
      <c r="Q778" s="255"/>
      <c r="R778" s="255"/>
      <c r="S778" s="255"/>
      <c r="T778" s="255"/>
      <c r="U778" s="255"/>
      <c r="V778" s="255"/>
      <c r="W778" s="255"/>
      <c r="X778" s="255"/>
      <c r="Y778" s="255"/>
      <c r="Z778" s="255"/>
      <c r="AA778" s="255"/>
      <c r="AB778" s="255"/>
    </row>
    <row r="779">
      <c r="A779" s="255"/>
      <c r="B779" s="255"/>
      <c r="C779" s="261"/>
      <c r="D779" s="262"/>
      <c r="E779" s="364"/>
      <c r="F779" s="364"/>
      <c r="G779" s="355"/>
      <c r="H779" s="255"/>
      <c r="I779" s="255"/>
      <c r="J779" s="255"/>
      <c r="K779" s="255"/>
      <c r="L779" s="255"/>
      <c r="M779" s="255"/>
      <c r="N779" s="255"/>
      <c r="O779" s="255"/>
      <c r="P779" s="255"/>
      <c r="Q779" s="255"/>
      <c r="R779" s="255"/>
      <c r="S779" s="255"/>
      <c r="T779" s="255"/>
      <c r="U779" s="255"/>
      <c r="V779" s="255"/>
      <c r="W779" s="255"/>
      <c r="X779" s="255"/>
      <c r="Y779" s="255"/>
      <c r="Z779" s="255"/>
      <c r="AA779" s="255"/>
      <c r="AB779" s="255"/>
    </row>
    <row r="780">
      <c r="A780" s="255"/>
      <c r="B780" s="255"/>
      <c r="C780" s="261"/>
      <c r="D780" s="262"/>
      <c r="E780" s="364"/>
      <c r="F780" s="364"/>
      <c r="G780" s="355"/>
      <c r="H780" s="255"/>
      <c r="I780" s="255"/>
      <c r="J780" s="255"/>
      <c r="K780" s="255"/>
      <c r="L780" s="255"/>
      <c r="M780" s="255"/>
      <c r="N780" s="255"/>
      <c r="O780" s="255"/>
      <c r="P780" s="255"/>
      <c r="Q780" s="255"/>
      <c r="R780" s="255"/>
      <c r="S780" s="255"/>
      <c r="T780" s="255"/>
      <c r="U780" s="255"/>
      <c r="V780" s="255"/>
      <c r="W780" s="255"/>
      <c r="X780" s="255"/>
      <c r="Y780" s="255"/>
      <c r="Z780" s="255"/>
      <c r="AA780" s="255"/>
      <c r="AB780" s="255"/>
    </row>
    <row r="781">
      <c r="A781" s="255"/>
      <c r="B781" s="255"/>
      <c r="C781" s="261"/>
      <c r="D781" s="262"/>
      <c r="E781" s="364"/>
      <c r="F781" s="364"/>
      <c r="G781" s="355"/>
      <c r="H781" s="255"/>
      <c r="I781" s="255"/>
      <c r="J781" s="255"/>
      <c r="K781" s="255"/>
      <c r="L781" s="255"/>
      <c r="M781" s="255"/>
      <c r="N781" s="255"/>
      <c r="O781" s="255"/>
      <c r="P781" s="255"/>
      <c r="Q781" s="255"/>
      <c r="R781" s="255"/>
      <c r="S781" s="255"/>
      <c r="T781" s="255"/>
      <c r="U781" s="255"/>
      <c r="V781" s="255"/>
      <c r="W781" s="255"/>
      <c r="X781" s="255"/>
      <c r="Y781" s="255"/>
      <c r="Z781" s="255"/>
      <c r="AA781" s="255"/>
      <c r="AB781" s="255"/>
    </row>
    <row r="782">
      <c r="A782" s="255"/>
      <c r="B782" s="255"/>
      <c r="C782" s="261"/>
      <c r="D782" s="262"/>
      <c r="E782" s="364"/>
      <c r="F782" s="364"/>
      <c r="G782" s="355"/>
      <c r="H782" s="255"/>
      <c r="I782" s="255"/>
      <c r="J782" s="255"/>
      <c r="K782" s="255"/>
      <c r="L782" s="255"/>
      <c r="M782" s="255"/>
      <c r="N782" s="255"/>
      <c r="O782" s="255"/>
      <c r="P782" s="255"/>
      <c r="Q782" s="255"/>
      <c r="R782" s="255"/>
      <c r="S782" s="255"/>
      <c r="T782" s="255"/>
      <c r="U782" s="255"/>
      <c r="V782" s="255"/>
      <c r="W782" s="255"/>
      <c r="X782" s="255"/>
      <c r="Y782" s="255"/>
      <c r="Z782" s="255"/>
      <c r="AA782" s="255"/>
      <c r="AB782" s="255"/>
    </row>
    <row r="783">
      <c r="A783" s="255"/>
      <c r="B783" s="255"/>
      <c r="C783" s="261"/>
      <c r="D783" s="262"/>
      <c r="E783" s="364"/>
      <c r="F783" s="364"/>
      <c r="G783" s="355"/>
      <c r="H783" s="255"/>
      <c r="I783" s="255"/>
      <c r="J783" s="255"/>
      <c r="K783" s="255"/>
      <c r="L783" s="255"/>
      <c r="M783" s="255"/>
      <c r="N783" s="255"/>
      <c r="O783" s="255"/>
      <c r="P783" s="255"/>
      <c r="Q783" s="255"/>
      <c r="R783" s="255"/>
      <c r="S783" s="255"/>
      <c r="T783" s="255"/>
      <c r="U783" s="255"/>
      <c r="V783" s="255"/>
      <c r="W783" s="255"/>
      <c r="X783" s="255"/>
      <c r="Y783" s="255"/>
      <c r="Z783" s="255"/>
      <c r="AA783" s="255"/>
      <c r="AB783" s="255"/>
    </row>
    <row r="784">
      <c r="A784" s="255"/>
      <c r="B784" s="255"/>
      <c r="C784" s="261"/>
      <c r="D784" s="262"/>
      <c r="E784" s="364"/>
      <c r="F784" s="364"/>
      <c r="G784" s="355"/>
      <c r="H784" s="255"/>
      <c r="I784" s="255"/>
      <c r="J784" s="255"/>
      <c r="K784" s="255"/>
      <c r="L784" s="255"/>
      <c r="M784" s="255"/>
      <c r="N784" s="255"/>
      <c r="O784" s="255"/>
      <c r="P784" s="255"/>
      <c r="Q784" s="255"/>
      <c r="R784" s="255"/>
      <c r="S784" s="255"/>
      <c r="T784" s="255"/>
      <c r="U784" s="255"/>
      <c r="V784" s="255"/>
      <c r="W784" s="255"/>
      <c r="X784" s="255"/>
      <c r="Y784" s="255"/>
      <c r="Z784" s="255"/>
      <c r="AA784" s="255"/>
      <c r="AB784" s="255"/>
    </row>
    <row r="785">
      <c r="A785" s="255"/>
      <c r="B785" s="255"/>
      <c r="C785" s="261"/>
      <c r="D785" s="262"/>
      <c r="E785" s="364"/>
      <c r="F785" s="364"/>
      <c r="G785" s="355"/>
      <c r="H785" s="255"/>
      <c r="I785" s="255"/>
      <c r="J785" s="255"/>
      <c r="K785" s="255"/>
      <c r="L785" s="255"/>
      <c r="M785" s="255"/>
      <c r="N785" s="255"/>
      <c r="O785" s="255"/>
      <c r="P785" s="255"/>
      <c r="Q785" s="255"/>
      <c r="R785" s="255"/>
      <c r="S785" s="255"/>
      <c r="T785" s="255"/>
      <c r="U785" s="255"/>
      <c r="V785" s="255"/>
      <c r="W785" s="255"/>
      <c r="X785" s="255"/>
      <c r="Y785" s="255"/>
      <c r="Z785" s="255"/>
      <c r="AA785" s="255"/>
      <c r="AB785" s="255"/>
    </row>
    <row r="786">
      <c r="A786" s="255"/>
      <c r="B786" s="255"/>
      <c r="C786" s="261"/>
      <c r="D786" s="262"/>
      <c r="E786" s="364"/>
      <c r="F786" s="364"/>
      <c r="G786" s="355"/>
      <c r="H786" s="255"/>
      <c r="I786" s="255"/>
      <c r="J786" s="255"/>
      <c r="K786" s="255"/>
      <c r="L786" s="255"/>
      <c r="M786" s="255"/>
      <c r="N786" s="255"/>
      <c r="O786" s="255"/>
      <c r="P786" s="255"/>
      <c r="Q786" s="255"/>
      <c r="R786" s="255"/>
      <c r="S786" s="255"/>
      <c r="T786" s="255"/>
      <c r="U786" s="255"/>
      <c r="V786" s="255"/>
      <c r="W786" s="255"/>
      <c r="X786" s="255"/>
      <c r="Y786" s="255"/>
      <c r="Z786" s="255"/>
      <c r="AA786" s="255"/>
      <c r="AB786" s="255"/>
    </row>
    <row r="787">
      <c r="A787" s="255"/>
      <c r="B787" s="255"/>
      <c r="C787" s="261"/>
      <c r="D787" s="262"/>
      <c r="E787" s="364"/>
      <c r="F787" s="364"/>
      <c r="G787" s="355"/>
      <c r="H787" s="255"/>
      <c r="I787" s="255"/>
      <c r="J787" s="255"/>
      <c r="K787" s="255"/>
      <c r="L787" s="255"/>
      <c r="M787" s="255"/>
      <c r="N787" s="255"/>
      <c r="O787" s="255"/>
      <c r="P787" s="255"/>
      <c r="Q787" s="255"/>
      <c r="R787" s="255"/>
      <c r="S787" s="255"/>
      <c r="T787" s="255"/>
      <c r="U787" s="255"/>
      <c r="V787" s="255"/>
      <c r="W787" s="255"/>
      <c r="X787" s="255"/>
      <c r="Y787" s="255"/>
      <c r="Z787" s="255"/>
      <c r="AA787" s="255"/>
      <c r="AB787" s="255"/>
    </row>
    <row r="788">
      <c r="A788" s="255"/>
      <c r="B788" s="255"/>
      <c r="C788" s="261"/>
      <c r="D788" s="262"/>
      <c r="E788" s="364"/>
      <c r="F788" s="364"/>
      <c r="G788" s="355"/>
      <c r="H788" s="255"/>
      <c r="I788" s="255"/>
      <c r="J788" s="255"/>
      <c r="K788" s="255"/>
      <c r="L788" s="255"/>
      <c r="M788" s="255"/>
      <c r="N788" s="255"/>
      <c r="O788" s="255"/>
      <c r="P788" s="255"/>
      <c r="Q788" s="255"/>
      <c r="R788" s="255"/>
      <c r="S788" s="255"/>
      <c r="T788" s="255"/>
      <c r="U788" s="255"/>
      <c r="V788" s="255"/>
      <c r="W788" s="255"/>
      <c r="X788" s="255"/>
      <c r="Y788" s="255"/>
      <c r="Z788" s="255"/>
      <c r="AA788" s="255"/>
      <c r="AB788" s="255"/>
    </row>
    <row r="789">
      <c r="A789" s="255"/>
      <c r="B789" s="255"/>
      <c r="C789" s="261"/>
      <c r="D789" s="262"/>
      <c r="E789" s="364"/>
      <c r="F789" s="364"/>
      <c r="G789" s="355"/>
      <c r="H789" s="255"/>
      <c r="I789" s="255"/>
      <c r="J789" s="255"/>
      <c r="K789" s="255"/>
      <c r="L789" s="255"/>
      <c r="M789" s="255"/>
      <c r="N789" s="255"/>
      <c r="O789" s="255"/>
      <c r="P789" s="255"/>
      <c r="Q789" s="255"/>
      <c r="R789" s="255"/>
      <c r="S789" s="255"/>
      <c r="T789" s="255"/>
      <c r="U789" s="255"/>
      <c r="V789" s="255"/>
      <c r="W789" s="255"/>
      <c r="X789" s="255"/>
      <c r="Y789" s="255"/>
      <c r="Z789" s="255"/>
      <c r="AA789" s="255"/>
      <c r="AB789" s="255"/>
    </row>
    <row r="790">
      <c r="A790" s="255"/>
      <c r="B790" s="255"/>
      <c r="C790" s="261"/>
      <c r="D790" s="262"/>
      <c r="E790" s="364"/>
      <c r="F790" s="364"/>
      <c r="G790" s="355"/>
      <c r="H790" s="255"/>
      <c r="I790" s="255"/>
      <c r="J790" s="255"/>
      <c r="K790" s="255"/>
      <c r="L790" s="255"/>
      <c r="M790" s="255"/>
      <c r="N790" s="255"/>
      <c r="O790" s="255"/>
      <c r="P790" s="255"/>
      <c r="Q790" s="255"/>
      <c r="R790" s="255"/>
      <c r="S790" s="255"/>
      <c r="T790" s="255"/>
      <c r="U790" s="255"/>
      <c r="V790" s="255"/>
      <c r="W790" s="255"/>
      <c r="X790" s="255"/>
      <c r="Y790" s="255"/>
      <c r="Z790" s="255"/>
      <c r="AA790" s="255"/>
      <c r="AB790" s="255"/>
    </row>
    <row r="791">
      <c r="A791" s="255"/>
      <c r="B791" s="255"/>
      <c r="C791" s="261"/>
      <c r="D791" s="262"/>
      <c r="E791" s="364"/>
      <c r="F791" s="364"/>
      <c r="G791" s="355"/>
      <c r="H791" s="255"/>
      <c r="I791" s="255"/>
      <c r="J791" s="255"/>
      <c r="K791" s="255"/>
      <c r="L791" s="255"/>
      <c r="M791" s="255"/>
      <c r="N791" s="255"/>
      <c r="O791" s="255"/>
      <c r="P791" s="255"/>
      <c r="Q791" s="255"/>
      <c r="R791" s="255"/>
      <c r="S791" s="255"/>
      <c r="T791" s="255"/>
      <c r="U791" s="255"/>
      <c r="V791" s="255"/>
      <c r="W791" s="255"/>
      <c r="X791" s="255"/>
      <c r="Y791" s="255"/>
      <c r="Z791" s="255"/>
      <c r="AA791" s="255"/>
      <c r="AB791" s="255"/>
    </row>
    <row r="792">
      <c r="A792" s="255"/>
      <c r="B792" s="255"/>
      <c r="C792" s="261"/>
      <c r="D792" s="262"/>
      <c r="E792" s="364"/>
      <c r="F792" s="364"/>
      <c r="G792" s="355"/>
      <c r="H792" s="255"/>
      <c r="I792" s="255"/>
      <c r="J792" s="255"/>
      <c r="K792" s="255"/>
      <c r="L792" s="255"/>
      <c r="M792" s="255"/>
      <c r="N792" s="255"/>
      <c r="O792" s="255"/>
      <c r="P792" s="255"/>
      <c r="Q792" s="255"/>
      <c r="R792" s="255"/>
      <c r="S792" s="255"/>
      <c r="T792" s="255"/>
      <c r="U792" s="255"/>
      <c r="V792" s="255"/>
      <c r="W792" s="255"/>
      <c r="X792" s="255"/>
      <c r="Y792" s="255"/>
      <c r="Z792" s="255"/>
      <c r="AA792" s="255"/>
      <c r="AB792" s="255"/>
    </row>
    <row r="793">
      <c r="A793" s="255"/>
      <c r="B793" s="255"/>
      <c r="C793" s="261"/>
      <c r="D793" s="262"/>
      <c r="E793" s="364"/>
      <c r="F793" s="364"/>
      <c r="G793" s="355"/>
      <c r="H793" s="255"/>
      <c r="I793" s="255"/>
      <c r="J793" s="255"/>
      <c r="K793" s="255"/>
      <c r="L793" s="255"/>
      <c r="M793" s="255"/>
      <c r="N793" s="255"/>
      <c r="O793" s="255"/>
      <c r="P793" s="255"/>
      <c r="Q793" s="255"/>
      <c r="R793" s="255"/>
      <c r="S793" s="255"/>
      <c r="T793" s="255"/>
      <c r="U793" s="255"/>
      <c r="V793" s="255"/>
      <c r="W793" s="255"/>
      <c r="X793" s="255"/>
      <c r="Y793" s="255"/>
      <c r="Z793" s="255"/>
      <c r="AA793" s="255"/>
      <c r="AB793" s="255"/>
    </row>
    <row r="794">
      <c r="A794" s="255"/>
      <c r="B794" s="255"/>
      <c r="C794" s="261"/>
      <c r="D794" s="262"/>
      <c r="E794" s="364"/>
      <c r="F794" s="364"/>
      <c r="G794" s="355"/>
      <c r="H794" s="255"/>
      <c r="I794" s="255"/>
      <c r="J794" s="255"/>
      <c r="K794" s="255"/>
      <c r="L794" s="255"/>
      <c r="M794" s="255"/>
      <c r="N794" s="255"/>
      <c r="O794" s="255"/>
      <c r="P794" s="255"/>
      <c r="Q794" s="255"/>
      <c r="R794" s="255"/>
      <c r="S794" s="255"/>
      <c r="T794" s="255"/>
      <c r="U794" s="255"/>
      <c r="V794" s="255"/>
      <c r="W794" s="255"/>
      <c r="X794" s="255"/>
      <c r="Y794" s="255"/>
      <c r="Z794" s="255"/>
      <c r="AA794" s="255"/>
      <c r="AB794" s="255"/>
    </row>
    <row r="795">
      <c r="A795" s="255"/>
      <c r="B795" s="255"/>
      <c r="C795" s="261"/>
      <c r="D795" s="262"/>
      <c r="E795" s="364"/>
      <c r="F795" s="364"/>
      <c r="G795" s="355"/>
      <c r="H795" s="255"/>
      <c r="I795" s="255"/>
      <c r="J795" s="255"/>
      <c r="K795" s="255"/>
      <c r="L795" s="255"/>
      <c r="M795" s="255"/>
      <c r="N795" s="255"/>
      <c r="O795" s="255"/>
      <c r="P795" s="255"/>
      <c r="Q795" s="255"/>
      <c r="R795" s="255"/>
      <c r="S795" s="255"/>
      <c r="T795" s="255"/>
      <c r="U795" s="255"/>
      <c r="V795" s="255"/>
      <c r="W795" s="255"/>
      <c r="X795" s="255"/>
      <c r="Y795" s="255"/>
      <c r="Z795" s="255"/>
      <c r="AA795" s="255"/>
      <c r="AB795" s="255"/>
    </row>
    <row r="796">
      <c r="A796" s="255"/>
      <c r="B796" s="255"/>
      <c r="C796" s="261"/>
      <c r="D796" s="262"/>
      <c r="E796" s="364"/>
      <c r="F796" s="364"/>
      <c r="G796" s="355"/>
      <c r="H796" s="255"/>
      <c r="I796" s="255"/>
      <c r="J796" s="255"/>
      <c r="K796" s="255"/>
      <c r="L796" s="255"/>
      <c r="M796" s="255"/>
      <c r="N796" s="255"/>
      <c r="O796" s="255"/>
      <c r="P796" s="255"/>
      <c r="Q796" s="255"/>
      <c r="R796" s="255"/>
      <c r="S796" s="255"/>
      <c r="T796" s="255"/>
      <c r="U796" s="255"/>
      <c r="V796" s="255"/>
      <c r="W796" s="255"/>
      <c r="X796" s="255"/>
      <c r="Y796" s="255"/>
      <c r="Z796" s="255"/>
      <c r="AA796" s="255"/>
      <c r="AB796" s="255"/>
    </row>
    <row r="797">
      <c r="A797" s="255"/>
      <c r="B797" s="255"/>
      <c r="C797" s="261"/>
      <c r="D797" s="262"/>
      <c r="E797" s="364"/>
      <c r="F797" s="364"/>
      <c r="G797" s="355"/>
      <c r="H797" s="255"/>
      <c r="I797" s="255"/>
      <c r="J797" s="255"/>
      <c r="K797" s="255"/>
      <c r="L797" s="255"/>
      <c r="M797" s="255"/>
      <c r="N797" s="255"/>
      <c r="O797" s="255"/>
      <c r="P797" s="255"/>
      <c r="Q797" s="255"/>
      <c r="R797" s="255"/>
      <c r="S797" s="255"/>
      <c r="T797" s="255"/>
      <c r="U797" s="255"/>
      <c r="V797" s="255"/>
      <c r="W797" s="255"/>
      <c r="X797" s="255"/>
      <c r="Y797" s="255"/>
      <c r="Z797" s="255"/>
      <c r="AA797" s="255"/>
      <c r="AB797" s="255"/>
    </row>
    <row r="798">
      <c r="A798" s="255"/>
      <c r="B798" s="255"/>
      <c r="C798" s="261"/>
      <c r="D798" s="262"/>
      <c r="E798" s="364"/>
      <c r="F798" s="364"/>
      <c r="G798" s="355"/>
      <c r="H798" s="255"/>
      <c r="I798" s="255"/>
      <c r="J798" s="255"/>
      <c r="K798" s="255"/>
      <c r="L798" s="255"/>
      <c r="M798" s="255"/>
      <c r="N798" s="255"/>
      <c r="O798" s="255"/>
      <c r="P798" s="255"/>
      <c r="Q798" s="255"/>
      <c r="R798" s="255"/>
      <c r="S798" s="255"/>
      <c r="T798" s="255"/>
      <c r="U798" s="255"/>
      <c r="V798" s="255"/>
      <c r="W798" s="255"/>
      <c r="X798" s="255"/>
      <c r="Y798" s="255"/>
      <c r="Z798" s="255"/>
      <c r="AA798" s="255"/>
      <c r="AB798" s="255"/>
    </row>
    <row r="799">
      <c r="A799" s="255"/>
      <c r="B799" s="255"/>
      <c r="C799" s="261"/>
      <c r="D799" s="262"/>
      <c r="E799" s="364"/>
      <c r="F799" s="364"/>
      <c r="G799" s="355"/>
      <c r="H799" s="255"/>
      <c r="I799" s="255"/>
      <c r="J799" s="255"/>
      <c r="K799" s="255"/>
      <c r="L799" s="255"/>
      <c r="M799" s="255"/>
      <c r="N799" s="255"/>
      <c r="O799" s="255"/>
      <c r="P799" s="255"/>
      <c r="Q799" s="255"/>
      <c r="R799" s="255"/>
      <c r="S799" s="255"/>
      <c r="T799" s="255"/>
      <c r="U799" s="255"/>
      <c r="V799" s="255"/>
      <c r="W799" s="255"/>
      <c r="X799" s="255"/>
      <c r="Y799" s="255"/>
      <c r="Z799" s="255"/>
      <c r="AA799" s="255"/>
      <c r="AB799" s="255"/>
    </row>
    <row r="800">
      <c r="A800" s="255"/>
      <c r="B800" s="255"/>
      <c r="C800" s="261"/>
      <c r="D800" s="262"/>
      <c r="E800" s="364"/>
      <c r="F800" s="364"/>
      <c r="G800" s="355"/>
      <c r="H800" s="255"/>
      <c r="I800" s="255"/>
      <c r="J800" s="255"/>
      <c r="K800" s="255"/>
      <c r="L800" s="255"/>
      <c r="M800" s="255"/>
      <c r="N800" s="255"/>
      <c r="O800" s="255"/>
      <c r="P800" s="255"/>
      <c r="Q800" s="255"/>
      <c r="R800" s="255"/>
      <c r="S800" s="255"/>
      <c r="T800" s="255"/>
      <c r="U800" s="255"/>
      <c r="V800" s="255"/>
      <c r="W800" s="255"/>
      <c r="X800" s="255"/>
      <c r="Y800" s="255"/>
      <c r="Z800" s="255"/>
      <c r="AA800" s="255"/>
      <c r="AB800" s="255"/>
    </row>
    <row r="801">
      <c r="A801" s="255"/>
      <c r="B801" s="255"/>
      <c r="C801" s="261"/>
      <c r="D801" s="262"/>
      <c r="E801" s="364"/>
      <c r="F801" s="364"/>
      <c r="G801" s="355"/>
      <c r="H801" s="255"/>
      <c r="I801" s="255"/>
      <c r="J801" s="255"/>
      <c r="K801" s="255"/>
      <c r="L801" s="255"/>
      <c r="M801" s="255"/>
      <c r="N801" s="255"/>
      <c r="O801" s="255"/>
      <c r="P801" s="255"/>
      <c r="Q801" s="255"/>
      <c r="R801" s="255"/>
      <c r="S801" s="255"/>
      <c r="T801" s="255"/>
      <c r="U801" s="255"/>
      <c r="V801" s="255"/>
      <c r="W801" s="255"/>
      <c r="X801" s="255"/>
      <c r="Y801" s="255"/>
      <c r="Z801" s="255"/>
      <c r="AA801" s="255"/>
      <c r="AB801" s="255"/>
    </row>
    <row r="802">
      <c r="A802" s="255"/>
      <c r="B802" s="255"/>
      <c r="C802" s="261"/>
      <c r="D802" s="262"/>
      <c r="E802" s="364"/>
      <c r="F802" s="364"/>
      <c r="G802" s="355"/>
      <c r="H802" s="255"/>
      <c r="I802" s="255"/>
      <c r="J802" s="255"/>
      <c r="K802" s="255"/>
      <c r="L802" s="255"/>
      <c r="M802" s="255"/>
      <c r="N802" s="255"/>
      <c r="O802" s="255"/>
      <c r="P802" s="255"/>
      <c r="Q802" s="255"/>
      <c r="R802" s="255"/>
      <c r="S802" s="255"/>
      <c r="T802" s="255"/>
      <c r="U802" s="255"/>
      <c r="V802" s="255"/>
      <c r="W802" s="255"/>
      <c r="X802" s="255"/>
      <c r="Y802" s="255"/>
      <c r="Z802" s="255"/>
      <c r="AA802" s="255"/>
      <c r="AB802" s="255"/>
    </row>
    <row r="803">
      <c r="A803" s="255"/>
      <c r="B803" s="255"/>
      <c r="C803" s="261"/>
      <c r="D803" s="262"/>
      <c r="E803" s="364"/>
      <c r="F803" s="364"/>
      <c r="G803" s="355"/>
      <c r="H803" s="255"/>
      <c r="I803" s="255"/>
      <c r="J803" s="255"/>
      <c r="K803" s="255"/>
      <c r="L803" s="255"/>
      <c r="M803" s="255"/>
      <c r="N803" s="255"/>
      <c r="O803" s="255"/>
      <c r="P803" s="255"/>
      <c r="Q803" s="255"/>
      <c r="R803" s="255"/>
      <c r="S803" s="255"/>
      <c r="T803" s="255"/>
      <c r="U803" s="255"/>
      <c r="V803" s="255"/>
      <c r="W803" s="255"/>
      <c r="X803" s="255"/>
      <c r="Y803" s="255"/>
      <c r="Z803" s="255"/>
      <c r="AA803" s="255"/>
      <c r="AB803" s="255"/>
    </row>
    <row r="804">
      <c r="A804" s="255"/>
      <c r="B804" s="255"/>
      <c r="C804" s="261"/>
      <c r="D804" s="262"/>
      <c r="E804" s="364"/>
      <c r="F804" s="364"/>
      <c r="G804" s="355"/>
      <c r="H804" s="255"/>
      <c r="I804" s="255"/>
      <c r="J804" s="255"/>
      <c r="K804" s="255"/>
      <c r="L804" s="255"/>
      <c r="M804" s="255"/>
      <c r="N804" s="255"/>
      <c r="O804" s="255"/>
      <c r="P804" s="255"/>
      <c r="Q804" s="255"/>
      <c r="R804" s="255"/>
      <c r="S804" s="255"/>
      <c r="T804" s="255"/>
      <c r="U804" s="255"/>
      <c r="V804" s="255"/>
      <c r="W804" s="255"/>
      <c r="X804" s="255"/>
      <c r="Y804" s="255"/>
      <c r="Z804" s="255"/>
      <c r="AA804" s="255"/>
      <c r="AB804" s="255"/>
    </row>
    <row r="805">
      <c r="A805" s="255"/>
      <c r="B805" s="255"/>
      <c r="C805" s="261"/>
      <c r="D805" s="262"/>
      <c r="E805" s="364"/>
      <c r="F805" s="364"/>
      <c r="G805" s="355"/>
      <c r="H805" s="255"/>
      <c r="I805" s="255"/>
      <c r="J805" s="255"/>
      <c r="K805" s="255"/>
      <c r="L805" s="255"/>
      <c r="M805" s="255"/>
      <c r="N805" s="255"/>
      <c r="O805" s="255"/>
      <c r="P805" s="255"/>
      <c r="Q805" s="255"/>
      <c r="R805" s="255"/>
      <c r="S805" s="255"/>
      <c r="T805" s="255"/>
      <c r="U805" s="255"/>
      <c r="V805" s="255"/>
      <c r="W805" s="255"/>
      <c r="X805" s="255"/>
      <c r="Y805" s="255"/>
      <c r="Z805" s="255"/>
      <c r="AA805" s="255"/>
      <c r="AB805" s="255"/>
    </row>
    <row r="806">
      <c r="A806" s="255"/>
      <c r="B806" s="255"/>
      <c r="C806" s="261"/>
      <c r="D806" s="262"/>
      <c r="E806" s="364"/>
      <c r="F806" s="364"/>
      <c r="G806" s="355"/>
      <c r="H806" s="255"/>
      <c r="I806" s="255"/>
      <c r="J806" s="255"/>
      <c r="K806" s="255"/>
      <c r="L806" s="255"/>
      <c r="M806" s="255"/>
      <c r="N806" s="255"/>
      <c r="O806" s="255"/>
      <c r="P806" s="255"/>
      <c r="Q806" s="255"/>
      <c r="R806" s="255"/>
      <c r="S806" s="255"/>
      <c r="T806" s="255"/>
      <c r="U806" s="255"/>
      <c r="V806" s="255"/>
      <c r="W806" s="255"/>
      <c r="X806" s="255"/>
      <c r="Y806" s="255"/>
      <c r="Z806" s="255"/>
      <c r="AA806" s="255"/>
      <c r="AB806" s="255"/>
    </row>
    <row r="807">
      <c r="A807" s="255"/>
      <c r="B807" s="255"/>
      <c r="C807" s="261"/>
      <c r="D807" s="262"/>
      <c r="E807" s="364"/>
      <c r="F807" s="364"/>
      <c r="G807" s="355"/>
      <c r="H807" s="255"/>
      <c r="I807" s="255"/>
      <c r="J807" s="255"/>
      <c r="K807" s="255"/>
      <c r="L807" s="255"/>
      <c r="M807" s="255"/>
      <c r="N807" s="255"/>
      <c r="O807" s="255"/>
      <c r="P807" s="255"/>
      <c r="Q807" s="255"/>
      <c r="R807" s="255"/>
      <c r="S807" s="255"/>
      <c r="T807" s="255"/>
      <c r="U807" s="255"/>
      <c r="V807" s="255"/>
      <c r="W807" s="255"/>
      <c r="X807" s="255"/>
      <c r="Y807" s="255"/>
      <c r="Z807" s="255"/>
      <c r="AA807" s="255"/>
      <c r="AB807" s="255"/>
    </row>
    <row r="808">
      <c r="A808" s="255"/>
      <c r="B808" s="255"/>
      <c r="C808" s="261"/>
      <c r="D808" s="262"/>
      <c r="E808" s="364"/>
      <c r="F808" s="364"/>
      <c r="G808" s="355"/>
      <c r="H808" s="255"/>
      <c r="I808" s="255"/>
      <c r="J808" s="255"/>
      <c r="K808" s="255"/>
      <c r="L808" s="255"/>
      <c r="M808" s="255"/>
      <c r="N808" s="255"/>
      <c r="O808" s="255"/>
      <c r="P808" s="255"/>
      <c r="Q808" s="255"/>
      <c r="R808" s="255"/>
      <c r="S808" s="255"/>
      <c r="T808" s="255"/>
      <c r="U808" s="255"/>
      <c r="V808" s="255"/>
      <c r="W808" s="255"/>
      <c r="X808" s="255"/>
      <c r="Y808" s="255"/>
      <c r="Z808" s="255"/>
      <c r="AA808" s="255"/>
      <c r="AB808" s="255"/>
    </row>
    <row r="809">
      <c r="A809" s="255"/>
      <c r="B809" s="255"/>
      <c r="C809" s="261"/>
      <c r="D809" s="262"/>
      <c r="E809" s="364"/>
      <c r="F809" s="364"/>
      <c r="G809" s="355"/>
      <c r="H809" s="255"/>
      <c r="I809" s="255"/>
      <c r="J809" s="255"/>
      <c r="K809" s="255"/>
      <c r="L809" s="255"/>
      <c r="M809" s="255"/>
      <c r="N809" s="255"/>
      <c r="O809" s="255"/>
      <c r="P809" s="255"/>
      <c r="Q809" s="255"/>
      <c r="R809" s="255"/>
      <c r="S809" s="255"/>
      <c r="T809" s="255"/>
      <c r="U809" s="255"/>
      <c r="V809" s="255"/>
      <c r="W809" s="255"/>
      <c r="X809" s="255"/>
      <c r="Y809" s="255"/>
      <c r="Z809" s="255"/>
      <c r="AA809" s="255"/>
      <c r="AB809" s="255"/>
    </row>
    <row r="810">
      <c r="A810" s="255"/>
      <c r="B810" s="255"/>
      <c r="C810" s="261"/>
      <c r="D810" s="262"/>
      <c r="E810" s="364"/>
      <c r="F810" s="364"/>
      <c r="G810" s="355"/>
      <c r="H810" s="255"/>
      <c r="I810" s="255"/>
      <c r="J810" s="255"/>
      <c r="K810" s="255"/>
      <c r="L810" s="255"/>
      <c r="M810" s="255"/>
      <c r="N810" s="255"/>
      <c r="O810" s="255"/>
      <c r="P810" s="255"/>
      <c r="Q810" s="255"/>
      <c r="R810" s="255"/>
      <c r="S810" s="255"/>
      <c r="T810" s="255"/>
      <c r="U810" s="255"/>
      <c r="V810" s="255"/>
      <c r="W810" s="255"/>
      <c r="X810" s="255"/>
      <c r="Y810" s="255"/>
      <c r="Z810" s="255"/>
      <c r="AA810" s="255"/>
      <c r="AB810" s="255"/>
    </row>
    <row r="811">
      <c r="A811" s="255"/>
      <c r="B811" s="255"/>
      <c r="C811" s="261"/>
      <c r="D811" s="262"/>
      <c r="E811" s="364"/>
      <c r="F811" s="364"/>
      <c r="G811" s="355"/>
      <c r="H811" s="255"/>
      <c r="I811" s="255"/>
      <c r="J811" s="255"/>
      <c r="K811" s="255"/>
      <c r="L811" s="255"/>
      <c r="M811" s="255"/>
      <c r="N811" s="255"/>
      <c r="O811" s="255"/>
      <c r="P811" s="255"/>
      <c r="Q811" s="255"/>
      <c r="R811" s="255"/>
      <c r="S811" s="255"/>
      <c r="T811" s="255"/>
      <c r="U811" s="255"/>
      <c r="V811" s="255"/>
      <c r="W811" s="255"/>
      <c r="X811" s="255"/>
      <c r="Y811" s="255"/>
      <c r="Z811" s="255"/>
      <c r="AA811" s="255"/>
      <c r="AB811" s="255"/>
    </row>
    <row r="812">
      <c r="A812" s="255"/>
      <c r="B812" s="255"/>
      <c r="C812" s="261"/>
      <c r="D812" s="262"/>
      <c r="E812" s="364"/>
      <c r="F812" s="364"/>
      <c r="G812" s="355"/>
      <c r="H812" s="255"/>
      <c r="I812" s="255"/>
      <c r="J812" s="255"/>
      <c r="K812" s="255"/>
      <c r="L812" s="255"/>
      <c r="M812" s="255"/>
      <c r="N812" s="255"/>
      <c r="O812" s="255"/>
      <c r="P812" s="255"/>
      <c r="Q812" s="255"/>
      <c r="R812" s="255"/>
      <c r="S812" s="255"/>
      <c r="T812" s="255"/>
      <c r="U812" s="255"/>
      <c r="V812" s="255"/>
      <c r="W812" s="255"/>
      <c r="X812" s="255"/>
      <c r="Y812" s="255"/>
      <c r="Z812" s="255"/>
      <c r="AA812" s="255"/>
      <c r="AB812" s="255"/>
    </row>
    <row r="813">
      <c r="A813" s="255"/>
      <c r="B813" s="255"/>
      <c r="C813" s="261"/>
      <c r="D813" s="262"/>
      <c r="E813" s="364"/>
      <c r="F813" s="364"/>
      <c r="G813" s="355"/>
      <c r="H813" s="255"/>
      <c r="I813" s="255"/>
      <c r="J813" s="255"/>
      <c r="K813" s="255"/>
      <c r="L813" s="255"/>
      <c r="M813" s="255"/>
      <c r="N813" s="255"/>
      <c r="O813" s="255"/>
      <c r="P813" s="255"/>
      <c r="Q813" s="255"/>
      <c r="R813" s="255"/>
      <c r="S813" s="255"/>
      <c r="T813" s="255"/>
      <c r="U813" s="255"/>
      <c r="V813" s="255"/>
      <c r="W813" s="255"/>
      <c r="X813" s="255"/>
      <c r="Y813" s="255"/>
      <c r="Z813" s="255"/>
      <c r="AA813" s="255"/>
      <c r="AB813" s="255"/>
    </row>
    <row r="814">
      <c r="A814" s="255"/>
      <c r="B814" s="255"/>
      <c r="C814" s="261"/>
      <c r="D814" s="262"/>
      <c r="E814" s="364"/>
      <c r="F814" s="364"/>
      <c r="G814" s="355"/>
      <c r="H814" s="255"/>
      <c r="I814" s="255"/>
      <c r="J814" s="255"/>
      <c r="K814" s="255"/>
      <c r="L814" s="255"/>
      <c r="M814" s="255"/>
      <c r="N814" s="255"/>
      <c r="O814" s="255"/>
      <c r="P814" s="255"/>
      <c r="Q814" s="255"/>
      <c r="R814" s="255"/>
      <c r="S814" s="255"/>
      <c r="T814" s="255"/>
      <c r="U814" s="255"/>
      <c r="V814" s="255"/>
      <c r="W814" s="255"/>
      <c r="X814" s="255"/>
      <c r="Y814" s="255"/>
      <c r="Z814" s="255"/>
      <c r="AA814" s="255"/>
      <c r="AB814" s="255"/>
    </row>
    <row r="815">
      <c r="A815" s="255"/>
      <c r="B815" s="255"/>
      <c r="C815" s="261"/>
      <c r="D815" s="262"/>
      <c r="E815" s="364"/>
      <c r="F815" s="364"/>
      <c r="G815" s="355"/>
      <c r="H815" s="255"/>
      <c r="I815" s="255"/>
      <c r="J815" s="255"/>
      <c r="K815" s="255"/>
      <c r="L815" s="255"/>
      <c r="M815" s="255"/>
      <c r="N815" s="255"/>
      <c r="O815" s="255"/>
      <c r="P815" s="255"/>
      <c r="Q815" s="255"/>
      <c r="R815" s="255"/>
      <c r="S815" s="255"/>
      <c r="T815" s="255"/>
      <c r="U815" s="255"/>
      <c r="V815" s="255"/>
      <c r="W815" s="255"/>
      <c r="X815" s="255"/>
      <c r="Y815" s="255"/>
      <c r="Z815" s="255"/>
      <c r="AA815" s="255"/>
      <c r="AB815" s="255"/>
    </row>
    <row r="816">
      <c r="A816" s="255"/>
      <c r="B816" s="255"/>
      <c r="C816" s="261"/>
      <c r="D816" s="262"/>
      <c r="E816" s="364"/>
      <c r="F816" s="364"/>
      <c r="G816" s="355"/>
      <c r="H816" s="255"/>
      <c r="I816" s="255"/>
      <c r="J816" s="255"/>
      <c r="K816" s="255"/>
      <c r="L816" s="255"/>
      <c r="M816" s="255"/>
      <c r="N816" s="255"/>
      <c r="O816" s="255"/>
      <c r="P816" s="255"/>
      <c r="Q816" s="255"/>
      <c r="R816" s="255"/>
      <c r="S816" s="255"/>
      <c r="T816" s="255"/>
      <c r="U816" s="255"/>
      <c r="V816" s="255"/>
      <c r="W816" s="255"/>
      <c r="X816" s="255"/>
      <c r="Y816" s="255"/>
      <c r="Z816" s="255"/>
      <c r="AA816" s="255"/>
      <c r="AB816" s="255"/>
    </row>
    <row r="817">
      <c r="A817" s="255"/>
      <c r="B817" s="255"/>
      <c r="C817" s="261"/>
      <c r="D817" s="262"/>
      <c r="E817" s="364"/>
      <c r="F817" s="364"/>
      <c r="G817" s="355"/>
      <c r="H817" s="255"/>
      <c r="I817" s="255"/>
      <c r="J817" s="255"/>
      <c r="K817" s="255"/>
      <c r="L817" s="255"/>
      <c r="M817" s="255"/>
      <c r="N817" s="255"/>
      <c r="O817" s="255"/>
      <c r="P817" s="255"/>
      <c r="Q817" s="255"/>
      <c r="R817" s="255"/>
      <c r="S817" s="255"/>
      <c r="T817" s="255"/>
      <c r="U817" s="255"/>
      <c r="V817" s="255"/>
      <c r="W817" s="255"/>
      <c r="X817" s="255"/>
      <c r="Y817" s="255"/>
      <c r="Z817" s="255"/>
      <c r="AA817" s="255"/>
      <c r="AB817" s="255"/>
    </row>
    <row r="818">
      <c r="A818" s="255"/>
      <c r="B818" s="255"/>
      <c r="C818" s="261"/>
      <c r="D818" s="262"/>
      <c r="E818" s="364"/>
      <c r="F818" s="364"/>
      <c r="G818" s="355"/>
      <c r="H818" s="255"/>
      <c r="I818" s="255"/>
      <c r="J818" s="255"/>
      <c r="K818" s="255"/>
      <c r="L818" s="255"/>
      <c r="M818" s="255"/>
      <c r="N818" s="255"/>
      <c r="O818" s="255"/>
      <c r="P818" s="255"/>
      <c r="Q818" s="255"/>
      <c r="R818" s="255"/>
      <c r="S818" s="255"/>
      <c r="T818" s="255"/>
      <c r="U818" s="255"/>
      <c r="V818" s="255"/>
      <c r="W818" s="255"/>
      <c r="X818" s="255"/>
      <c r="Y818" s="255"/>
      <c r="Z818" s="255"/>
      <c r="AA818" s="255"/>
      <c r="AB818" s="255"/>
    </row>
    <row r="819">
      <c r="A819" s="255"/>
      <c r="B819" s="255"/>
      <c r="C819" s="261"/>
      <c r="D819" s="262"/>
      <c r="E819" s="364"/>
      <c r="F819" s="364"/>
      <c r="G819" s="355"/>
      <c r="H819" s="255"/>
      <c r="I819" s="255"/>
      <c r="J819" s="255"/>
      <c r="K819" s="255"/>
      <c r="L819" s="255"/>
      <c r="M819" s="255"/>
      <c r="N819" s="255"/>
      <c r="O819" s="255"/>
      <c r="P819" s="255"/>
      <c r="Q819" s="255"/>
      <c r="R819" s="255"/>
      <c r="S819" s="255"/>
      <c r="T819" s="255"/>
      <c r="U819" s="255"/>
      <c r="V819" s="255"/>
      <c r="W819" s="255"/>
      <c r="X819" s="255"/>
      <c r="Y819" s="255"/>
      <c r="Z819" s="255"/>
      <c r="AA819" s="255"/>
      <c r="AB819" s="255"/>
    </row>
    <row r="820">
      <c r="A820" s="255"/>
      <c r="B820" s="255"/>
      <c r="C820" s="261"/>
      <c r="D820" s="262"/>
      <c r="E820" s="364"/>
      <c r="F820" s="364"/>
      <c r="G820" s="355"/>
      <c r="H820" s="255"/>
      <c r="I820" s="255"/>
      <c r="J820" s="255"/>
      <c r="K820" s="255"/>
      <c r="L820" s="255"/>
      <c r="M820" s="255"/>
      <c r="N820" s="255"/>
      <c r="O820" s="255"/>
      <c r="P820" s="255"/>
      <c r="Q820" s="255"/>
      <c r="R820" s="255"/>
      <c r="S820" s="255"/>
      <c r="T820" s="255"/>
      <c r="U820" s="255"/>
      <c r="V820" s="255"/>
      <c r="W820" s="255"/>
      <c r="X820" s="255"/>
      <c r="Y820" s="255"/>
      <c r="Z820" s="255"/>
      <c r="AA820" s="255"/>
      <c r="AB820" s="255"/>
    </row>
    <row r="821">
      <c r="A821" s="255"/>
      <c r="B821" s="255"/>
      <c r="C821" s="261"/>
      <c r="D821" s="262"/>
      <c r="E821" s="364"/>
      <c r="F821" s="364"/>
      <c r="G821" s="355"/>
      <c r="H821" s="255"/>
      <c r="I821" s="255"/>
      <c r="J821" s="255"/>
      <c r="K821" s="255"/>
      <c r="L821" s="255"/>
      <c r="M821" s="255"/>
      <c r="N821" s="255"/>
      <c r="O821" s="255"/>
      <c r="P821" s="255"/>
      <c r="Q821" s="255"/>
      <c r="R821" s="255"/>
      <c r="S821" s="255"/>
      <c r="T821" s="255"/>
      <c r="U821" s="255"/>
      <c r="V821" s="255"/>
      <c r="W821" s="255"/>
      <c r="X821" s="255"/>
      <c r="Y821" s="255"/>
      <c r="Z821" s="255"/>
      <c r="AA821" s="255"/>
      <c r="AB821" s="255"/>
    </row>
    <row r="822">
      <c r="A822" s="255"/>
      <c r="B822" s="255"/>
      <c r="C822" s="261"/>
      <c r="D822" s="262"/>
      <c r="E822" s="364"/>
      <c r="F822" s="364"/>
      <c r="G822" s="355"/>
      <c r="H822" s="255"/>
      <c r="I822" s="255"/>
      <c r="J822" s="255"/>
      <c r="K822" s="255"/>
      <c r="L822" s="255"/>
      <c r="M822" s="255"/>
      <c r="N822" s="255"/>
      <c r="O822" s="255"/>
      <c r="P822" s="255"/>
      <c r="Q822" s="255"/>
      <c r="R822" s="255"/>
      <c r="S822" s="255"/>
      <c r="T822" s="255"/>
      <c r="U822" s="255"/>
      <c r="V822" s="255"/>
      <c r="W822" s="255"/>
      <c r="X822" s="255"/>
      <c r="Y822" s="255"/>
      <c r="Z822" s="255"/>
      <c r="AA822" s="255"/>
      <c r="AB822" s="255"/>
    </row>
    <row r="823">
      <c r="A823" s="255"/>
      <c r="B823" s="255"/>
      <c r="C823" s="261"/>
      <c r="D823" s="262"/>
      <c r="E823" s="364"/>
      <c r="F823" s="364"/>
      <c r="G823" s="355"/>
      <c r="H823" s="255"/>
      <c r="I823" s="255"/>
      <c r="J823" s="255"/>
      <c r="K823" s="255"/>
      <c r="L823" s="255"/>
      <c r="M823" s="255"/>
      <c r="N823" s="255"/>
      <c r="O823" s="255"/>
      <c r="P823" s="255"/>
      <c r="Q823" s="255"/>
      <c r="R823" s="255"/>
      <c r="S823" s="255"/>
      <c r="T823" s="255"/>
      <c r="U823" s="255"/>
      <c r="V823" s="255"/>
      <c r="W823" s="255"/>
      <c r="X823" s="255"/>
      <c r="Y823" s="255"/>
      <c r="Z823" s="255"/>
      <c r="AA823" s="255"/>
      <c r="AB823" s="255"/>
    </row>
    <row r="824">
      <c r="A824" s="255"/>
      <c r="B824" s="255"/>
      <c r="C824" s="261"/>
      <c r="D824" s="262"/>
      <c r="E824" s="364"/>
      <c r="F824" s="364"/>
      <c r="G824" s="355"/>
      <c r="H824" s="255"/>
      <c r="I824" s="255"/>
      <c r="J824" s="255"/>
      <c r="K824" s="255"/>
      <c r="L824" s="255"/>
      <c r="M824" s="255"/>
      <c r="N824" s="255"/>
      <c r="O824" s="255"/>
      <c r="P824" s="255"/>
      <c r="Q824" s="255"/>
      <c r="R824" s="255"/>
      <c r="S824" s="255"/>
      <c r="T824" s="255"/>
      <c r="U824" s="255"/>
      <c r="V824" s="255"/>
      <c r="W824" s="255"/>
      <c r="X824" s="255"/>
      <c r="Y824" s="255"/>
      <c r="Z824" s="255"/>
      <c r="AA824" s="255"/>
      <c r="AB824" s="255"/>
    </row>
    <row r="825">
      <c r="A825" s="255"/>
      <c r="B825" s="255"/>
      <c r="C825" s="261"/>
      <c r="D825" s="262"/>
      <c r="E825" s="364"/>
      <c r="F825" s="364"/>
      <c r="G825" s="355"/>
      <c r="H825" s="255"/>
      <c r="I825" s="255"/>
      <c r="J825" s="255"/>
      <c r="K825" s="255"/>
      <c r="L825" s="255"/>
      <c r="M825" s="255"/>
      <c r="N825" s="255"/>
      <c r="O825" s="255"/>
      <c r="P825" s="255"/>
      <c r="Q825" s="255"/>
      <c r="R825" s="255"/>
      <c r="S825" s="255"/>
      <c r="T825" s="255"/>
      <c r="U825" s="255"/>
      <c r="V825" s="255"/>
      <c r="W825" s="255"/>
      <c r="X825" s="255"/>
      <c r="Y825" s="255"/>
      <c r="Z825" s="255"/>
      <c r="AA825" s="255"/>
      <c r="AB825" s="255"/>
    </row>
    <row r="826">
      <c r="A826" s="255"/>
      <c r="B826" s="255"/>
      <c r="C826" s="261"/>
      <c r="D826" s="262"/>
      <c r="E826" s="364"/>
      <c r="F826" s="364"/>
      <c r="G826" s="355"/>
      <c r="H826" s="255"/>
      <c r="I826" s="255"/>
      <c r="J826" s="255"/>
      <c r="K826" s="255"/>
      <c r="L826" s="255"/>
      <c r="M826" s="255"/>
      <c r="N826" s="255"/>
      <c r="O826" s="255"/>
      <c r="P826" s="255"/>
      <c r="Q826" s="255"/>
      <c r="R826" s="255"/>
      <c r="S826" s="255"/>
      <c r="T826" s="255"/>
      <c r="U826" s="255"/>
      <c r="V826" s="255"/>
      <c r="W826" s="255"/>
      <c r="X826" s="255"/>
      <c r="Y826" s="255"/>
      <c r="Z826" s="255"/>
      <c r="AA826" s="255"/>
      <c r="AB826" s="255"/>
    </row>
    <row r="827">
      <c r="A827" s="255"/>
      <c r="B827" s="255"/>
      <c r="C827" s="261"/>
      <c r="D827" s="262"/>
      <c r="E827" s="364"/>
      <c r="F827" s="364"/>
      <c r="G827" s="355"/>
      <c r="H827" s="255"/>
      <c r="I827" s="255"/>
      <c r="J827" s="255"/>
      <c r="K827" s="255"/>
      <c r="L827" s="255"/>
      <c r="M827" s="255"/>
      <c r="N827" s="255"/>
      <c r="O827" s="255"/>
      <c r="P827" s="255"/>
      <c r="Q827" s="255"/>
      <c r="R827" s="255"/>
      <c r="S827" s="255"/>
      <c r="T827" s="255"/>
      <c r="U827" s="255"/>
      <c r="V827" s="255"/>
      <c r="W827" s="255"/>
      <c r="X827" s="255"/>
      <c r="Y827" s="255"/>
      <c r="Z827" s="255"/>
      <c r="AA827" s="255"/>
      <c r="AB827" s="255"/>
    </row>
    <row r="828">
      <c r="A828" s="255"/>
      <c r="B828" s="255"/>
      <c r="C828" s="261"/>
      <c r="D828" s="262"/>
      <c r="E828" s="364"/>
      <c r="F828" s="364"/>
      <c r="G828" s="355"/>
      <c r="H828" s="255"/>
      <c r="I828" s="255"/>
      <c r="J828" s="255"/>
      <c r="K828" s="255"/>
      <c r="L828" s="255"/>
      <c r="M828" s="255"/>
      <c r="N828" s="255"/>
      <c r="O828" s="255"/>
      <c r="P828" s="255"/>
      <c r="Q828" s="255"/>
      <c r="R828" s="255"/>
      <c r="S828" s="255"/>
      <c r="T828" s="255"/>
      <c r="U828" s="255"/>
      <c r="V828" s="255"/>
      <c r="W828" s="255"/>
      <c r="X828" s="255"/>
      <c r="Y828" s="255"/>
      <c r="Z828" s="255"/>
      <c r="AA828" s="255"/>
      <c r="AB828" s="255"/>
    </row>
    <row r="829">
      <c r="A829" s="255"/>
      <c r="B829" s="255"/>
      <c r="C829" s="261"/>
      <c r="D829" s="262"/>
      <c r="E829" s="364"/>
      <c r="F829" s="364"/>
      <c r="G829" s="355"/>
      <c r="H829" s="255"/>
      <c r="I829" s="255"/>
      <c r="J829" s="255"/>
      <c r="K829" s="255"/>
      <c r="L829" s="255"/>
      <c r="M829" s="255"/>
      <c r="N829" s="255"/>
      <c r="O829" s="255"/>
      <c r="P829" s="255"/>
      <c r="Q829" s="255"/>
      <c r="R829" s="255"/>
      <c r="S829" s="255"/>
      <c r="T829" s="255"/>
      <c r="U829" s="255"/>
      <c r="V829" s="255"/>
      <c r="W829" s="255"/>
      <c r="X829" s="255"/>
      <c r="Y829" s="255"/>
      <c r="Z829" s="255"/>
      <c r="AA829" s="255"/>
      <c r="AB829" s="255"/>
    </row>
    <row r="830">
      <c r="A830" s="255"/>
      <c r="B830" s="255"/>
      <c r="C830" s="261"/>
      <c r="D830" s="262"/>
      <c r="E830" s="364"/>
      <c r="F830" s="364"/>
      <c r="G830" s="355"/>
      <c r="H830" s="255"/>
      <c r="I830" s="255"/>
      <c r="J830" s="255"/>
      <c r="K830" s="255"/>
      <c r="L830" s="255"/>
      <c r="M830" s="255"/>
      <c r="N830" s="255"/>
      <c r="O830" s="255"/>
      <c r="P830" s="255"/>
      <c r="Q830" s="255"/>
      <c r="R830" s="255"/>
      <c r="S830" s="255"/>
      <c r="T830" s="255"/>
      <c r="U830" s="255"/>
      <c r="V830" s="255"/>
      <c r="W830" s="255"/>
      <c r="X830" s="255"/>
      <c r="Y830" s="255"/>
      <c r="Z830" s="255"/>
      <c r="AA830" s="255"/>
      <c r="AB830" s="255"/>
    </row>
    <row r="831">
      <c r="A831" s="255"/>
      <c r="B831" s="255"/>
      <c r="C831" s="261"/>
      <c r="D831" s="262"/>
      <c r="E831" s="364"/>
      <c r="F831" s="364"/>
      <c r="G831" s="355"/>
      <c r="H831" s="255"/>
      <c r="I831" s="255"/>
      <c r="J831" s="255"/>
      <c r="K831" s="255"/>
      <c r="L831" s="255"/>
      <c r="M831" s="255"/>
      <c r="N831" s="255"/>
      <c r="O831" s="255"/>
      <c r="P831" s="255"/>
      <c r="Q831" s="255"/>
      <c r="R831" s="255"/>
      <c r="S831" s="255"/>
      <c r="T831" s="255"/>
      <c r="U831" s="255"/>
      <c r="V831" s="255"/>
      <c r="W831" s="255"/>
      <c r="X831" s="255"/>
      <c r="Y831" s="255"/>
      <c r="Z831" s="255"/>
      <c r="AA831" s="255"/>
      <c r="AB831" s="255"/>
    </row>
    <row r="832">
      <c r="A832" s="255"/>
      <c r="B832" s="255"/>
      <c r="C832" s="261"/>
      <c r="D832" s="262"/>
      <c r="E832" s="364"/>
      <c r="F832" s="364"/>
      <c r="G832" s="355"/>
      <c r="H832" s="255"/>
      <c r="I832" s="255"/>
      <c r="J832" s="255"/>
      <c r="K832" s="255"/>
      <c r="L832" s="255"/>
      <c r="M832" s="255"/>
      <c r="N832" s="255"/>
      <c r="O832" s="255"/>
      <c r="P832" s="255"/>
      <c r="Q832" s="255"/>
      <c r="R832" s="255"/>
      <c r="S832" s="255"/>
      <c r="T832" s="255"/>
      <c r="U832" s="255"/>
      <c r="V832" s="255"/>
      <c r="W832" s="255"/>
      <c r="X832" s="255"/>
      <c r="Y832" s="255"/>
      <c r="Z832" s="255"/>
      <c r="AA832" s="255"/>
      <c r="AB832" s="255"/>
    </row>
    <row r="833">
      <c r="A833" s="255"/>
      <c r="B833" s="255"/>
      <c r="C833" s="261"/>
      <c r="D833" s="262"/>
      <c r="E833" s="364"/>
      <c r="F833" s="364"/>
      <c r="G833" s="355"/>
      <c r="H833" s="255"/>
      <c r="I833" s="255"/>
      <c r="J833" s="255"/>
      <c r="K833" s="255"/>
      <c r="L833" s="255"/>
      <c r="M833" s="255"/>
      <c r="N833" s="255"/>
      <c r="O833" s="255"/>
      <c r="P833" s="255"/>
      <c r="Q833" s="255"/>
      <c r="R833" s="255"/>
      <c r="S833" s="255"/>
      <c r="T833" s="255"/>
      <c r="U833" s="255"/>
      <c r="V833" s="255"/>
      <c r="W833" s="255"/>
      <c r="X833" s="255"/>
      <c r="Y833" s="255"/>
      <c r="Z833" s="255"/>
      <c r="AA833" s="255"/>
      <c r="AB833" s="255"/>
    </row>
    <row r="834">
      <c r="A834" s="255"/>
      <c r="B834" s="255"/>
      <c r="C834" s="261"/>
      <c r="D834" s="262"/>
      <c r="E834" s="364"/>
      <c r="F834" s="364"/>
      <c r="G834" s="355"/>
      <c r="H834" s="255"/>
      <c r="I834" s="255"/>
      <c r="J834" s="255"/>
      <c r="K834" s="255"/>
      <c r="L834" s="255"/>
      <c r="M834" s="255"/>
      <c r="N834" s="255"/>
      <c r="O834" s="255"/>
      <c r="P834" s="255"/>
      <c r="Q834" s="255"/>
      <c r="R834" s="255"/>
      <c r="S834" s="255"/>
      <c r="T834" s="255"/>
      <c r="U834" s="255"/>
      <c r="V834" s="255"/>
      <c r="W834" s="255"/>
      <c r="X834" s="255"/>
      <c r="Y834" s="255"/>
      <c r="Z834" s="255"/>
      <c r="AA834" s="255"/>
      <c r="AB834" s="255"/>
    </row>
    <row r="835">
      <c r="A835" s="255"/>
      <c r="B835" s="255"/>
      <c r="C835" s="261"/>
      <c r="D835" s="262"/>
      <c r="E835" s="364"/>
      <c r="F835" s="364"/>
      <c r="G835" s="355"/>
      <c r="H835" s="255"/>
      <c r="I835" s="255"/>
      <c r="J835" s="255"/>
      <c r="K835" s="255"/>
      <c r="L835" s="255"/>
      <c r="M835" s="255"/>
      <c r="N835" s="255"/>
      <c r="O835" s="255"/>
      <c r="P835" s="255"/>
      <c r="Q835" s="255"/>
      <c r="R835" s="255"/>
      <c r="S835" s="255"/>
      <c r="T835" s="255"/>
      <c r="U835" s="255"/>
      <c r="V835" s="255"/>
      <c r="W835" s="255"/>
      <c r="X835" s="255"/>
      <c r="Y835" s="255"/>
      <c r="Z835" s="255"/>
      <c r="AA835" s="255"/>
      <c r="AB835" s="255"/>
    </row>
    <row r="836">
      <c r="A836" s="255"/>
      <c r="B836" s="255"/>
      <c r="C836" s="261"/>
      <c r="D836" s="262"/>
      <c r="E836" s="364"/>
      <c r="F836" s="364"/>
      <c r="G836" s="355"/>
      <c r="H836" s="255"/>
      <c r="I836" s="255"/>
      <c r="J836" s="255"/>
      <c r="K836" s="255"/>
      <c r="L836" s="255"/>
      <c r="M836" s="255"/>
      <c r="N836" s="255"/>
      <c r="O836" s="255"/>
      <c r="P836" s="255"/>
      <c r="Q836" s="255"/>
      <c r="R836" s="255"/>
      <c r="S836" s="255"/>
      <c r="T836" s="255"/>
      <c r="U836" s="255"/>
      <c r="V836" s="255"/>
      <c r="W836" s="255"/>
      <c r="X836" s="255"/>
      <c r="Y836" s="255"/>
      <c r="Z836" s="255"/>
      <c r="AA836" s="255"/>
      <c r="AB836" s="255"/>
    </row>
    <row r="837">
      <c r="A837" s="255"/>
      <c r="B837" s="255"/>
      <c r="C837" s="261"/>
      <c r="D837" s="262"/>
      <c r="E837" s="364"/>
      <c r="F837" s="364"/>
      <c r="G837" s="355"/>
      <c r="H837" s="255"/>
      <c r="I837" s="255"/>
      <c r="J837" s="255"/>
      <c r="K837" s="255"/>
      <c r="L837" s="255"/>
      <c r="M837" s="255"/>
      <c r="N837" s="255"/>
      <c r="O837" s="255"/>
      <c r="P837" s="255"/>
      <c r="Q837" s="255"/>
      <c r="R837" s="255"/>
      <c r="S837" s="255"/>
      <c r="T837" s="255"/>
      <c r="U837" s="255"/>
      <c r="V837" s="255"/>
      <c r="W837" s="255"/>
      <c r="X837" s="255"/>
      <c r="Y837" s="255"/>
      <c r="Z837" s="255"/>
      <c r="AA837" s="255"/>
      <c r="AB837" s="255"/>
    </row>
    <row r="838">
      <c r="A838" s="255"/>
      <c r="B838" s="255"/>
      <c r="C838" s="261"/>
      <c r="D838" s="262"/>
      <c r="E838" s="364"/>
      <c r="F838" s="364"/>
      <c r="G838" s="355"/>
      <c r="H838" s="255"/>
      <c r="I838" s="255"/>
      <c r="J838" s="255"/>
      <c r="K838" s="255"/>
      <c r="L838" s="255"/>
      <c r="M838" s="255"/>
      <c r="N838" s="255"/>
      <c r="O838" s="255"/>
      <c r="P838" s="255"/>
      <c r="Q838" s="255"/>
      <c r="R838" s="255"/>
      <c r="S838" s="255"/>
      <c r="T838" s="255"/>
      <c r="U838" s="255"/>
      <c r="V838" s="255"/>
      <c r="W838" s="255"/>
      <c r="X838" s="255"/>
      <c r="Y838" s="255"/>
      <c r="Z838" s="255"/>
      <c r="AA838" s="255"/>
      <c r="AB838" s="255"/>
    </row>
    <row r="839">
      <c r="A839" s="255"/>
      <c r="B839" s="255"/>
      <c r="C839" s="261"/>
      <c r="D839" s="262"/>
      <c r="E839" s="364"/>
      <c r="F839" s="364"/>
      <c r="G839" s="355"/>
      <c r="H839" s="255"/>
      <c r="I839" s="255"/>
      <c r="J839" s="255"/>
      <c r="K839" s="255"/>
      <c r="L839" s="255"/>
      <c r="M839" s="255"/>
      <c r="N839" s="255"/>
      <c r="O839" s="255"/>
      <c r="P839" s="255"/>
      <c r="Q839" s="255"/>
      <c r="R839" s="255"/>
      <c r="S839" s="255"/>
      <c r="T839" s="255"/>
      <c r="U839" s="255"/>
      <c r="V839" s="255"/>
      <c r="W839" s="255"/>
      <c r="X839" s="255"/>
      <c r="Y839" s="255"/>
      <c r="Z839" s="255"/>
      <c r="AA839" s="255"/>
      <c r="AB839" s="255"/>
    </row>
    <row r="840">
      <c r="A840" s="255"/>
      <c r="B840" s="255"/>
      <c r="C840" s="261"/>
      <c r="D840" s="262"/>
      <c r="E840" s="364"/>
      <c r="F840" s="364"/>
      <c r="G840" s="355"/>
      <c r="H840" s="255"/>
      <c r="I840" s="255"/>
      <c r="J840" s="255"/>
      <c r="K840" s="255"/>
      <c r="L840" s="255"/>
      <c r="M840" s="255"/>
      <c r="N840" s="255"/>
      <c r="O840" s="255"/>
      <c r="P840" s="255"/>
      <c r="Q840" s="255"/>
      <c r="R840" s="255"/>
      <c r="S840" s="255"/>
      <c r="T840" s="255"/>
      <c r="U840" s="255"/>
      <c r="V840" s="255"/>
      <c r="W840" s="255"/>
      <c r="X840" s="255"/>
      <c r="Y840" s="255"/>
      <c r="Z840" s="255"/>
      <c r="AA840" s="255"/>
      <c r="AB840" s="255"/>
    </row>
    <row r="841">
      <c r="A841" s="255"/>
      <c r="B841" s="255"/>
      <c r="C841" s="261"/>
      <c r="D841" s="262"/>
      <c r="E841" s="364"/>
      <c r="F841" s="364"/>
      <c r="G841" s="355"/>
      <c r="H841" s="255"/>
      <c r="I841" s="255"/>
      <c r="J841" s="255"/>
      <c r="K841" s="255"/>
      <c r="L841" s="255"/>
      <c r="M841" s="255"/>
      <c r="N841" s="255"/>
      <c r="O841" s="255"/>
      <c r="P841" s="255"/>
      <c r="Q841" s="255"/>
      <c r="R841" s="255"/>
      <c r="S841" s="255"/>
      <c r="T841" s="255"/>
      <c r="U841" s="255"/>
      <c r="V841" s="255"/>
      <c r="W841" s="255"/>
      <c r="X841" s="255"/>
      <c r="Y841" s="255"/>
      <c r="Z841" s="255"/>
      <c r="AA841" s="255"/>
      <c r="AB841" s="255"/>
    </row>
    <row r="842">
      <c r="A842" s="255"/>
      <c r="B842" s="255"/>
      <c r="C842" s="261"/>
      <c r="D842" s="262"/>
      <c r="E842" s="364"/>
      <c r="F842" s="364"/>
      <c r="G842" s="355"/>
      <c r="H842" s="255"/>
      <c r="I842" s="255"/>
      <c r="J842" s="255"/>
      <c r="K842" s="255"/>
      <c r="L842" s="255"/>
      <c r="M842" s="255"/>
      <c r="N842" s="255"/>
      <c r="O842" s="255"/>
      <c r="P842" s="255"/>
      <c r="Q842" s="255"/>
      <c r="R842" s="255"/>
      <c r="S842" s="255"/>
      <c r="T842" s="255"/>
      <c r="U842" s="255"/>
      <c r="V842" s="255"/>
      <c r="W842" s="255"/>
      <c r="X842" s="255"/>
      <c r="Y842" s="255"/>
      <c r="Z842" s="255"/>
      <c r="AA842" s="255"/>
      <c r="AB842" s="255"/>
    </row>
    <row r="843">
      <c r="A843" s="255"/>
      <c r="B843" s="255"/>
      <c r="C843" s="261"/>
      <c r="D843" s="262"/>
      <c r="E843" s="364"/>
      <c r="F843" s="364"/>
      <c r="G843" s="355"/>
      <c r="H843" s="255"/>
      <c r="I843" s="255"/>
      <c r="J843" s="255"/>
      <c r="K843" s="255"/>
      <c r="L843" s="255"/>
      <c r="M843" s="255"/>
      <c r="N843" s="255"/>
      <c r="O843" s="255"/>
      <c r="P843" s="255"/>
      <c r="Q843" s="255"/>
      <c r="R843" s="255"/>
      <c r="S843" s="255"/>
      <c r="T843" s="255"/>
      <c r="U843" s="255"/>
      <c r="V843" s="255"/>
      <c r="W843" s="255"/>
      <c r="X843" s="255"/>
      <c r="Y843" s="255"/>
      <c r="Z843" s="255"/>
      <c r="AA843" s="255"/>
      <c r="AB843" s="255"/>
    </row>
    <row r="844">
      <c r="A844" s="255"/>
      <c r="B844" s="255"/>
      <c r="C844" s="261"/>
      <c r="D844" s="262"/>
      <c r="E844" s="364"/>
      <c r="F844" s="364"/>
      <c r="G844" s="355"/>
      <c r="H844" s="255"/>
      <c r="I844" s="255"/>
      <c r="J844" s="255"/>
      <c r="K844" s="255"/>
      <c r="L844" s="255"/>
      <c r="M844" s="255"/>
      <c r="N844" s="255"/>
      <c r="O844" s="255"/>
      <c r="P844" s="255"/>
      <c r="Q844" s="255"/>
      <c r="R844" s="255"/>
      <c r="S844" s="255"/>
      <c r="T844" s="255"/>
      <c r="U844" s="255"/>
      <c r="V844" s="255"/>
      <c r="W844" s="255"/>
      <c r="X844" s="255"/>
      <c r="Y844" s="255"/>
      <c r="Z844" s="255"/>
      <c r="AA844" s="255"/>
      <c r="AB844" s="255"/>
    </row>
    <row r="845">
      <c r="A845" s="255"/>
      <c r="B845" s="255"/>
      <c r="C845" s="261"/>
      <c r="D845" s="262"/>
      <c r="E845" s="364"/>
      <c r="F845" s="364"/>
      <c r="G845" s="355"/>
      <c r="H845" s="255"/>
      <c r="I845" s="255"/>
      <c r="J845" s="255"/>
      <c r="K845" s="255"/>
      <c r="L845" s="255"/>
      <c r="M845" s="255"/>
      <c r="N845" s="255"/>
      <c r="O845" s="255"/>
      <c r="P845" s="255"/>
      <c r="Q845" s="255"/>
      <c r="R845" s="255"/>
      <c r="S845" s="255"/>
      <c r="T845" s="255"/>
      <c r="U845" s="255"/>
      <c r="V845" s="255"/>
      <c r="W845" s="255"/>
      <c r="X845" s="255"/>
      <c r="Y845" s="255"/>
      <c r="Z845" s="255"/>
      <c r="AA845" s="255"/>
      <c r="AB845" s="255"/>
    </row>
    <row r="846">
      <c r="A846" s="255"/>
      <c r="B846" s="255"/>
      <c r="C846" s="261"/>
      <c r="D846" s="262"/>
      <c r="E846" s="364"/>
      <c r="F846" s="364"/>
      <c r="G846" s="355"/>
      <c r="H846" s="255"/>
      <c r="I846" s="255"/>
      <c r="J846" s="255"/>
      <c r="K846" s="255"/>
      <c r="L846" s="255"/>
      <c r="M846" s="255"/>
      <c r="N846" s="255"/>
      <c r="O846" s="255"/>
      <c r="P846" s="255"/>
      <c r="Q846" s="255"/>
      <c r="R846" s="255"/>
      <c r="S846" s="255"/>
      <c r="T846" s="255"/>
      <c r="U846" s="255"/>
      <c r="V846" s="255"/>
      <c r="W846" s="255"/>
      <c r="X846" s="255"/>
      <c r="Y846" s="255"/>
      <c r="Z846" s="255"/>
      <c r="AA846" s="255"/>
      <c r="AB846" s="255"/>
    </row>
    <row r="847">
      <c r="A847" s="255"/>
      <c r="B847" s="255"/>
      <c r="C847" s="261"/>
      <c r="D847" s="262"/>
      <c r="E847" s="364"/>
      <c r="F847" s="364"/>
      <c r="G847" s="355"/>
      <c r="H847" s="255"/>
      <c r="I847" s="255"/>
      <c r="J847" s="255"/>
      <c r="K847" s="255"/>
      <c r="L847" s="255"/>
      <c r="M847" s="255"/>
      <c r="N847" s="255"/>
      <c r="O847" s="255"/>
      <c r="P847" s="255"/>
      <c r="Q847" s="255"/>
      <c r="R847" s="255"/>
      <c r="S847" s="255"/>
      <c r="T847" s="255"/>
      <c r="U847" s="255"/>
      <c r="V847" s="255"/>
      <c r="W847" s="255"/>
      <c r="X847" s="255"/>
      <c r="Y847" s="255"/>
      <c r="Z847" s="255"/>
      <c r="AA847" s="255"/>
      <c r="AB847" s="255"/>
    </row>
    <row r="848">
      <c r="A848" s="255"/>
      <c r="B848" s="255"/>
      <c r="C848" s="261"/>
      <c r="D848" s="262"/>
      <c r="E848" s="364"/>
      <c r="F848" s="364"/>
      <c r="G848" s="355"/>
      <c r="H848" s="255"/>
      <c r="I848" s="255"/>
      <c r="J848" s="255"/>
      <c r="K848" s="255"/>
      <c r="L848" s="255"/>
      <c r="M848" s="255"/>
      <c r="N848" s="255"/>
      <c r="O848" s="255"/>
      <c r="P848" s="255"/>
      <c r="Q848" s="255"/>
      <c r="R848" s="255"/>
      <c r="S848" s="255"/>
      <c r="T848" s="255"/>
      <c r="U848" s="255"/>
      <c r="V848" s="255"/>
      <c r="W848" s="255"/>
      <c r="X848" s="255"/>
      <c r="Y848" s="255"/>
      <c r="Z848" s="255"/>
      <c r="AA848" s="255"/>
      <c r="AB848" s="255"/>
    </row>
    <row r="849">
      <c r="A849" s="255"/>
      <c r="B849" s="255"/>
      <c r="C849" s="261"/>
      <c r="D849" s="262"/>
      <c r="E849" s="364"/>
      <c r="F849" s="364"/>
      <c r="G849" s="355"/>
      <c r="H849" s="255"/>
      <c r="I849" s="255"/>
      <c r="J849" s="255"/>
      <c r="K849" s="255"/>
      <c r="L849" s="255"/>
      <c r="M849" s="255"/>
      <c r="N849" s="255"/>
      <c r="O849" s="255"/>
      <c r="P849" s="255"/>
      <c r="Q849" s="255"/>
      <c r="R849" s="255"/>
      <c r="S849" s="255"/>
      <c r="T849" s="255"/>
      <c r="U849" s="255"/>
      <c r="V849" s="255"/>
      <c r="W849" s="255"/>
      <c r="X849" s="255"/>
      <c r="Y849" s="255"/>
      <c r="Z849" s="255"/>
      <c r="AA849" s="255"/>
      <c r="AB849" s="255"/>
    </row>
    <row r="850">
      <c r="A850" s="255"/>
      <c r="B850" s="255"/>
      <c r="C850" s="261"/>
      <c r="D850" s="262"/>
      <c r="E850" s="364"/>
      <c r="F850" s="364"/>
      <c r="G850" s="355"/>
      <c r="H850" s="255"/>
      <c r="I850" s="255"/>
      <c r="J850" s="255"/>
      <c r="K850" s="255"/>
      <c r="L850" s="255"/>
      <c r="M850" s="255"/>
      <c r="N850" s="255"/>
      <c r="O850" s="255"/>
      <c r="P850" s="255"/>
      <c r="Q850" s="255"/>
      <c r="R850" s="255"/>
      <c r="S850" s="255"/>
      <c r="T850" s="255"/>
      <c r="U850" s="255"/>
      <c r="V850" s="255"/>
      <c r="W850" s="255"/>
      <c r="X850" s="255"/>
      <c r="Y850" s="255"/>
      <c r="Z850" s="255"/>
      <c r="AA850" s="255"/>
      <c r="AB850" s="255"/>
    </row>
    <row r="851">
      <c r="A851" s="255"/>
      <c r="B851" s="255"/>
      <c r="C851" s="261"/>
      <c r="D851" s="262"/>
      <c r="E851" s="364"/>
      <c r="F851" s="364"/>
      <c r="G851" s="355"/>
      <c r="H851" s="255"/>
      <c r="I851" s="255"/>
      <c r="J851" s="255"/>
      <c r="K851" s="255"/>
      <c r="L851" s="255"/>
      <c r="M851" s="255"/>
      <c r="N851" s="255"/>
      <c r="O851" s="255"/>
      <c r="P851" s="255"/>
      <c r="Q851" s="255"/>
      <c r="R851" s="255"/>
      <c r="S851" s="255"/>
      <c r="T851" s="255"/>
      <c r="U851" s="255"/>
      <c r="V851" s="255"/>
      <c r="W851" s="255"/>
      <c r="X851" s="255"/>
      <c r="Y851" s="255"/>
      <c r="Z851" s="255"/>
      <c r="AA851" s="255"/>
      <c r="AB851" s="255"/>
    </row>
    <row r="852">
      <c r="A852" s="255"/>
      <c r="B852" s="255"/>
      <c r="C852" s="261"/>
      <c r="D852" s="262"/>
      <c r="E852" s="364"/>
      <c r="F852" s="364"/>
      <c r="G852" s="355"/>
      <c r="H852" s="255"/>
      <c r="I852" s="255"/>
      <c r="J852" s="255"/>
      <c r="K852" s="255"/>
      <c r="L852" s="255"/>
      <c r="M852" s="255"/>
      <c r="N852" s="255"/>
      <c r="O852" s="255"/>
      <c r="P852" s="255"/>
      <c r="Q852" s="255"/>
      <c r="R852" s="255"/>
      <c r="S852" s="255"/>
      <c r="T852" s="255"/>
      <c r="U852" s="255"/>
      <c r="V852" s="255"/>
      <c r="W852" s="255"/>
      <c r="X852" s="255"/>
      <c r="Y852" s="255"/>
      <c r="Z852" s="255"/>
      <c r="AA852" s="255"/>
      <c r="AB852" s="255"/>
    </row>
    <row r="853">
      <c r="A853" s="255"/>
      <c r="B853" s="255"/>
      <c r="C853" s="261"/>
      <c r="D853" s="262"/>
      <c r="E853" s="364"/>
      <c r="F853" s="364"/>
      <c r="G853" s="355"/>
      <c r="H853" s="255"/>
      <c r="I853" s="255"/>
      <c r="J853" s="255"/>
      <c r="K853" s="255"/>
      <c r="L853" s="255"/>
      <c r="M853" s="255"/>
      <c r="N853" s="255"/>
      <c r="O853" s="255"/>
      <c r="P853" s="255"/>
      <c r="Q853" s="255"/>
      <c r="R853" s="255"/>
      <c r="S853" s="255"/>
      <c r="T853" s="255"/>
      <c r="U853" s="255"/>
      <c r="V853" s="255"/>
      <c r="W853" s="255"/>
      <c r="X853" s="255"/>
      <c r="Y853" s="255"/>
      <c r="Z853" s="255"/>
      <c r="AA853" s="255"/>
      <c r="AB853" s="255"/>
    </row>
    <row r="854">
      <c r="A854" s="255"/>
      <c r="B854" s="255"/>
      <c r="C854" s="261"/>
      <c r="D854" s="262"/>
      <c r="E854" s="364"/>
      <c r="F854" s="364"/>
      <c r="G854" s="355"/>
      <c r="H854" s="255"/>
      <c r="I854" s="255"/>
      <c r="J854" s="255"/>
      <c r="K854" s="255"/>
      <c r="L854" s="255"/>
      <c r="M854" s="255"/>
      <c r="N854" s="255"/>
      <c r="O854" s="255"/>
      <c r="P854" s="255"/>
      <c r="Q854" s="255"/>
      <c r="R854" s="255"/>
      <c r="S854" s="255"/>
      <c r="T854" s="255"/>
      <c r="U854" s="255"/>
      <c r="V854" s="255"/>
      <c r="W854" s="255"/>
      <c r="X854" s="255"/>
      <c r="Y854" s="255"/>
      <c r="Z854" s="255"/>
      <c r="AA854" s="255"/>
      <c r="AB854" s="255"/>
    </row>
    <row r="855">
      <c r="A855" s="255"/>
      <c r="B855" s="255"/>
      <c r="C855" s="261"/>
      <c r="D855" s="262"/>
      <c r="E855" s="364"/>
      <c r="F855" s="364"/>
      <c r="G855" s="355"/>
      <c r="H855" s="255"/>
      <c r="I855" s="255"/>
      <c r="J855" s="255"/>
      <c r="K855" s="255"/>
      <c r="L855" s="255"/>
      <c r="M855" s="255"/>
      <c r="N855" s="255"/>
      <c r="O855" s="255"/>
      <c r="P855" s="255"/>
      <c r="Q855" s="255"/>
      <c r="R855" s="255"/>
      <c r="S855" s="255"/>
      <c r="T855" s="255"/>
      <c r="U855" s="255"/>
      <c r="V855" s="255"/>
      <c r="W855" s="255"/>
      <c r="X855" s="255"/>
      <c r="Y855" s="255"/>
      <c r="Z855" s="255"/>
      <c r="AA855" s="255"/>
      <c r="AB855" s="255"/>
    </row>
    <row r="856">
      <c r="A856" s="255"/>
      <c r="B856" s="255"/>
      <c r="C856" s="261"/>
      <c r="D856" s="262"/>
      <c r="E856" s="364"/>
      <c r="F856" s="364"/>
      <c r="G856" s="355"/>
      <c r="H856" s="255"/>
      <c r="I856" s="255"/>
      <c r="J856" s="255"/>
      <c r="K856" s="255"/>
      <c r="L856" s="255"/>
      <c r="M856" s="255"/>
      <c r="N856" s="255"/>
      <c r="O856" s="255"/>
      <c r="P856" s="255"/>
      <c r="Q856" s="255"/>
      <c r="R856" s="255"/>
      <c r="S856" s="255"/>
      <c r="T856" s="255"/>
      <c r="U856" s="255"/>
      <c r="V856" s="255"/>
      <c r="W856" s="255"/>
      <c r="X856" s="255"/>
      <c r="Y856" s="255"/>
      <c r="Z856" s="255"/>
      <c r="AA856" s="255"/>
      <c r="AB856" s="255"/>
    </row>
    <row r="857">
      <c r="A857" s="255"/>
      <c r="B857" s="255"/>
      <c r="C857" s="261"/>
      <c r="D857" s="262"/>
      <c r="E857" s="364"/>
      <c r="F857" s="364"/>
      <c r="G857" s="355"/>
      <c r="H857" s="255"/>
      <c r="I857" s="255"/>
      <c r="J857" s="255"/>
      <c r="K857" s="255"/>
      <c r="L857" s="255"/>
      <c r="M857" s="255"/>
      <c r="N857" s="255"/>
      <c r="O857" s="255"/>
      <c r="P857" s="255"/>
      <c r="Q857" s="255"/>
      <c r="R857" s="255"/>
      <c r="S857" s="255"/>
      <c r="T857" s="255"/>
      <c r="U857" s="255"/>
      <c r="V857" s="255"/>
      <c r="W857" s="255"/>
      <c r="X857" s="255"/>
      <c r="Y857" s="255"/>
      <c r="Z857" s="255"/>
      <c r="AA857" s="255"/>
      <c r="AB857" s="255"/>
    </row>
    <row r="858">
      <c r="A858" s="255"/>
      <c r="B858" s="255"/>
      <c r="C858" s="261"/>
      <c r="D858" s="262"/>
      <c r="E858" s="364"/>
      <c r="F858" s="364"/>
      <c r="G858" s="355"/>
      <c r="H858" s="255"/>
      <c r="I858" s="255"/>
      <c r="J858" s="255"/>
      <c r="K858" s="255"/>
      <c r="L858" s="255"/>
      <c r="M858" s="255"/>
      <c r="N858" s="255"/>
      <c r="O858" s="255"/>
      <c r="P858" s="255"/>
      <c r="Q858" s="255"/>
      <c r="R858" s="255"/>
      <c r="S858" s="255"/>
      <c r="T858" s="255"/>
      <c r="U858" s="255"/>
      <c r="V858" s="255"/>
      <c r="W858" s="255"/>
      <c r="X858" s="255"/>
      <c r="Y858" s="255"/>
      <c r="Z858" s="255"/>
      <c r="AA858" s="255"/>
      <c r="AB858" s="255"/>
    </row>
    <row r="859">
      <c r="A859" s="255"/>
      <c r="B859" s="255"/>
      <c r="C859" s="261"/>
      <c r="D859" s="262"/>
      <c r="E859" s="364"/>
      <c r="F859" s="364"/>
      <c r="G859" s="355"/>
      <c r="H859" s="255"/>
      <c r="I859" s="255"/>
      <c r="J859" s="255"/>
      <c r="K859" s="255"/>
      <c r="L859" s="255"/>
      <c r="M859" s="255"/>
      <c r="N859" s="255"/>
      <c r="O859" s="255"/>
      <c r="P859" s="255"/>
      <c r="Q859" s="255"/>
      <c r="R859" s="255"/>
      <c r="S859" s="255"/>
      <c r="T859" s="255"/>
      <c r="U859" s="255"/>
      <c r="V859" s="255"/>
      <c r="W859" s="255"/>
      <c r="X859" s="255"/>
      <c r="Y859" s="255"/>
      <c r="Z859" s="255"/>
      <c r="AA859" s="255"/>
      <c r="AB859" s="255"/>
    </row>
    <row r="860">
      <c r="A860" s="255"/>
      <c r="B860" s="255"/>
      <c r="C860" s="261"/>
      <c r="D860" s="262"/>
      <c r="E860" s="364"/>
      <c r="F860" s="364"/>
      <c r="G860" s="355"/>
      <c r="H860" s="255"/>
      <c r="I860" s="255"/>
      <c r="J860" s="255"/>
      <c r="K860" s="255"/>
      <c r="L860" s="255"/>
      <c r="M860" s="255"/>
      <c r="N860" s="255"/>
      <c r="O860" s="255"/>
      <c r="P860" s="255"/>
      <c r="Q860" s="255"/>
      <c r="R860" s="255"/>
      <c r="S860" s="255"/>
      <c r="T860" s="255"/>
      <c r="U860" s="255"/>
      <c r="V860" s="255"/>
      <c r="W860" s="255"/>
      <c r="X860" s="255"/>
      <c r="Y860" s="255"/>
      <c r="Z860" s="255"/>
      <c r="AA860" s="255"/>
      <c r="AB860" s="255"/>
    </row>
    <row r="861">
      <c r="A861" s="255"/>
      <c r="B861" s="255"/>
      <c r="C861" s="261"/>
      <c r="D861" s="262"/>
      <c r="E861" s="364"/>
      <c r="F861" s="364"/>
      <c r="G861" s="355"/>
      <c r="H861" s="255"/>
      <c r="I861" s="255"/>
      <c r="J861" s="255"/>
      <c r="K861" s="255"/>
      <c r="L861" s="255"/>
      <c r="M861" s="255"/>
      <c r="N861" s="255"/>
      <c r="O861" s="255"/>
      <c r="P861" s="255"/>
      <c r="Q861" s="255"/>
      <c r="R861" s="255"/>
      <c r="S861" s="255"/>
      <c r="T861" s="255"/>
      <c r="U861" s="255"/>
      <c r="V861" s="255"/>
      <c r="W861" s="255"/>
      <c r="X861" s="255"/>
      <c r="Y861" s="255"/>
      <c r="Z861" s="255"/>
      <c r="AA861" s="255"/>
      <c r="AB861" s="255"/>
    </row>
    <row r="862">
      <c r="A862" s="255"/>
      <c r="B862" s="255"/>
      <c r="C862" s="261"/>
      <c r="D862" s="262"/>
      <c r="E862" s="364"/>
      <c r="F862" s="364"/>
      <c r="G862" s="355"/>
      <c r="H862" s="255"/>
      <c r="I862" s="255"/>
      <c r="J862" s="255"/>
      <c r="K862" s="255"/>
      <c r="L862" s="255"/>
      <c r="M862" s="255"/>
      <c r="N862" s="255"/>
      <c r="O862" s="255"/>
      <c r="P862" s="255"/>
      <c r="Q862" s="255"/>
      <c r="R862" s="255"/>
      <c r="S862" s="255"/>
      <c r="T862" s="255"/>
      <c r="U862" s="255"/>
      <c r="V862" s="255"/>
      <c r="W862" s="255"/>
      <c r="X862" s="255"/>
      <c r="Y862" s="255"/>
      <c r="Z862" s="255"/>
      <c r="AA862" s="255"/>
      <c r="AB862" s="255"/>
    </row>
    <row r="863">
      <c r="A863" s="255"/>
      <c r="B863" s="255"/>
      <c r="C863" s="261"/>
      <c r="D863" s="262"/>
      <c r="E863" s="364"/>
      <c r="F863" s="364"/>
      <c r="G863" s="355"/>
      <c r="H863" s="255"/>
      <c r="I863" s="255"/>
      <c r="J863" s="255"/>
      <c r="K863" s="255"/>
      <c r="L863" s="255"/>
      <c r="M863" s="255"/>
      <c r="N863" s="255"/>
      <c r="O863" s="255"/>
      <c r="P863" s="255"/>
      <c r="Q863" s="255"/>
      <c r="R863" s="255"/>
      <c r="S863" s="255"/>
      <c r="T863" s="255"/>
      <c r="U863" s="255"/>
      <c r="V863" s="255"/>
      <c r="W863" s="255"/>
      <c r="X863" s="255"/>
      <c r="Y863" s="255"/>
      <c r="Z863" s="255"/>
      <c r="AA863" s="255"/>
      <c r="AB863" s="255"/>
    </row>
    <row r="864">
      <c r="A864" s="255"/>
      <c r="B864" s="255"/>
      <c r="C864" s="261"/>
      <c r="D864" s="262"/>
      <c r="E864" s="364"/>
      <c r="F864" s="364"/>
      <c r="G864" s="355"/>
      <c r="H864" s="255"/>
      <c r="I864" s="255"/>
      <c r="J864" s="255"/>
      <c r="K864" s="255"/>
      <c r="L864" s="255"/>
      <c r="M864" s="255"/>
      <c r="N864" s="255"/>
      <c r="O864" s="255"/>
      <c r="P864" s="255"/>
      <c r="Q864" s="255"/>
      <c r="R864" s="255"/>
      <c r="S864" s="255"/>
      <c r="T864" s="255"/>
      <c r="U864" s="255"/>
      <c r="V864" s="255"/>
      <c r="W864" s="255"/>
      <c r="X864" s="255"/>
      <c r="Y864" s="255"/>
      <c r="Z864" s="255"/>
      <c r="AA864" s="255"/>
      <c r="AB864" s="255"/>
    </row>
    <row r="865">
      <c r="A865" s="255"/>
      <c r="B865" s="255"/>
      <c r="C865" s="261"/>
      <c r="D865" s="262"/>
      <c r="E865" s="364"/>
      <c r="F865" s="364"/>
      <c r="G865" s="355"/>
      <c r="H865" s="255"/>
      <c r="I865" s="255"/>
      <c r="J865" s="255"/>
      <c r="K865" s="255"/>
      <c r="L865" s="255"/>
      <c r="M865" s="255"/>
      <c r="N865" s="255"/>
      <c r="O865" s="255"/>
      <c r="P865" s="255"/>
      <c r="Q865" s="255"/>
      <c r="R865" s="255"/>
      <c r="S865" s="255"/>
      <c r="T865" s="255"/>
      <c r="U865" s="255"/>
      <c r="V865" s="255"/>
      <c r="W865" s="255"/>
      <c r="X865" s="255"/>
      <c r="Y865" s="255"/>
      <c r="Z865" s="255"/>
      <c r="AA865" s="255"/>
      <c r="AB865" s="255"/>
    </row>
    <row r="866">
      <c r="A866" s="255"/>
      <c r="B866" s="255"/>
      <c r="C866" s="261"/>
      <c r="D866" s="262"/>
      <c r="E866" s="364"/>
      <c r="F866" s="364"/>
      <c r="G866" s="355"/>
      <c r="H866" s="255"/>
      <c r="I866" s="255"/>
      <c r="J866" s="255"/>
      <c r="K866" s="255"/>
      <c r="L866" s="255"/>
      <c r="M866" s="255"/>
      <c r="N866" s="255"/>
      <c r="O866" s="255"/>
      <c r="P866" s="255"/>
      <c r="Q866" s="255"/>
      <c r="R866" s="255"/>
      <c r="S866" s="255"/>
      <c r="T866" s="255"/>
      <c r="U866" s="255"/>
      <c r="V866" s="255"/>
      <c r="W866" s="255"/>
      <c r="X866" s="255"/>
      <c r="Y866" s="255"/>
      <c r="Z866" s="255"/>
      <c r="AA866" s="255"/>
      <c r="AB866" s="255"/>
    </row>
    <row r="867">
      <c r="A867" s="255"/>
      <c r="B867" s="255"/>
      <c r="C867" s="261"/>
      <c r="D867" s="262"/>
      <c r="E867" s="364"/>
      <c r="F867" s="364"/>
      <c r="G867" s="355"/>
      <c r="H867" s="255"/>
      <c r="I867" s="255"/>
      <c r="J867" s="255"/>
      <c r="K867" s="255"/>
      <c r="L867" s="255"/>
      <c r="M867" s="255"/>
      <c r="N867" s="255"/>
      <c r="O867" s="255"/>
      <c r="P867" s="255"/>
      <c r="Q867" s="255"/>
      <c r="R867" s="255"/>
      <c r="S867" s="255"/>
      <c r="T867" s="255"/>
      <c r="U867" s="255"/>
      <c r="V867" s="255"/>
      <c r="W867" s="255"/>
      <c r="X867" s="255"/>
      <c r="Y867" s="255"/>
      <c r="Z867" s="255"/>
      <c r="AA867" s="255"/>
      <c r="AB867" s="255"/>
    </row>
    <row r="868">
      <c r="A868" s="255"/>
      <c r="B868" s="255"/>
      <c r="C868" s="261"/>
      <c r="D868" s="262"/>
      <c r="E868" s="364"/>
      <c r="F868" s="364"/>
      <c r="G868" s="355"/>
      <c r="H868" s="255"/>
      <c r="I868" s="255"/>
      <c r="J868" s="255"/>
      <c r="K868" s="255"/>
      <c r="L868" s="255"/>
      <c r="M868" s="255"/>
      <c r="N868" s="255"/>
      <c r="O868" s="255"/>
      <c r="P868" s="255"/>
      <c r="Q868" s="255"/>
      <c r="R868" s="255"/>
      <c r="S868" s="255"/>
      <c r="T868" s="255"/>
      <c r="U868" s="255"/>
      <c r="V868" s="255"/>
      <c r="W868" s="255"/>
      <c r="X868" s="255"/>
      <c r="Y868" s="255"/>
      <c r="Z868" s="255"/>
      <c r="AA868" s="255"/>
      <c r="AB868" s="255"/>
    </row>
    <row r="869">
      <c r="A869" s="255"/>
      <c r="B869" s="255"/>
      <c r="C869" s="261"/>
      <c r="D869" s="262"/>
      <c r="E869" s="364"/>
      <c r="F869" s="364"/>
      <c r="G869" s="355"/>
      <c r="H869" s="255"/>
      <c r="I869" s="255"/>
      <c r="J869" s="255"/>
      <c r="K869" s="255"/>
      <c r="L869" s="255"/>
      <c r="M869" s="255"/>
      <c r="N869" s="255"/>
      <c r="O869" s="255"/>
      <c r="P869" s="255"/>
      <c r="Q869" s="255"/>
      <c r="R869" s="255"/>
      <c r="S869" s="255"/>
      <c r="T869" s="255"/>
      <c r="U869" s="255"/>
      <c r="V869" s="255"/>
      <c r="W869" s="255"/>
      <c r="X869" s="255"/>
      <c r="Y869" s="255"/>
      <c r="Z869" s="255"/>
      <c r="AA869" s="255"/>
      <c r="AB869" s="255"/>
    </row>
    <row r="870">
      <c r="A870" s="255"/>
      <c r="B870" s="255"/>
      <c r="C870" s="261"/>
      <c r="D870" s="262"/>
      <c r="E870" s="364"/>
      <c r="F870" s="364"/>
      <c r="G870" s="355"/>
      <c r="H870" s="255"/>
      <c r="I870" s="255"/>
      <c r="J870" s="255"/>
      <c r="K870" s="255"/>
      <c r="L870" s="255"/>
      <c r="M870" s="255"/>
      <c r="N870" s="255"/>
      <c r="O870" s="255"/>
      <c r="P870" s="255"/>
      <c r="Q870" s="255"/>
      <c r="R870" s="255"/>
      <c r="S870" s="255"/>
      <c r="T870" s="255"/>
      <c r="U870" s="255"/>
      <c r="V870" s="255"/>
      <c r="W870" s="255"/>
      <c r="X870" s="255"/>
      <c r="Y870" s="255"/>
      <c r="Z870" s="255"/>
      <c r="AA870" s="255"/>
      <c r="AB870" s="255"/>
    </row>
    <row r="871">
      <c r="A871" s="255"/>
      <c r="B871" s="255"/>
      <c r="C871" s="261"/>
      <c r="D871" s="262"/>
      <c r="E871" s="364"/>
      <c r="F871" s="364"/>
      <c r="G871" s="355"/>
      <c r="H871" s="255"/>
      <c r="I871" s="255"/>
      <c r="J871" s="255"/>
      <c r="K871" s="255"/>
      <c r="L871" s="255"/>
      <c r="M871" s="255"/>
      <c r="N871" s="255"/>
      <c r="O871" s="255"/>
      <c r="P871" s="255"/>
      <c r="Q871" s="255"/>
      <c r="R871" s="255"/>
      <c r="S871" s="255"/>
      <c r="T871" s="255"/>
      <c r="U871" s="255"/>
      <c r="V871" s="255"/>
      <c r="W871" s="255"/>
      <c r="X871" s="255"/>
      <c r="Y871" s="255"/>
      <c r="Z871" s="255"/>
      <c r="AA871" s="255"/>
      <c r="AB871" s="255"/>
    </row>
    <row r="872">
      <c r="A872" s="255"/>
      <c r="B872" s="255"/>
      <c r="C872" s="261"/>
      <c r="D872" s="262"/>
      <c r="E872" s="364"/>
      <c r="F872" s="364"/>
      <c r="G872" s="355"/>
      <c r="H872" s="255"/>
      <c r="I872" s="255"/>
      <c r="J872" s="255"/>
      <c r="K872" s="255"/>
      <c r="L872" s="255"/>
      <c r="M872" s="255"/>
      <c r="N872" s="255"/>
      <c r="O872" s="255"/>
      <c r="P872" s="255"/>
      <c r="Q872" s="255"/>
      <c r="R872" s="255"/>
      <c r="S872" s="255"/>
      <c r="T872" s="255"/>
      <c r="U872" s="255"/>
      <c r="V872" s="255"/>
      <c r="W872" s="255"/>
      <c r="X872" s="255"/>
      <c r="Y872" s="255"/>
      <c r="Z872" s="255"/>
      <c r="AA872" s="255"/>
      <c r="AB872" s="255"/>
    </row>
    <row r="873">
      <c r="A873" s="255"/>
      <c r="B873" s="255"/>
      <c r="C873" s="261"/>
      <c r="D873" s="262"/>
      <c r="E873" s="364"/>
      <c r="F873" s="364"/>
      <c r="G873" s="355"/>
      <c r="H873" s="255"/>
      <c r="I873" s="255"/>
      <c r="J873" s="255"/>
      <c r="K873" s="255"/>
      <c r="L873" s="255"/>
      <c r="M873" s="255"/>
      <c r="N873" s="255"/>
      <c r="O873" s="255"/>
      <c r="P873" s="255"/>
      <c r="Q873" s="255"/>
      <c r="R873" s="255"/>
      <c r="S873" s="255"/>
      <c r="T873" s="255"/>
      <c r="U873" s="255"/>
      <c r="V873" s="255"/>
      <c r="W873" s="255"/>
      <c r="X873" s="255"/>
      <c r="Y873" s="255"/>
      <c r="Z873" s="255"/>
      <c r="AA873" s="255"/>
      <c r="AB873" s="255"/>
    </row>
    <row r="874">
      <c r="A874" s="255"/>
      <c r="B874" s="255"/>
      <c r="C874" s="261"/>
      <c r="D874" s="262"/>
      <c r="E874" s="364"/>
      <c r="F874" s="364"/>
      <c r="G874" s="355"/>
      <c r="H874" s="255"/>
      <c r="I874" s="255"/>
      <c r="J874" s="255"/>
      <c r="K874" s="255"/>
      <c r="L874" s="255"/>
      <c r="M874" s="255"/>
      <c r="N874" s="255"/>
      <c r="O874" s="255"/>
      <c r="P874" s="255"/>
      <c r="Q874" s="255"/>
      <c r="R874" s="255"/>
      <c r="S874" s="255"/>
      <c r="T874" s="255"/>
      <c r="U874" s="255"/>
      <c r="V874" s="255"/>
      <c r="W874" s="255"/>
      <c r="X874" s="255"/>
      <c r="Y874" s="255"/>
      <c r="Z874" s="255"/>
      <c r="AA874" s="255"/>
      <c r="AB874" s="255"/>
    </row>
    <row r="875">
      <c r="A875" s="255"/>
      <c r="B875" s="255"/>
      <c r="C875" s="261"/>
      <c r="D875" s="262"/>
      <c r="E875" s="364"/>
      <c r="F875" s="364"/>
      <c r="G875" s="355"/>
      <c r="H875" s="255"/>
      <c r="I875" s="255"/>
      <c r="J875" s="255"/>
      <c r="K875" s="255"/>
      <c r="L875" s="255"/>
      <c r="M875" s="255"/>
      <c r="N875" s="255"/>
      <c r="O875" s="255"/>
      <c r="P875" s="255"/>
      <c r="Q875" s="255"/>
      <c r="R875" s="255"/>
      <c r="S875" s="255"/>
      <c r="T875" s="255"/>
      <c r="U875" s="255"/>
      <c r="V875" s="255"/>
      <c r="W875" s="255"/>
      <c r="X875" s="255"/>
      <c r="Y875" s="255"/>
      <c r="Z875" s="255"/>
      <c r="AA875" s="255"/>
      <c r="AB875" s="255"/>
    </row>
    <row r="876">
      <c r="A876" s="255"/>
      <c r="B876" s="255"/>
      <c r="C876" s="261"/>
      <c r="D876" s="262"/>
      <c r="E876" s="364"/>
      <c r="F876" s="364"/>
      <c r="G876" s="355"/>
      <c r="H876" s="255"/>
      <c r="I876" s="255"/>
      <c r="J876" s="255"/>
      <c r="K876" s="255"/>
      <c r="L876" s="255"/>
      <c r="M876" s="255"/>
      <c r="N876" s="255"/>
      <c r="O876" s="255"/>
      <c r="P876" s="255"/>
      <c r="Q876" s="255"/>
      <c r="R876" s="255"/>
      <c r="S876" s="255"/>
      <c r="T876" s="255"/>
      <c r="U876" s="255"/>
      <c r="V876" s="255"/>
      <c r="W876" s="255"/>
      <c r="X876" s="255"/>
      <c r="Y876" s="255"/>
      <c r="Z876" s="255"/>
      <c r="AA876" s="255"/>
      <c r="AB876" s="255"/>
    </row>
    <row r="877">
      <c r="A877" s="255"/>
      <c r="B877" s="255"/>
      <c r="C877" s="261"/>
      <c r="D877" s="262"/>
      <c r="E877" s="364"/>
      <c r="F877" s="364"/>
      <c r="G877" s="355"/>
      <c r="H877" s="255"/>
      <c r="I877" s="255"/>
      <c r="J877" s="255"/>
      <c r="K877" s="255"/>
      <c r="L877" s="255"/>
      <c r="M877" s="255"/>
      <c r="N877" s="255"/>
      <c r="O877" s="255"/>
      <c r="P877" s="255"/>
      <c r="Q877" s="255"/>
      <c r="R877" s="255"/>
      <c r="S877" s="255"/>
      <c r="T877" s="255"/>
      <c r="U877" s="255"/>
      <c r="V877" s="255"/>
      <c r="W877" s="255"/>
      <c r="X877" s="255"/>
      <c r="Y877" s="255"/>
      <c r="Z877" s="255"/>
      <c r="AA877" s="255"/>
      <c r="AB877" s="255"/>
    </row>
    <row r="878">
      <c r="A878" s="255"/>
      <c r="B878" s="255"/>
      <c r="C878" s="261"/>
      <c r="D878" s="262"/>
      <c r="E878" s="364"/>
      <c r="F878" s="364"/>
      <c r="G878" s="355"/>
      <c r="H878" s="255"/>
      <c r="I878" s="255"/>
      <c r="J878" s="255"/>
      <c r="K878" s="255"/>
      <c r="L878" s="255"/>
      <c r="M878" s="255"/>
      <c r="N878" s="255"/>
      <c r="O878" s="255"/>
      <c r="P878" s="255"/>
      <c r="Q878" s="255"/>
      <c r="R878" s="255"/>
      <c r="S878" s="255"/>
      <c r="T878" s="255"/>
      <c r="U878" s="255"/>
      <c r="V878" s="255"/>
      <c r="W878" s="255"/>
      <c r="X878" s="255"/>
      <c r="Y878" s="255"/>
      <c r="Z878" s="255"/>
      <c r="AA878" s="255"/>
      <c r="AB878" s="255"/>
    </row>
    <row r="879">
      <c r="A879" s="255"/>
      <c r="B879" s="255"/>
      <c r="C879" s="261"/>
      <c r="D879" s="262"/>
      <c r="E879" s="364"/>
      <c r="F879" s="364"/>
      <c r="G879" s="355"/>
      <c r="H879" s="255"/>
      <c r="I879" s="255"/>
      <c r="J879" s="255"/>
      <c r="K879" s="255"/>
      <c r="L879" s="255"/>
      <c r="M879" s="255"/>
      <c r="N879" s="255"/>
      <c r="O879" s="255"/>
      <c r="P879" s="255"/>
      <c r="Q879" s="255"/>
      <c r="R879" s="255"/>
      <c r="S879" s="255"/>
      <c r="T879" s="255"/>
      <c r="U879" s="255"/>
      <c r="V879" s="255"/>
      <c r="W879" s="255"/>
      <c r="X879" s="255"/>
      <c r="Y879" s="255"/>
      <c r="Z879" s="255"/>
      <c r="AA879" s="255"/>
      <c r="AB879" s="255"/>
    </row>
    <row r="880">
      <c r="A880" s="255"/>
      <c r="B880" s="255"/>
      <c r="C880" s="261"/>
      <c r="D880" s="262"/>
      <c r="E880" s="364"/>
      <c r="F880" s="364"/>
      <c r="G880" s="355"/>
      <c r="H880" s="255"/>
      <c r="I880" s="255"/>
      <c r="J880" s="255"/>
      <c r="K880" s="255"/>
      <c r="L880" s="255"/>
      <c r="M880" s="255"/>
      <c r="N880" s="255"/>
      <c r="O880" s="255"/>
      <c r="P880" s="255"/>
      <c r="Q880" s="255"/>
      <c r="R880" s="255"/>
      <c r="S880" s="255"/>
      <c r="T880" s="255"/>
      <c r="U880" s="255"/>
      <c r="V880" s="255"/>
      <c r="W880" s="255"/>
      <c r="X880" s="255"/>
      <c r="Y880" s="255"/>
      <c r="Z880" s="255"/>
      <c r="AA880" s="255"/>
      <c r="AB880" s="255"/>
    </row>
    <row r="881">
      <c r="A881" s="255"/>
      <c r="B881" s="255"/>
      <c r="C881" s="261"/>
      <c r="D881" s="262"/>
      <c r="E881" s="364"/>
      <c r="F881" s="364"/>
      <c r="G881" s="355"/>
      <c r="H881" s="255"/>
      <c r="I881" s="255"/>
      <c r="J881" s="255"/>
      <c r="K881" s="255"/>
      <c r="L881" s="255"/>
      <c r="M881" s="255"/>
      <c r="N881" s="255"/>
      <c r="O881" s="255"/>
      <c r="P881" s="255"/>
      <c r="Q881" s="255"/>
      <c r="R881" s="255"/>
      <c r="S881" s="255"/>
      <c r="T881" s="255"/>
      <c r="U881" s="255"/>
      <c r="V881" s="255"/>
      <c r="W881" s="255"/>
      <c r="X881" s="255"/>
      <c r="Y881" s="255"/>
      <c r="Z881" s="255"/>
      <c r="AA881" s="255"/>
      <c r="AB881" s="255"/>
    </row>
    <row r="882">
      <c r="A882" s="255"/>
      <c r="B882" s="255"/>
      <c r="C882" s="261"/>
      <c r="D882" s="262"/>
      <c r="E882" s="364"/>
      <c r="F882" s="364"/>
      <c r="G882" s="355"/>
      <c r="H882" s="255"/>
      <c r="I882" s="255"/>
      <c r="J882" s="255"/>
      <c r="K882" s="255"/>
      <c r="L882" s="255"/>
      <c r="M882" s="255"/>
      <c r="N882" s="255"/>
      <c r="O882" s="255"/>
      <c r="P882" s="255"/>
      <c r="Q882" s="255"/>
      <c r="R882" s="255"/>
      <c r="S882" s="255"/>
      <c r="T882" s="255"/>
      <c r="U882" s="255"/>
      <c r="V882" s="255"/>
      <c r="W882" s="255"/>
      <c r="X882" s="255"/>
      <c r="Y882" s="255"/>
      <c r="Z882" s="255"/>
      <c r="AA882" s="255"/>
      <c r="AB882" s="255"/>
    </row>
    <row r="883">
      <c r="A883" s="255"/>
      <c r="B883" s="255"/>
      <c r="C883" s="261"/>
      <c r="D883" s="262"/>
      <c r="E883" s="364"/>
      <c r="F883" s="364"/>
      <c r="G883" s="355"/>
      <c r="H883" s="255"/>
      <c r="I883" s="255"/>
      <c r="J883" s="255"/>
      <c r="K883" s="255"/>
      <c r="L883" s="255"/>
      <c r="M883" s="255"/>
      <c r="N883" s="255"/>
      <c r="O883" s="255"/>
      <c r="P883" s="255"/>
      <c r="Q883" s="255"/>
      <c r="R883" s="255"/>
      <c r="S883" s="255"/>
      <c r="T883" s="255"/>
      <c r="U883" s="255"/>
      <c r="V883" s="255"/>
      <c r="W883" s="255"/>
      <c r="X883" s="255"/>
      <c r="Y883" s="255"/>
      <c r="Z883" s="255"/>
      <c r="AA883" s="255"/>
      <c r="AB883" s="255"/>
    </row>
    <row r="884">
      <c r="A884" s="255"/>
      <c r="B884" s="255"/>
      <c r="C884" s="261"/>
      <c r="D884" s="262"/>
      <c r="E884" s="364"/>
      <c r="F884" s="364"/>
      <c r="G884" s="355"/>
      <c r="H884" s="255"/>
      <c r="I884" s="255"/>
      <c r="J884" s="255"/>
      <c r="K884" s="255"/>
      <c r="L884" s="255"/>
      <c r="M884" s="255"/>
      <c r="N884" s="255"/>
      <c r="O884" s="255"/>
      <c r="P884" s="255"/>
      <c r="Q884" s="255"/>
      <c r="R884" s="255"/>
      <c r="S884" s="255"/>
      <c r="T884" s="255"/>
      <c r="U884" s="255"/>
      <c r="V884" s="255"/>
      <c r="W884" s="255"/>
      <c r="X884" s="255"/>
      <c r="Y884" s="255"/>
      <c r="Z884" s="255"/>
      <c r="AA884" s="255"/>
      <c r="AB884" s="255"/>
    </row>
    <row r="885">
      <c r="A885" s="255"/>
      <c r="B885" s="255"/>
      <c r="C885" s="261"/>
      <c r="D885" s="262"/>
      <c r="E885" s="364"/>
      <c r="F885" s="364"/>
      <c r="G885" s="355"/>
      <c r="H885" s="255"/>
      <c r="I885" s="255"/>
      <c r="J885" s="255"/>
      <c r="K885" s="255"/>
      <c r="L885" s="255"/>
      <c r="M885" s="255"/>
      <c r="N885" s="255"/>
      <c r="O885" s="255"/>
      <c r="P885" s="255"/>
      <c r="Q885" s="255"/>
      <c r="R885" s="255"/>
      <c r="S885" s="255"/>
      <c r="T885" s="255"/>
      <c r="U885" s="255"/>
      <c r="V885" s="255"/>
      <c r="W885" s="255"/>
      <c r="X885" s="255"/>
      <c r="Y885" s="255"/>
      <c r="Z885" s="255"/>
      <c r="AA885" s="255"/>
      <c r="AB885" s="255"/>
    </row>
    <row r="886">
      <c r="A886" s="255"/>
      <c r="B886" s="255"/>
      <c r="C886" s="261"/>
      <c r="D886" s="262"/>
      <c r="E886" s="364"/>
      <c r="F886" s="364"/>
      <c r="G886" s="355"/>
      <c r="H886" s="255"/>
      <c r="I886" s="255"/>
      <c r="J886" s="255"/>
      <c r="K886" s="255"/>
      <c r="L886" s="255"/>
      <c r="M886" s="255"/>
      <c r="N886" s="255"/>
      <c r="O886" s="255"/>
      <c r="P886" s="255"/>
      <c r="Q886" s="255"/>
      <c r="R886" s="255"/>
      <c r="S886" s="255"/>
      <c r="T886" s="255"/>
      <c r="U886" s="255"/>
      <c r="V886" s="255"/>
      <c r="W886" s="255"/>
      <c r="X886" s="255"/>
      <c r="Y886" s="255"/>
      <c r="Z886" s="255"/>
      <c r="AA886" s="255"/>
      <c r="AB886" s="255"/>
    </row>
    <row r="887">
      <c r="A887" s="255"/>
      <c r="B887" s="255"/>
      <c r="C887" s="261"/>
      <c r="D887" s="262"/>
      <c r="E887" s="364"/>
      <c r="F887" s="364"/>
      <c r="G887" s="355"/>
      <c r="H887" s="255"/>
      <c r="I887" s="255"/>
      <c r="J887" s="255"/>
      <c r="K887" s="255"/>
      <c r="L887" s="255"/>
      <c r="M887" s="255"/>
      <c r="N887" s="255"/>
      <c r="O887" s="255"/>
      <c r="P887" s="255"/>
      <c r="Q887" s="255"/>
      <c r="R887" s="255"/>
      <c r="S887" s="255"/>
      <c r="T887" s="255"/>
      <c r="U887" s="255"/>
      <c r="V887" s="255"/>
      <c r="W887" s="255"/>
      <c r="X887" s="255"/>
      <c r="Y887" s="255"/>
      <c r="Z887" s="255"/>
      <c r="AA887" s="255"/>
      <c r="AB887" s="255"/>
    </row>
    <row r="888">
      <c r="A888" s="255"/>
      <c r="B888" s="255"/>
      <c r="C888" s="261"/>
      <c r="D888" s="262"/>
      <c r="E888" s="364"/>
      <c r="F888" s="364"/>
      <c r="G888" s="355"/>
      <c r="H888" s="255"/>
      <c r="I888" s="255"/>
      <c r="J888" s="255"/>
      <c r="K888" s="255"/>
      <c r="L888" s="255"/>
      <c r="M888" s="255"/>
      <c r="N888" s="255"/>
      <c r="O888" s="255"/>
      <c r="P888" s="255"/>
      <c r="Q888" s="255"/>
      <c r="R888" s="255"/>
      <c r="S888" s="255"/>
      <c r="T888" s="255"/>
      <c r="U888" s="255"/>
      <c r="V888" s="255"/>
      <c r="W888" s="255"/>
      <c r="X888" s="255"/>
      <c r="Y888" s="255"/>
      <c r="Z888" s="255"/>
      <c r="AA888" s="255"/>
      <c r="AB888" s="255"/>
    </row>
    <row r="889">
      <c r="A889" s="255"/>
      <c r="B889" s="255"/>
      <c r="C889" s="261"/>
      <c r="D889" s="262"/>
      <c r="E889" s="364"/>
      <c r="F889" s="364"/>
      <c r="G889" s="355"/>
      <c r="H889" s="255"/>
      <c r="I889" s="255"/>
      <c r="J889" s="255"/>
      <c r="K889" s="255"/>
      <c r="L889" s="255"/>
      <c r="M889" s="255"/>
      <c r="N889" s="255"/>
      <c r="O889" s="255"/>
      <c r="P889" s="255"/>
      <c r="Q889" s="255"/>
      <c r="R889" s="255"/>
      <c r="S889" s="255"/>
      <c r="T889" s="255"/>
      <c r="U889" s="255"/>
      <c r="V889" s="255"/>
      <c r="W889" s="255"/>
      <c r="X889" s="255"/>
      <c r="Y889" s="255"/>
      <c r="Z889" s="255"/>
      <c r="AA889" s="255"/>
      <c r="AB889" s="255"/>
    </row>
    <row r="890">
      <c r="A890" s="255"/>
      <c r="B890" s="255"/>
      <c r="C890" s="261"/>
      <c r="D890" s="262"/>
      <c r="E890" s="364"/>
      <c r="F890" s="364"/>
      <c r="G890" s="355"/>
      <c r="H890" s="255"/>
      <c r="I890" s="255"/>
      <c r="J890" s="255"/>
      <c r="K890" s="255"/>
      <c r="L890" s="255"/>
      <c r="M890" s="255"/>
      <c r="N890" s="255"/>
      <c r="O890" s="255"/>
      <c r="P890" s="255"/>
      <c r="Q890" s="255"/>
      <c r="R890" s="255"/>
      <c r="S890" s="255"/>
      <c r="T890" s="255"/>
      <c r="U890" s="255"/>
      <c r="V890" s="255"/>
      <c r="W890" s="255"/>
      <c r="X890" s="255"/>
      <c r="Y890" s="255"/>
      <c r="Z890" s="255"/>
      <c r="AA890" s="255"/>
      <c r="AB890" s="255"/>
    </row>
    <row r="891">
      <c r="A891" s="255"/>
      <c r="B891" s="255"/>
      <c r="C891" s="261"/>
      <c r="D891" s="262"/>
      <c r="E891" s="364"/>
      <c r="F891" s="364"/>
      <c r="G891" s="355"/>
      <c r="H891" s="255"/>
      <c r="I891" s="255"/>
      <c r="J891" s="255"/>
      <c r="K891" s="255"/>
      <c r="L891" s="255"/>
      <c r="M891" s="255"/>
      <c r="N891" s="255"/>
      <c r="O891" s="255"/>
      <c r="P891" s="255"/>
      <c r="Q891" s="255"/>
      <c r="R891" s="255"/>
      <c r="S891" s="255"/>
      <c r="T891" s="255"/>
      <c r="U891" s="255"/>
      <c r="V891" s="255"/>
      <c r="W891" s="255"/>
      <c r="X891" s="255"/>
      <c r="Y891" s="255"/>
      <c r="Z891" s="255"/>
      <c r="AA891" s="255"/>
      <c r="AB891" s="255"/>
    </row>
    <row r="892">
      <c r="A892" s="255"/>
      <c r="B892" s="255"/>
      <c r="C892" s="261"/>
      <c r="D892" s="262"/>
      <c r="E892" s="364"/>
      <c r="F892" s="364"/>
      <c r="G892" s="355"/>
      <c r="H892" s="255"/>
      <c r="I892" s="255"/>
      <c r="J892" s="255"/>
      <c r="K892" s="255"/>
      <c r="L892" s="255"/>
      <c r="M892" s="255"/>
      <c r="N892" s="255"/>
      <c r="O892" s="255"/>
      <c r="P892" s="255"/>
      <c r="Q892" s="255"/>
      <c r="R892" s="255"/>
      <c r="S892" s="255"/>
      <c r="T892" s="255"/>
      <c r="U892" s="255"/>
      <c r="V892" s="255"/>
      <c r="W892" s="255"/>
      <c r="X892" s="255"/>
      <c r="Y892" s="255"/>
      <c r="Z892" s="255"/>
      <c r="AA892" s="255"/>
      <c r="AB892" s="255"/>
    </row>
    <row r="893">
      <c r="A893" s="255"/>
      <c r="B893" s="255"/>
      <c r="C893" s="261"/>
      <c r="D893" s="262"/>
      <c r="E893" s="364"/>
      <c r="F893" s="364"/>
      <c r="G893" s="355"/>
      <c r="H893" s="255"/>
      <c r="I893" s="255"/>
      <c r="J893" s="255"/>
      <c r="K893" s="255"/>
      <c r="L893" s="255"/>
      <c r="M893" s="255"/>
      <c r="N893" s="255"/>
      <c r="O893" s="255"/>
      <c r="P893" s="255"/>
      <c r="Q893" s="255"/>
      <c r="R893" s="255"/>
      <c r="S893" s="255"/>
      <c r="T893" s="255"/>
      <c r="U893" s="255"/>
      <c r="V893" s="255"/>
      <c r="W893" s="255"/>
      <c r="X893" s="255"/>
      <c r="Y893" s="255"/>
      <c r="Z893" s="255"/>
      <c r="AA893" s="255"/>
      <c r="AB893" s="255"/>
    </row>
    <row r="894">
      <c r="A894" s="255"/>
      <c r="B894" s="255"/>
      <c r="C894" s="261"/>
      <c r="D894" s="262"/>
      <c r="E894" s="364"/>
      <c r="F894" s="364"/>
      <c r="G894" s="355"/>
      <c r="H894" s="255"/>
      <c r="I894" s="255"/>
      <c r="J894" s="255"/>
      <c r="K894" s="255"/>
      <c r="L894" s="255"/>
      <c r="M894" s="255"/>
      <c r="N894" s="255"/>
      <c r="O894" s="255"/>
      <c r="P894" s="255"/>
      <c r="Q894" s="255"/>
      <c r="R894" s="255"/>
      <c r="S894" s="255"/>
      <c r="T894" s="255"/>
      <c r="U894" s="255"/>
      <c r="V894" s="255"/>
      <c r="W894" s="255"/>
      <c r="X894" s="255"/>
      <c r="Y894" s="255"/>
      <c r="Z894" s="255"/>
      <c r="AA894" s="255"/>
      <c r="AB894" s="255"/>
    </row>
    <row r="895">
      <c r="A895" s="255"/>
      <c r="B895" s="255"/>
      <c r="C895" s="261"/>
      <c r="D895" s="262"/>
      <c r="E895" s="364"/>
      <c r="F895" s="364"/>
      <c r="G895" s="355"/>
      <c r="H895" s="255"/>
      <c r="I895" s="255"/>
      <c r="J895" s="255"/>
      <c r="K895" s="255"/>
      <c r="L895" s="255"/>
      <c r="M895" s="255"/>
      <c r="N895" s="255"/>
      <c r="O895" s="255"/>
      <c r="P895" s="255"/>
      <c r="Q895" s="255"/>
      <c r="R895" s="255"/>
      <c r="S895" s="255"/>
      <c r="T895" s="255"/>
      <c r="U895" s="255"/>
      <c r="V895" s="255"/>
      <c r="W895" s="255"/>
      <c r="X895" s="255"/>
      <c r="Y895" s="255"/>
      <c r="Z895" s="255"/>
      <c r="AA895" s="255"/>
      <c r="AB895" s="255"/>
    </row>
    <row r="896">
      <c r="A896" s="255"/>
      <c r="B896" s="255"/>
      <c r="C896" s="261"/>
      <c r="D896" s="262"/>
      <c r="E896" s="364"/>
      <c r="F896" s="364"/>
      <c r="G896" s="355"/>
      <c r="H896" s="255"/>
      <c r="I896" s="255"/>
      <c r="J896" s="255"/>
      <c r="K896" s="255"/>
      <c r="L896" s="255"/>
      <c r="M896" s="255"/>
      <c r="N896" s="255"/>
      <c r="O896" s="255"/>
      <c r="P896" s="255"/>
      <c r="Q896" s="255"/>
      <c r="R896" s="255"/>
      <c r="S896" s="255"/>
      <c r="T896" s="255"/>
      <c r="U896" s="255"/>
      <c r="V896" s="255"/>
      <c r="W896" s="255"/>
      <c r="X896" s="255"/>
      <c r="Y896" s="255"/>
      <c r="Z896" s="255"/>
      <c r="AA896" s="255"/>
      <c r="AB896" s="255"/>
    </row>
    <row r="897">
      <c r="A897" s="255"/>
      <c r="B897" s="255"/>
      <c r="C897" s="261"/>
      <c r="D897" s="262"/>
      <c r="E897" s="364"/>
      <c r="F897" s="364"/>
      <c r="G897" s="355"/>
      <c r="H897" s="255"/>
      <c r="I897" s="255"/>
      <c r="J897" s="255"/>
      <c r="K897" s="255"/>
      <c r="L897" s="255"/>
      <c r="M897" s="255"/>
      <c r="N897" s="255"/>
      <c r="O897" s="255"/>
      <c r="P897" s="255"/>
      <c r="Q897" s="255"/>
      <c r="R897" s="255"/>
      <c r="S897" s="255"/>
      <c r="T897" s="255"/>
      <c r="U897" s="255"/>
      <c r="V897" s="255"/>
      <c r="W897" s="255"/>
      <c r="X897" s="255"/>
      <c r="Y897" s="255"/>
      <c r="Z897" s="255"/>
      <c r="AA897" s="255"/>
      <c r="AB897" s="255"/>
    </row>
    <row r="898">
      <c r="A898" s="255"/>
      <c r="B898" s="255"/>
      <c r="C898" s="261"/>
      <c r="D898" s="262"/>
      <c r="E898" s="364"/>
      <c r="F898" s="364"/>
      <c r="G898" s="355"/>
      <c r="H898" s="255"/>
      <c r="I898" s="255"/>
      <c r="J898" s="255"/>
      <c r="K898" s="255"/>
      <c r="L898" s="255"/>
      <c r="M898" s="255"/>
      <c r="N898" s="255"/>
      <c r="O898" s="255"/>
      <c r="P898" s="255"/>
      <c r="Q898" s="255"/>
      <c r="R898" s="255"/>
      <c r="S898" s="255"/>
      <c r="T898" s="255"/>
      <c r="U898" s="255"/>
      <c r="V898" s="255"/>
      <c r="W898" s="255"/>
      <c r="X898" s="255"/>
      <c r="Y898" s="255"/>
      <c r="Z898" s="255"/>
      <c r="AA898" s="255"/>
      <c r="AB898" s="255"/>
    </row>
    <row r="899">
      <c r="A899" s="255"/>
      <c r="B899" s="255"/>
      <c r="C899" s="261"/>
      <c r="D899" s="262"/>
      <c r="E899" s="364"/>
      <c r="F899" s="364"/>
      <c r="G899" s="355"/>
      <c r="H899" s="255"/>
      <c r="I899" s="255"/>
      <c r="J899" s="255"/>
      <c r="K899" s="255"/>
      <c r="L899" s="255"/>
      <c r="M899" s="255"/>
      <c r="N899" s="255"/>
      <c r="O899" s="255"/>
      <c r="P899" s="255"/>
      <c r="Q899" s="255"/>
      <c r="R899" s="255"/>
      <c r="S899" s="255"/>
      <c r="T899" s="255"/>
      <c r="U899" s="255"/>
      <c r="V899" s="255"/>
      <c r="W899" s="255"/>
      <c r="X899" s="255"/>
      <c r="Y899" s="255"/>
      <c r="Z899" s="255"/>
      <c r="AA899" s="255"/>
      <c r="AB899" s="255"/>
    </row>
    <row r="900">
      <c r="A900" s="255"/>
      <c r="B900" s="255"/>
      <c r="C900" s="261"/>
      <c r="D900" s="262"/>
      <c r="E900" s="364"/>
      <c r="F900" s="364"/>
      <c r="G900" s="355"/>
      <c r="H900" s="255"/>
      <c r="I900" s="255"/>
      <c r="J900" s="255"/>
      <c r="K900" s="255"/>
      <c r="L900" s="255"/>
      <c r="M900" s="255"/>
      <c r="N900" s="255"/>
      <c r="O900" s="255"/>
      <c r="P900" s="255"/>
      <c r="Q900" s="255"/>
      <c r="R900" s="255"/>
      <c r="S900" s="255"/>
      <c r="T900" s="255"/>
      <c r="U900" s="255"/>
      <c r="V900" s="255"/>
      <c r="W900" s="255"/>
      <c r="X900" s="255"/>
      <c r="Y900" s="255"/>
      <c r="Z900" s="255"/>
      <c r="AA900" s="255"/>
      <c r="AB900" s="255"/>
    </row>
    <row r="901">
      <c r="A901" s="255"/>
      <c r="B901" s="255"/>
      <c r="C901" s="261"/>
      <c r="D901" s="262"/>
      <c r="E901" s="364"/>
      <c r="F901" s="364"/>
      <c r="G901" s="355"/>
      <c r="H901" s="255"/>
      <c r="I901" s="255"/>
      <c r="J901" s="255"/>
      <c r="K901" s="255"/>
      <c r="L901" s="255"/>
      <c r="M901" s="255"/>
      <c r="N901" s="255"/>
      <c r="O901" s="255"/>
      <c r="P901" s="255"/>
      <c r="Q901" s="255"/>
      <c r="R901" s="255"/>
      <c r="S901" s="255"/>
      <c r="T901" s="255"/>
      <c r="U901" s="255"/>
      <c r="V901" s="255"/>
      <c r="W901" s="255"/>
      <c r="X901" s="255"/>
      <c r="Y901" s="255"/>
      <c r="Z901" s="255"/>
      <c r="AA901" s="255"/>
      <c r="AB901" s="255"/>
    </row>
    <row r="902">
      <c r="A902" s="255"/>
      <c r="B902" s="255"/>
      <c r="C902" s="261"/>
      <c r="D902" s="262"/>
      <c r="E902" s="364"/>
      <c r="F902" s="364"/>
      <c r="G902" s="355"/>
      <c r="H902" s="255"/>
      <c r="I902" s="255"/>
      <c r="J902" s="255"/>
      <c r="K902" s="255"/>
      <c r="L902" s="255"/>
      <c r="M902" s="255"/>
      <c r="N902" s="255"/>
      <c r="O902" s="255"/>
      <c r="P902" s="255"/>
      <c r="Q902" s="255"/>
      <c r="R902" s="255"/>
      <c r="S902" s="255"/>
      <c r="T902" s="255"/>
      <c r="U902" s="255"/>
      <c r="V902" s="255"/>
      <c r="W902" s="255"/>
      <c r="X902" s="255"/>
      <c r="Y902" s="255"/>
      <c r="Z902" s="255"/>
      <c r="AA902" s="255"/>
      <c r="AB902" s="255"/>
    </row>
    <row r="903">
      <c r="A903" s="255"/>
      <c r="B903" s="255"/>
      <c r="C903" s="261"/>
      <c r="D903" s="262"/>
      <c r="E903" s="364"/>
      <c r="F903" s="364"/>
      <c r="G903" s="355"/>
      <c r="H903" s="255"/>
      <c r="I903" s="255"/>
      <c r="J903" s="255"/>
      <c r="K903" s="255"/>
      <c r="L903" s="255"/>
      <c r="M903" s="255"/>
      <c r="N903" s="255"/>
      <c r="O903" s="255"/>
      <c r="P903" s="255"/>
      <c r="Q903" s="255"/>
      <c r="R903" s="255"/>
      <c r="S903" s="255"/>
      <c r="T903" s="255"/>
      <c r="U903" s="255"/>
      <c r="V903" s="255"/>
      <c r="W903" s="255"/>
      <c r="X903" s="255"/>
      <c r="Y903" s="255"/>
      <c r="Z903" s="255"/>
      <c r="AA903" s="255"/>
      <c r="AB903" s="255"/>
    </row>
    <row r="904">
      <c r="A904" s="255"/>
      <c r="B904" s="255"/>
      <c r="C904" s="261"/>
      <c r="D904" s="262"/>
      <c r="E904" s="364"/>
      <c r="F904" s="364"/>
      <c r="G904" s="355"/>
      <c r="H904" s="255"/>
      <c r="I904" s="255"/>
      <c r="J904" s="255"/>
      <c r="K904" s="255"/>
      <c r="L904" s="255"/>
      <c r="M904" s="255"/>
      <c r="N904" s="255"/>
      <c r="O904" s="255"/>
      <c r="P904" s="255"/>
      <c r="Q904" s="255"/>
      <c r="R904" s="255"/>
      <c r="S904" s="255"/>
      <c r="T904" s="255"/>
      <c r="U904" s="255"/>
      <c r="V904" s="255"/>
      <c r="W904" s="255"/>
      <c r="X904" s="255"/>
      <c r="Y904" s="255"/>
      <c r="Z904" s="255"/>
      <c r="AA904" s="255"/>
      <c r="AB904" s="255"/>
    </row>
    <row r="905">
      <c r="A905" s="255"/>
      <c r="B905" s="255"/>
      <c r="C905" s="261"/>
      <c r="D905" s="262"/>
      <c r="E905" s="364"/>
      <c r="F905" s="364"/>
      <c r="G905" s="355"/>
      <c r="H905" s="255"/>
      <c r="I905" s="255"/>
      <c r="J905" s="255"/>
      <c r="K905" s="255"/>
      <c r="L905" s="255"/>
      <c r="M905" s="255"/>
      <c r="N905" s="255"/>
      <c r="O905" s="255"/>
      <c r="P905" s="255"/>
      <c r="Q905" s="255"/>
      <c r="R905" s="255"/>
      <c r="S905" s="255"/>
      <c r="T905" s="255"/>
      <c r="U905" s="255"/>
      <c r="V905" s="255"/>
      <c r="W905" s="255"/>
      <c r="X905" s="255"/>
      <c r="Y905" s="255"/>
      <c r="Z905" s="255"/>
      <c r="AA905" s="255"/>
      <c r="AB905" s="255"/>
    </row>
    <row r="906">
      <c r="A906" s="255"/>
      <c r="B906" s="255"/>
      <c r="C906" s="261"/>
      <c r="D906" s="262"/>
      <c r="E906" s="364"/>
      <c r="F906" s="364"/>
      <c r="G906" s="355"/>
      <c r="H906" s="255"/>
      <c r="I906" s="255"/>
      <c r="J906" s="255"/>
      <c r="K906" s="255"/>
      <c r="L906" s="255"/>
      <c r="M906" s="255"/>
      <c r="N906" s="255"/>
      <c r="O906" s="255"/>
      <c r="P906" s="255"/>
      <c r="Q906" s="255"/>
      <c r="R906" s="255"/>
      <c r="S906" s="255"/>
      <c r="T906" s="255"/>
      <c r="U906" s="255"/>
      <c r="V906" s="255"/>
      <c r="W906" s="255"/>
      <c r="X906" s="255"/>
      <c r="Y906" s="255"/>
      <c r="Z906" s="255"/>
      <c r="AA906" s="255"/>
      <c r="AB906" s="255"/>
    </row>
    <row r="907">
      <c r="A907" s="255"/>
      <c r="B907" s="255"/>
      <c r="C907" s="261"/>
      <c r="D907" s="262"/>
      <c r="E907" s="364"/>
      <c r="F907" s="364"/>
      <c r="G907" s="355"/>
      <c r="H907" s="255"/>
      <c r="I907" s="255"/>
      <c r="J907" s="255"/>
      <c r="K907" s="255"/>
      <c r="L907" s="255"/>
      <c r="M907" s="255"/>
      <c r="N907" s="255"/>
      <c r="O907" s="255"/>
      <c r="P907" s="255"/>
      <c r="Q907" s="255"/>
      <c r="R907" s="255"/>
      <c r="S907" s="255"/>
      <c r="T907" s="255"/>
      <c r="U907" s="255"/>
      <c r="V907" s="255"/>
      <c r="W907" s="255"/>
      <c r="X907" s="255"/>
      <c r="Y907" s="255"/>
      <c r="Z907" s="255"/>
      <c r="AA907" s="255"/>
      <c r="AB907" s="255"/>
    </row>
    <row r="908">
      <c r="A908" s="255"/>
      <c r="B908" s="255"/>
      <c r="C908" s="261"/>
      <c r="D908" s="262"/>
      <c r="E908" s="364"/>
      <c r="F908" s="364"/>
      <c r="G908" s="355"/>
      <c r="H908" s="255"/>
      <c r="I908" s="255"/>
      <c r="J908" s="255"/>
      <c r="K908" s="255"/>
      <c r="L908" s="255"/>
      <c r="M908" s="255"/>
      <c r="N908" s="255"/>
      <c r="O908" s="255"/>
      <c r="P908" s="255"/>
      <c r="Q908" s="255"/>
      <c r="R908" s="255"/>
      <c r="S908" s="255"/>
      <c r="T908" s="255"/>
      <c r="U908" s="255"/>
      <c r="V908" s="255"/>
      <c r="W908" s="255"/>
      <c r="X908" s="255"/>
      <c r="Y908" s="255"/>
      <c r="Z908" s="255"/>
      <c r="AA908" s="255"/>
      <c r="AB908" s="255"/>
    </row>
    <row r="909">
      <c r="A909" s="255"/>
      <c r="B909" s="255"/>
      <c r="C909" s="261"/>
      <c r="D909" s="262"/>
      <c r="E909" s="364"/>
      <c r="F909" s="364"/>
      <c r="G909" s="355"/>
      <c r="H909" s="255"/>
      <c r="I909" s="255"/>
      <c r="J909" s="255"/>
      <c r="K909" s="255"/>
      <c r="L909" s="255"/>
      <c r="M909" s="255"/>
      <c r="N909" s="255"/>
      <c r="O909" s="255"/>
      <c r="P909" s="255"/>
      <c r="Q909" s="255"/>
      <c r="R909" s="255"/>
      <c r="S909" s="255"/>
      <c r="T909" s="255"/>
      <c r="U909" s="255"/>
      <c r="V909" s="255"/>
      <c r="W909" s="255"/>
      <c r="X909" s="255"/>
      <c r="Y909" s="255"/>
      <c r="Z909" s="255"/>
      <c r="AA909" s="255"/>
      <c r="AB909" s="255"/>
    </row>
    <row r="910">
      <c r="A910" s="255"/>
      <c r="B910" s="255"/>
      <c r="C910" s="261"/>
      <c r="D910" s="262"/>
      <c r="E910" s="364"/>
      <c r="F910" s="364"/>
      <c r="G910" s="355"/>
      <c r="H910" s="255"/>
      <c r="I910" s="255"/>
      <c r="J910" s="255"/>
      <c r="K910" s="255"/>
      <c r="L910" s="255"/>
      <c r="M910" s="255"/>
      <c r="N910" s="255"/>
      <c r="O910" s="255"/>
      <c r="P910" s="255"/>
      <c r="Q910" s="255"/>
      <c r="R910" s="255"/>
      <c r="S910" s="255"/>
      <c r="T910" s="255"/>
      <c r="U910" s="255"/>
      <c r="V910" s="255"/>
      <c r="W910" s="255"/>
      <c r="X910" s="255"/>
      <c r="Y910" s="255"/>
      <c r="Z910" s="255"/>
      <c r="AA910" s="255"/>
      <c r="AB910" s="255"/>
    </row>
    <row r="911">
      <c r="A911" s="255"/>
      <c r="B911" s="255"/>
      <c r="C911" s="261"/>
      <c r="D911" s="262"/>
      <c r="E911" s="364"/>
      <c r="F911" s="364"/>
      <c r="G911" s="355"/>
      <c r="H911" s="255"/>
      <c r="I911" s="255"/>
      <c r="J911" s="255"/>
      <c r="K911" s="255"/>
      <c r="L911" s="255"/>
      <c r="M911" s="255"/>
      <c r="N911" s="255"/>
      <c r="O911" s="255"/>
      <c r="P911" s="255"/>
      <c r="Q911" s="255"/>
      <c r="R911" s="255"/>
      <c r="S911" s="255"/>
      <c r="T911" s="255"/>
      <c r="U911" s="255"/>
      <c r="V911" s="255"/>
      <c r="W911" s="255"/>
      <c r="X911" s="255"/>
      <c r="Y911" s="255"/>
      <c r="Z911" s="255"/>
      <c r="AA911" s="255"/>
      <c r="AB911" s="255"/>
    </row>
    <row r="912">
      <c r="A912" s="255"/>
      <c r="B912" s="255"/>
      <c r="C912" s="261"/>
      <c r="D912" s="262"/>
      <c r="E912" s="364"/>
      <c r="F912" s="364"/>
      <c r="G912" s="355"/>
      <c r="H912" s="255"/>
      <c r="I912" s="255"/>
      <c r="J912" s="255"/>
      <c r="K912" s="255"/>
      <c r="L912" s="255"/>
      <c r="M912" s="255"/>
      <c r="N912" s="255"/>
      <c r="O912" s="255"/>
      <c r="P912" s="255"/>
      <c r="Q912" s="255"/>
      <c r="R912" s="255"/>
      <c r="S912" s="255"/>
      <c r="T912" s="255"/>
      <c r="U912" s="255"/>
      <c r="V912" s="255"/>
      <c r="W912" s="255"/>
      <c r="X912" s="255"/>
      <c r="Y912" s="255"/>
      <c r="Z912" s="255"/>
      <c r="AA912" s="255"/>
      <c r="AB912" s="255"/>
    </row>
    <row r="913">
      <c r="A913" s="255"/>
      <c r="B913" s="255"/>
      <c r="C913" s="261"/>
      <c r="D913" s="262"/>
      <c r="E913" s="364"/>
      <c r="F913" s="364"/>
      <c r="G913" s="355"/>
      <c r="H913" s="255"/>
      <c r="I913" s="255"/>
      <c r="J913" s="255"/>
      <c r="K913" s="255"/>
      <c r="L913" s="255"/>
      <c r="M913" s="255"/>
      <c r="N913" s="255"/>
      <c r="O913" s="255"/>
      <c r="P913" s="255"/>
      <c r="Q913" s="255"/>
      <c r="R913" s="255"/>
      <c r="S913" s="255"/>
      <c r="T913" s="255"/>
      <c r="U913" s="255"/>
      <c r="V913" s="255"/>
      <c r="W913" s="255"/>
      <c r="X913" s="255"/>
      <c r="Y913" s="255"/>
      <c r="Z913" s="255"/>
      <c r="AA913" s="255"/>
      <c r="AB913" s="255"/>
    </row>
    <row r="914">
      <c r="A914" s="255"/>
      <c r="B914" s="255"/>
      <c r="C914" s="261"/>
      <c r="D914" s="262"/>
      <c r="E914" s="364"/>
      <c r="F914" s="364"/>
      <c r="G914" s="355"/>
      <c r="H914" s="255"/>
      <c r="I914" s="255"/>
      <c r="J914" s="255"/>
      <c r="K914" s="255"/>
      <c r="L914" s="255"/>
      <c r="M914" s="255"/>
      <c r="N914" s="255"/>
      <c r="O914" s="255"/>
      <c r="P914" s="255"/>
      <c r="Q914" s="255"/>
      <c r="R914" s="255"/>
      <c r="S914" s="255"/>
      <c r="T914" s="255"/>
      <c r="U914" s="255"/>
      <c r="V914" s="255"/>
      <c r="W914" s="255"/>
      <c r="X914" s="255"/>
      <c r="Y914" s="255"/>
      <c r="Z914" s="255"/>
      <c r="AA914" s="255"/>
      <c r="AB914" s="255"/>
    </row>
    <row r="915">
      <c r="A915" s="255"/>
      <c r="B915" s="255"/>
      <c r="C915" s="261"/>
      <c r="D915" s="262"/>
      <c r="E915" s="364"/>
      <c r="F915" s="364"/>
      <c r="G915" s="355"/>
      <c r="H915" s="255"/>
      <c r="I915" s="255"/>
      <c r="J915" s="255"/>
      <c r="K915" s="255"/>
      <c r="L915" s="255"/>
      <c r="M915" s="255"/>
      <c r="N915" s="255"/>
      <c r="O915" s="255"/>
      <c r="P915" s="255"/>
      <c r="Q915" s="255"/>
      <c r="R915" s="255"/>
      <c r="S915" s="255"/>
      <c r="T915" s="255"/>
      <c r="U915" s="255"/>
      <c r="V915" s="255"/>
      <c r="W915" s="255"/>
      <c r="X915" s="255"/>
      <c r="Y915" s="255"/>
      <c r="Z915" s="255"/>
      <c r="AA915" s="255"/>
      <c r="AB915" s="255"/>
    </row>
    <row r="916">
      <c r="A916" s="255"/>
      <c r="B916" s="255"/>
      <c r="C916" s="261"/>
      <c r="D916" s="262"/>
      <c r="E916" s="364"/>
      <c r="F916" s="364"/>
      <c r="G916" s="355"/>
      <c r="H916" s="255"/>
      <c r="I916" s="255"/>
      <c r="J916" s="255"/>
      <c r="K916" s="255"/>
      <c r="L916" s="255"/>
      <c r="M916" s="255"/>
      <c r="N916" s="255"/>
      <c r="O916" s="255"/>
      <c r="P916" s="255"/>
      <c r="Q916" s="255"/>
      <c r="R916" s="255"/>
      <c r="S916" s="255"/>
      <c r="T916" s="255"/>
      <c r="U916" s="255"/>
      <c r="V916" s="255"/>
      <c r="W916" s="255"/>
      <c r="X916" s="255"/>
      <c r="Y916" s="255"/>
      <c r="Z916" s="255"/>
      <c r="AA916" s="255"/>
      <c r="AB916" s="255"/>
    </row>
    <row r="917">
      <c r="A917" s="255"/>
      <c r="B917" s="255"/>
      <c r="C917" s="261"/>
      <c r="D917" s="262"/>
      <c r="E917" s="364"/>
      <c r="F917" s="364"/>
      <c r="G917" s="355"/>
      <c r="H917" s="255"/>
      <c r="I917" s="255"/>
      <c r="J917" s="255"/>
      <c r="K917" s="255"/>
      <c r="L917" s="255"/>
      <c r="M917" s="255"/>
      <c r="N917" s="255"/>
      <c r="O917" s="255"/>
      <c r="P917" s="255"/>
      <c r="Q917" s="255"/>
      <c r="R917" s="255"/>
      <c r="S917" s="255"/>
      <c r="T917" s="255"/>
      <c r="U917" s="255"/>
      <c r="V917" s="255"/>
      <c r="W917" s="255"/>
      <c r="X917" s="255"/>
      <c r="Y917" s="255"/>
      <c r="Z917" s="255"/>
      <c r="AA917" s="255"/>
      <c r="AB917" s="255"/>
    </row>
    <row r="918">
      <c r="A918" s="255"/>
      <c r="B918" s="255"/>
      <c r="C918" s="261"/>
      <c r="D918" s="262"/>
      <c r="E918" s="364"/>
      <c r="F918" s="364"/>
      <c r="G918" s="355"/>
      <c r="H918" s="255"/>
      <c r="I918" s="255"/>
      <c r="J918" s="255"/>
      <c r="K918" s="255"/>
      <c r="L918" s="255"/>
      <c r="M918" s="255"/>
      <c r="N918" s="255"/>
      <c r="O918" s="255"/>
      <c r="P918" s="255"/>
      <c r="Q918" s="255"/>
      <c r="R918" s="255"/>
      <c r="S918" s="255"/>
      <c r="T918" s="255"/>
      <c r="U918" s="255"/>
      <c r="V918" s="255"/>
      <c r="W918" s="255"/>
      <c r="X918" s="255"/>
      <c r="Y918" s="255"/>
      <c r="Z918" s="255"/>
      <c r="AA918" s="255"/>
      <c r="AB918" s="255"/>
    </row>
    <row r="919">
      <c r="A919" s="255"/>
      <c r="B919" s="255"/>
      <c r="C919" s="261"/>
      <c r="D919" s="262"/>
      <c r="E919" s="364"/>
      <c r="F919" s="364"/>
      <c r="G919" s="355"/>
      <c r="H919" s="255"/>
      <c r="I919" s="255"/>
      <c r="J919" s="255"/>
      <c r="K919" s="255"/>
      <c r="L919" s="255"/>
      <c r="M919" s="255"/>
      <c r="N919" s="255"/>
      <c r="O919" s="255"/>
      <c r="P919" s="255"/>
      <c r="Q919" s="255"/>
      <c r="R919" s="255"/>
      <c r="S919" s="255"/>
      <c r="T919" s="255"/>
      <c r="U919" s="255"/>
      <c r="V919" s="255"/>
      <c r="W919" s="255"/>
      <c r="X919" s="255"/>
      <c r="Y919" s="255"/>
      <c r="Z919" s="255"/>
      <c r="AA919" s="255"/>
      <c r="AB919" s="255"/>
    </row>
    <row r="920">
      <c r="A920" s="255"/>
      <c r="B920" s="255"/>
      <c r="C920" s="261"/>
      <c r="D920" s="262"/>
      <c r="E920" s="364"/>
      <c r="F920" s="364"/>
      <c r="G920" s="355"/>
      <c r="H920" s="255"/>
      <c r="I920" s="255"/>
      <c r="J920" s="255"/>
      <c r="K920" s="255"/>
      <c r="L920" s="255"/>
      <c r="M920" s="255"/>
      <c r="N920" s="255"/>
      <c r="O920" s="255"/>
      <c r="P920" s="255"/>
      <c r="Q920" s="255"/>
      <c r="R920" s="255"/>
      <c r="S920" s="255"/>
      <c r="T920" s="255"/>
      <c r="U920" s="255"/>
      <c r="V920" s="255"/>
      <c r="W920" s="255"/>
      <c r="X920" s="255"/>
      <c r="Y920" s="255"/>
      <c r="Z920" s="255"/>
      <c r="AA920" s="255"/>
      <c r="AB920" s="255"/>
    </row>
    <row r="921">
      <c r="A921" s="255"/>
      <c r="B921" s="255"/>
      <c r="C921" s="261"/>
      <c r="D921" s="262"/>
      <c r="E921" s="364"/>
      <c r="F921" s="364"/>
      <c r="G921" s="355"/>
      <c r="H921" s="255"/>
      <c r="I921" s="255"/>
      <c r="J921" s="255"/>
      <c r="K921" s="255"/>
      <c r="L921" s="255"/>
      <c r="M921" s="255"/>
      <c r="N921" s="255"/>
      <c r="O921" s="255"/>
      <c r="P921" s="255"/>
      <c r="Q921" s="255"/>
      <c r="R921" s="255"/>
      <c r="S921" s="255"/>
      <c r="T921" s="255"/>
      <c r="U921" s="255"/>
      <c r="V921" s="255"/>
      <c r="W921" s="255"/>
      <c r="X921" s="255"/>
      <c r="Y921" s="255"/>
      <c r="Z921" s="255"/>
      <c r="AA921" s="255"/>
      <c r="AB921" s="255"/>
    </row>
    <row r="922">
      <c r="A922" s="255"/>
      <c r="B922" s="255"/>
      <c r="C922" s="261"/>
      <c r="D922" s="262"/>
      <c r="E922" s="364"/>
      <c r="F922" s="364"/>
      <c r="G922" s="355"/>
      <c r="H922" s="255"/>
      <c r="I922" s="255"/>
      <c r="J922" s="255"/>
      <c r="K922" s="255"/>
      <c r="L922" s="255"/>
      <c r="M922" s="255"/>
      <c r="N922" s="255"/>
      <c r="O922" s="255"/>
      <c r="P922" s="255"/>
      <c r="Q922" s="255"/>
      <c r="R922" s="255"/>
      <c r="S922" s="255"/>
      <c r="T922" s="255"/>
      <c r="U922" s="255"/>
      <c r="V922" s="255"/>
      <c r="W922" s="255"/>
      <c r="X922" s="255"/>
      <c r="Y922" s="255"/>
      <c r="Z922" s="255"/>
      <c r="AA922" s="255"/>
      <c r="AB922" s="255"/>
    </row>
    <row r="923">
      <c r="A923" s="255"/>
      <c r="B923" s="255"/>
      <c r="C923" s="261"/>
      <c r="D923" s="262"/>
      <c r="E923" s="364"/>
      <c r="F923" s="364"/>
      <c r="G923" s="355"/>
      <c r="H923" s="255"/>
      <c r="I923" s="255"/>
      <c r="J923" s="255"/>
      <c r="K923" s="255"/>
      <c r="L923" s="255"/>
      <c r="M923" s="255"/>
      <c r="N923" s="255"/>
      <c r="O923" s="255"/>
      <c r="P923" s="255"/>
      <c r="Q923" s="255"/>
      <c r="R923" s="255"/>
      <c r="S923" s="255"/>
      <c r="T923" s="255"/>
      <c r="U923" s="255"/>
      <c r="V923" s="255"/>
      <c r="W923" s="255"/>
      <c r="X923" s="255"/>
      <c r="Y923" s="255"/>
      <c r="Z923" s="255"/>
      <c r="AA923" s="255"/>
      <c r="AB923" s="255"/>
    </row>
    <row r="924">
      <c r="A924" s="255"/>
      <c r="B924" s="255"/>
      <c r="C924" s="261"/>
      <c r="D924" s="262"/>
      <c r="E924" s="364"/>
      <c r="F924" s="364"/>
      <c r="G924" s="355"/>
      <c r="H924" s="255"/>
      <c r="I924" s="255"/>
      <c r="J924" s="255"/>
      <c r="K924" s="255"/>
      <c r="L924" s="255"/>
      <c r="M924" s="255"/>
      <c r="N924" s="255"/>
      <c r="O924" s="255"/>
      <c r="P924" s="255"/>
      <c r="Q924" s="255"/>
      <c r="R924" s="255"/>
      <c r="S924" s="255"/>
      <c r="T924" s="255"/>
      <c r="U924" s="255"/>
      <c r="V924" s="255"/>
      <c r="W924" s="255"/>
      <c r="X924" s="255"/>
      <c r="Y924" s="255"/>
      <c r="Z924" s="255"/>
      <c r="AA924" s="255"/>
      <c r="AB924" s="255"/>
    </row>
    <row r="925">
      <c r="A925" s="255"/>
      <c r="B925" s="255"/>
      <c r="C925" s="261"/>
      <c r="D925" s="262"/>
      <c r="E925" s="364"/>
      <c r="F925" s="364"/>
      <c r="G925" s="355"/>
      <c r="H925" s="255"/>
      <c r="I925" s="255"/>
      <c r="J925" s="255"/>
      <c r="K925" s="255"/>
      <c r="L925" s="255"/>
      <c r="M925" s="255"/>
      <c r="N925" s="255"/>
      <c r="O925" s="255"/>
      <c r="P925" s="255"/>
      <c r="Q925" s="255"/>
      <c r="R925" s="255"/>
      <c r="S925" s="255"/>
      <c r="T925" s="255"/>
      <c r="U925" s="255"/>
      <c r="V925" s="255"/>
      <c r="W925" s="255"/>
      <c r="X925" s="255"/>
      <c r="Y925" s="255"/>
      <c r="Z925" s="255"/>
      <c r="AA925" s="255"/>
      <c r="AB925" s="255"/>
    </row>
    <row r="926">
      <c r="A926" s="255"/>
      <c r="B926" s="255"/>
      <c r="C926" s="261"/>
      <c r="D926" s="262"/>
      <c r="E926" s="364"/>
      <c r="F926" s="364"/>
      <c r="G926" s="355"/>
      <c r="H926" s="255"/>
      <c r="I926" s="255"/>
      <c r="J926" s="255"/>
      <c r="K926" s="255"/>
      <c r="L926" s="255"/>
      <c r="M926" s="255"/>
      <c r="N926" s="255"/>
      <c r="O926" s="255"/>
      <c r="P926" s="255"/>
      <c r="Q926" s="255"/>
      <c r="R926" s="255"/>
      <c r="S926" s="255"/>
      <c r="T926" s="255"/>
      <c r="U926" s="255"/>
      <c r="V926" s="255"/>
      <c r="W926" s="255"/>
      <c r="X926" s="255"/>
      <c r="Y926" s="255"/>
      <c r="Z926" s="255"/>
      <c r="AA926" s="255"/>
      <c r="AB926" s="255"/>
    </row>
    <row r="927">
      <c r="A927" s="255"/>
      <c r="B927" s="255"/>
      <c r="C927" s="261"/>
      <c r="D927" s="262"/>
      <c r="E927" s="364"/>
      <c r="F927" s="364"/>
      <c r="G927" s="355"/>
      <c r="H927" s="255"/>
      <c r="I927" s="255"/>
      <c r="J927" s="255"/>
      <c r="K927" s="255"/>
      <c r="L927" s="255"/>
      <c r="M927" s="255"/>
      <c r="N927" s="255"/>
      <c r="O927" s="255"/>
      <c r="P927" s="255"/>
      <c r="Q927" s="255"/>
      <c r="R927" s="255"/>
      <c r="S927" s="255"/>
      <c r="T927" s="255"/>
      <c r="U927" s="255"/>
      <c r="V927" s="255"/>
      <c r="W927" s="255"/>
      <c r="X927" s="255"/>
      <c r="Y927" s="255"/>
      <c r="Z927" s="255"/>
      <c r="AA927" s="255"/>
      <c r="AB927" s="255"/>
    </row>
    <row r="928">
      <c r="A928" s="255"/>
      <c r="B928" s="255"/>
      <c r="C928" s="261"/>
      <c r="D928" s="262"/>
      <c r="E928" s="364"/>
      <c r="F928" s="364"/>
      <c r="G928" s="355"/>
      <c r="H928" s="255"/>
      <c r="I928" s="255"/>
      <c r="J928" s="255"/>
      <c r="K928" s="255"/>
      <c r="L928" s="255"/>
      <c r="M928" s="255"/>
      <c r="N928" s="255"/>
      <c r="O928" s="255"/>
      <c r="P928" s="255"/>
      <c r="Q928" s="255"/>
      <c r="R928" s="255"/>
      <c r="S928" s="255"/>
      <c r="T928" s="255"/>
      <c r="U928" s="255"/>
      <c r="V928" s="255"/>
      <c r="W928" s="255"/>
      <c r="X928" s="255"/>
      <c r="Y928" s="255"/>
      <c r="Z928" s="255"/>
      <c r="AA928" s="255"/>
      <c r="AB928" s="255"/>
    </row>
    <row r="929">
      <c r="A929" s="255"/>
      <c r="B929" s="255"/>
      <c r="C929" s="261"/>
      <c r="D929" s="262"/>
      <c r="E929" s="364"/>
      <c r="F929" s="364"/>
      <c r="G929" s="355"/>
      <c r="H929" s="255"/>
      <c r="I929" s="255"/>
      <c r="J929" s="255"/>
      <c r="K929" s="255"/>
      <c r="L929" s="255"/>
      <c r="M929" s="255"/>
      <c r="N929" s="255"/>
      <c r="O929" s="255"/>
      <c r="P929" s="255"/>
      <c r="Q929" s="255"/>
      <c r="R929" s="255"/>
      <c r="S929" s="255"/>
      <c r="T929" s="255"/>
      <c r="U929" s="255"/>
      <c r="V929" s="255"/>
      <c r="W929" s="255"/>
      <c r="X929" s="255"/>
      <c r="Y929" s="255"/>
      <c r="Z929" s="255"/>
      <c r="AA929" s="255"/>
      <c r="AB929" s="255"/>
    </row>
    <row r="930">
      <c r="A930" s="255"/>
      <c r="B930" s="255"/>
      <c r="C930" s="261"/>
      <c r="D930" s="262"/>
      <c r="E930" s="364"/>
      <c r="F930" s="364"/>
      <c r="G930" s="355"/>
      <c r="H930" s="255"/>
      <c r="I930" s="255"/>
      <c r="J930" s="255"/>
      <c r="K930" s="255"/>
      <c r="L930" s="255"/>
      <c r="M930" s="255"/>
      <c r="N930" s="255"/>
      <c r="O930" s="255"/>
      <c r="P930" s="255"/>
      <c r="Q930" s="255"/>
      <c r="R930" s="255"/>
      <c r="S930" s="255"/>
      <c r="T930" s="255"/>
      <c r="U930" s="255"/>
      <c r="V930" s="255"/>
      <c r="W930" s="255"/>
      <c r="X930" s="255"/>
      <c r="Y930" s="255"/>
      <c r="Z930" s="255"/>
      <c r="AA930" s="255"/>
      <c r="AB930" s="255"/>
    </row>
    <row r="931">
      <c r="A931" s="255"/>
      <c r="B931" s="255"/>
      <c r="C931" s="261"/>
      <c r="D931" s="262"/>
      <c r="E931" s="364"/>
      <c r="F931" s="364"/>
      <c r="G931" s="355"/>
      <c r="H931" s="255"/>
      <c r="I931" s="255"/>
      <c r="J931" s="255"/>
      <c r="K931" s="255"/>
      <c r="L931" s="255"/>
      <c r="M931" s="255"/>
      <c r="N931" s="255"/>
      <c r="O931" s="255"/>
      <c r="P931" s="255"/>
      <c r="Q931" s="255"/>
      <c r="R931" s="255"/>
      <c r="S931" s="255"/>
      <c r="T931" s="255"/>
      <c r="U931" s="255"/>
      <c r="V931" s="255"/>
      <c r="W931" s="255"/>
      <c r="X931" s="255"/>
      <c r="Y931" s="255"/>
      <c r="Z931" s="255"/>
      <c r="AA931" s="255"/>
      <c r="AB931" s="255"/>
    </row>
    <row r="932">
      <c r="A932" s="255"/>
      <c r="B932" s="255"/>
      <c r="C932" s="261"/>
      <c r="D932" s="262"/>
      <c r="E932" s="364"/>
      <c r="F932" s="364"/>
      <c r="G932" s="355"/>
      <c r="H932" s="255"/>
      <c r="I932" s="255"/>
      <c r="J932" s="255"/>
      <c r="K932" s="255"/>
      <c r="L932" s="255"/>
      <c r="M932" s="255"/>
      <c r="N932" s="255"/>
      <c r="O932" s="255"/>
      <c r="P932" s="255"/>
      <c r="Q932" s="255"/>
      <c r="R932" s="255"/>
      <c r="S932" s="255"/>
      <c r="T932" s="255"/>
      <c r="U932" s="255"/>
      <c r="V932" s="255"/>
      <c r="W932" s="255"/>
      <c r="X932" s="255"/>
      <c r="Y932" s="255"/>
      <c r="Z932" s="255"/>
      <c r="AA932" s="255"/>
      <c r="AB932" s="255"/>
    </row>
    <row r="933">
      <c r="A933" s="255"/>
      <c r="B933" s="255"/>
      <c r="C933" s="261"/>
      <c r="D933" s="262"/>
      <c r="E933" s="364"/>
      <c r="F933" s="364"/>
      <c r="G933" s="355"/>
      <c r="H933" s="255"/>
      <c r="I933" s="255"/>
      <c r="J933" s="255"/>
      <c r="K933" s="255"/>
      <c r="L933" s="255"/>
      <c r="M933" s="255"/>
      <c r="N933" s="255"/>
      <c r="O933" s="255"/>
      <c r="P933" s="255"/>
      <c r="Q933" s="255"/>
      <c r="R933" s="255"/>
      <c r="S933" s="255"/>
      <c r="T933" s="255"/>
      <c r="U933" s="255"/>
      <c r="V933" s="255"/>
      <c r="W933" s="255"/>
      <c r="X933" s="255"/>
      <c r="Y933" s="255"/>
      <c r="Z933" s="255"/>
      <c r="AA933" s="255"/>
      <c r="AB933" s="255"/>
    </row>
    <row r="934">
      <c r="A934" s="255"/>
      <c r="B934" s="255"/>
      <c r="C934" s="261"/>
      <c r="D934" s="262"/>
      <c r="E934" s="364"/>
      <c r="F934" s="364"/>
      <c r="G934" s="355"/>
      <c r="H934" s="255"/>
      <c r="I934" s="255"/>
      <c r="J934" s="255"/>
      <c r="K934" s="255"/>
      <c r="L934" s="255"/>
      <c r="M934" s="255"/>
      <c r="N934" s="255"/>
      <c r="O934" s="255"/>
      <c r="P934" s="255"/>
      <c r="Q934" s="255"/>
      <c r="R934" s="255"/>
      <c r="S934" s="255"/>
      <c r="T934" s="255"/>
      <c r="U934" s="255"/>
      <c r="V934" s="255"/>
      <c r="W934" s="255"/>
      <c r="X934" s="255"/>
      <c r="Y934" s="255"/>
      <c r="Z934" s="255"/>
      <c r="AA934" s="255"/>
      <c r="AB934" s="255"/>
    </row>
    <row r="935">
      <c r="A935" s="255"/>
      <c r="B935" s="255"/>
      <c r="C935" s="261"/>
      <c r="D935" s="262"/>
      <c r="E935" s="364"/>
      <c r="F935" s="364"/>
      <c r="G935" s="355"/>
      <c r="H935" s="255"/>
      <c r="I935" s="255"/>
      <c r="J935" s="255"/>
      <c r="K935" s="255"/>
      <c r="L935" s="255"/>
      <c r="M935" s="255"/>
      <c r="N935" s="255"/>
      <c r="O935" s="255"/>
      <c r="P935" s="255"/>
      <c r="Q935" s="255"/>
      <c r="R935" s="255"/>
      <c r="S935" s="255"/>
      <c r="T935" s="255"/>
      <c r="U935" s="255"/>
      <c r="V935" s="255"/>
      <c r="W935" s="255"/>
      <c r="X935" s="255"/>
      <c r="Y935" s="255"/>
      <c r="Z935" s="255"/>
      <c r="AA935" s="255"/>
      <c r="AB935" s="255"/>
    </row>
    <row r="936">
      <c r="A936" s="255"/>
      <c r="B936" s="255"/>
      <c r="C936" s="261"/>
      <c r="D936" s="262"/>
      <c r="E936" s="364"/>
      <c r="F936" s="364"/>
      <c r="G936" s="355"/>
      <c r="H936" s="255"/>
      <c r="I936" s="255"/>
      <c r="J936" s="255"/>
      <c r="K936" s="255"/>
      <c r="L936" s="255"/>
      <c r="M936" s="255"/>
      <c r="N936" s="255"/>
      <c r="O936" s="255"/>
      <c r="P936" s="255"/>
      <c r="Q936" s="255"/>
      <c r="R936" s="255"/>
      <c r="S936" s="255"/>
      <c r="T936" s="255"/>
      <c r="U936" s="255"/>
      <c r="V936" s="255"/>
      <c r="W936" s="255"/>
      <c r="X936" s="255"/>
      <c r="Y936" s="255"/>
      <c r="Z936" s="255"/>
      <c r="AA936" s="255"/>
      <c r="AB936" s="255"/>
    </row>
    <row r="937">
      <c r="A937" s="255"/>
      <c r="B937" s="255"/>
      <c r="C937" s="261"/>
      <c r="D937" s="262"/>
      <c r="E937" s="364"/>
      <c r="F937" s="364"/>
      <c r="G937" s="355"/>
      <c r="H937" s="255"/>
      <c r="I937" s="255"/>
      <c r="J937" s="255"/>
      <c r="K937" s="255"/>
      <c r="L937" s="255"/>
      <c r="M937" s="255"/>
      <c r="N937" s="255"/>
      <c r="O937" s="255"/>
      <c r="P937" s="255"/>
      <c r="Q937" s="255"/>
      <c r="R937" s="255"/>
      <c r="S937" s="255"/>
      <c r="T937" s="255"/>
      <c r="U937" s="255"/>
      <c r="V937" s="255"/>
      <c r="W937" s="255"/>
      <c r="X937" s="255"/>
      <c r="Y937" s="255"/>
      <c r="Z937" s="255"/>
      <c r="AA937" s="255"/>
      <c r="AB937" s="255"/>
    </row>
    <row r="938">
      <c r="A938" s="255"/>
      <c r="B938" s="255"/>
      <c r="C938" s="261"/>
      <c r="D938" s="262"/>
      <c r="E938" s="364"/>
      <c r="F938" s="364"/>
      <c r="G938" s="355"/>
      <c r="H938" s="255"/>
      <c r="I938" s="255"/>
      <c r="J938" s="255"/>
      <c r="K938" s="255"/>
      <c r="L938" s="255"/>
      <c r="M938" s="255"/>
      <c r="N938" s="255"/>
      <c r="O938" s="255"/>
      <c r="P938" s="255"/>
      <c r="Q938" s="255"/>
      <c r="R938" s="255"/>
      <c r="S938" s="255"/>
      <c r="T938" s="255"/>
      <c r="U938" s="255"/>
      <c r="V938" s="255"/>
      <c r="W938" s="255"/>
      <c r="X938" s="255"/>
      <c r="Y938" s="255"/>
      <c r="Z938" s="255"/>
      <c r="AA938" s="255"/>
      <c r="AB938" s="255"/>
    </row>
    <row r="939">
      <c r="A939" s="255"/>
      <c r="B939" s="255"/>
      <c r="C939" s="261"/>
      <c r="D939" s="262"/>
      <c r="E939" s="364"/>
      <c r="F939" s="364"/>
      <c r="G939" s="355"/>
      <c r="H939" s="255"/>
      <c r="I939" s="255"/>
      <c r="J939" s="255"/>
      <c r="K939" s="255"/>
      <c r="L939" s="255"/>
      <c r="M939" s="255"/>
      <c r="N939" s="255"/>
      <c r="O939" s="255"/>
      <c r="P939" s="255"/>
      <c r="Q939" s="255"/>
      <c r="R939" s="255"/>
      <c r="S939" s="255"/>
      <c r="T939" s="255"/>
      <c r="U939" s="255"/>
      <c r="V939" s="255"/>
      <c r="W939" s="255"/>
      <c r="X939" s="255"/>
      <c r="Y939" s="255"/>
      <c r="Z939" s="255"/>
      <c r="AA939" s="255"/>
      <c r="AB939" s="255"/>
    </row>
    <row r="940">
      <c r="A940" s="255"/>
      <c r="B940" s="255"/>
      <c r="C940" s="261"/>
      <c r="D940" s="262"/>
      <c r="E940" s="364"/>
      <c r="F940" s="364"/>
      <c r="G940" s="355"/>
      <c r="H940" s="255"/>
      <c r="I940" s="255"/>
      <c r="J940" s="255"/>
      <c r="K940" s="255"/>
      <c r="L940" s="255"/>
      <c r="M940" s="255"/>
      <c r="N940" s="255"/>
      <c r="O940" s="255"/>
      <c r="P940" s="255"/>
      <c r="Q940" s="255"/>
      <c r="R940" s="255"/>
      <c r="S940" s="255"/>
      <c r="T940" s="255"/>
      <c r="U940" s="255"/>
      <c r="V940" s="255"/>
      <c r="W940" s="255"/>
      <c r="X940" s="255"/>
      <c r="Y940" s="255"/>
      <c r="Z940" s="255"/>
      <c r="AA940" s="255"/>
      <c r="AB940" s="255"/>
    </row>
    <row r="941">
      <c r="A941" s="255"/>
      <c r="B941" s="255"/>
      <c r="C941" s="261"/>
      <c r="D941" s="262"/>
      <c r="E941" s="364"/>
      <c r="F941" s="364"/>
      <c r="G941" s="355"/>
      <c r="H941" s="255"/>
      <c r="I941" s="255"/>
      <c r="J941" s="255"/>
      <c r="K941" s="255"/>
      <c r="L941" s="255"/>
      <c r="M941" s="255"/>
      <c r="N941" s="255"/>
      <c r="O941" s="255"/>
      <c r="P941" s="255"/>
      <c r="Q941" s="255"/>
      <c r="R941" s="255"/>
      <c r="S941" s="255"/>
      <c r="T941" s="255"/>
      <c r="U941" s="255"/>
      <c r="V941" s="255"/>
      <c r="W941" s="255"/>
      <c r="X941" s="255"/>
      <c r="Y941" s="255"/>
      <c r="Z941" s="255"/>
      <c r="AA941" s="255"/>
      <c r="AB941" s="255"/>
    </row>
    <row r="942">
      <c r="A942" s="255"/>
      <c r="B942" s="255"/>
      <c r="C942" s="261"/>
      <c r="D942" s="262"/>
      <c r="E942" s="364"/>
      <c r="F942" s="364"/>
      <c r="G942" s="355"/>
      <c r="H942" s="255"/>
      <c r="I942" s="255"/>
      <c r="J942" s="255"/>
      <c r="K942" s="255"/>
      <c r="L942" s="255"/>
      <c r="M942" s="255"/>
      <c r="N942" s="255"/>
      <c r="O942" s="255"/>
      <c r="P942" s="255"/>
      <c r="Q942" s="255"/>
      <c r="R942" s="255"/>
      <c r="S942" s="255"/>
      <c r="T942" s="255"/>
      <c r="U942" s="255"/>
      <c r="V942" s="255"/>
      <c r="W942" s="255"/>
      <c r="X942" s="255"/>
      <c r="Y942" s="255"/>
      <c r="Z942" s="255"/>
      <c r="AA942" s="255"/>
      <c r="AB942" s="255"/>
    </row>
    <row r="943">
      <c r="A943" s="255"/>
      <c r="B943" s="255"/>
      <c r="C943" s="261"/>
      <c r="D943" s="262"/>
      <c r="E943" s="364"/>
      <c r="F943" s="364"/>
      <c r="G943" s="355"/>
      <c r="H943" s="255"/>
      <c r="I943" s="255"/>
      <c r="J943" s="255"/>
      <c r="K943" s="255"/>
      <c r="L943" s="255"/>
      <c r="M943" s="255"/>
      <c r="N943" s="255"/>
      <c r="O943" s="255"/>
      <c r="P943" s="255"/>
      <c r="Q943" s="255"/>
      <c r="R943" s="255"/>
      <c r="S943" s="255"/>
      <c r="T943" s="255"/>
      <c r="U943" s="255"/>
      <c r="V943" s="255"/>
      <c r="W943" s="255"/>
      <c r="X943" s="255"/>
      <c r="Y943" s="255"/>
      <c r="Z943" s="255"/>
      <c r="AA943" s="255"/>
      <c r="AB943" s="255"/>
    </row>
    <row r="944">
      <c r="A944" s="255"/>
      <c r="B944" s="255"/>
      <c r="C944" s="261"/>
      <c r="D944" s="262"/>
      <c r="E944" s="364"/>
      <c r="F944" s="364"/>
      <c r="G944" s="355"/>
      <c r="H944" s="255"/>
      <c r="I944" s="255"/>
      <c r="J944" s="255"/>
      <c r="K944" s="255"/>
      <c r="L944" s="255"/>
      <c r="M944" s="255"/>
      <c r="N944" s="255"/>
      <c r="O944" s="255"/>
      <c r="P944" s="255"/>
      <c r="Q944" s="255"/>
      <c r="R944" s="255"/>
      <c r="S944" s="255"/>
      <c r="T944" s="255"/>
      <c r="U944" s="255"/>
      <c r="V944" s="255"/>
      <c r="W944" s="255"/>
      <c r="X944" s="255"/>
      <c r="Y944" s="255"/>
      <c r="Z944" s="255"/>
      <c r="AA944" s="255"/>
      <c r="AB944" s="255"/>
    </row>
    <row r="945">
      <c r="A945" s="255"/>
      <c r="B945" s="255"/>
      <c r="C945" s="261"/>
      <c r="D945" s="262"/>
      <c r="E945" s="364"/>
      <c r="F945" s="364"/>
      <c r="G945" s="355"/>
      <c r="H945" s="255"/>
      <c r="I945" s="255"/>
      <c r="J945" s="255"/>
      <c r="K945" s="255"/>
      <c r="L945" s="255"/>
      <c r="M945" s="255"/>
      <c r="N945" s="255"/>
      <c r="O945" s="255"/>
      <c r="P945" s="255"/>
      <c r="Q945" s="255"/>
      <c r="R945" s="255"/>
      <c r="S945" s="255"/>
      <c r="T945" s="255"/>
      <c r="U945" s="255"/>
      <c r="V945" s="255"/>
      <c r="W945" s="255"/>
      <c r="X945" s="255"/>
      <c r="Y945" s="255"/>
      <c r="Z945" s="255"/>
      <c r="AA945" s="255"/>
      <c r="AB945" s="255"/>
    </row>
    <row r="946">
      <c r="A946" s="255"/>
      <c r="B946" s="255"/>
      <c r="C946" s="261"/>
      <c r="D946" s="262"/>
      <c r="E946" s="364"/>
      <c r="F946" s="364"/>
      <c r="G946" s="355"/>
      <c r="H946" s="255"/>
      <c r="I946" s="255"/>
      <c r="J946" s="255"/>
      <c r="K946" s="255"/>
      <c r="L946" s="255"/>
      <c r="M946" s="255"/>
      <c r="N946" s="255"/>
      <c r="O946" s="255"/>
      <c r="P946" s="255"/>
      <c r="Q946" s="255"/>
      <c r="R946" s="255"/>
      <c r="S946" s="255"/>
      <c r="T946" s="255"/>
      <c r="U946" s="255"/>
      <c r="V946" s="255"/>
      <c r="W946" s="255"/>
      <c r="X946" s="255"/>
      <c r="Y946" s="255"/>
      <c r="Z946" s="255"/>
      <c r="AA946" s="255"/>
      <c r="AB946" s="255"/>
    </row>
    <row r="947">
      <c r="A947" s="255"/>
      <c r="B947" s="255"/>
      <c r="C947" s="261"/>
      <c r="D947" s="262"/>
      <c r="E947" s="364"/>
      <c r="F947" s="364"/>
      <c r="G947" s="355"/>
      <c r="H947" s="255"/>
      <c r="I947" s="255"/>
      <c r="J947" s="255"/>
      <c r="K947" s="255"/>
      <c r="L947" s="255"/>
      <c r="M947" s="255"/>
      <c r="N947" s="255"/>
      <c r="O947" s="255"/>
      <c r="P947" s="255"/>
      <c r="Q947" s="255"/>
      <c r="R947" s="255"/>
      <c r="S947" s="255"/>
      <c r="T947" s="255"/>
      <c r="U947" s="255"/>
      <c r="V947" s="255"/>
      <c r="W947" s="255"/>
      <c r="X947" s="255"/>
      <c r="Y947" s="255"/>
      <c r="Z947" s="255"/>
      <c r="AA947" s="255"/>
      <c r="AB947" s="255"/>
    </row>
    <row r="948">
      <c r="A948" s="255"/>
      <c r="B948" s="255"/>
      <c r="C948" s="261"/>
      <c r="D948" s="262"/>
      <c r="E948" s="364"/>
      <c r="F948" s="364"/>
      <c r="G948" s="355"/>
      <c r="H948" s="255"/>
      <c r="I948" s="255"/>
      <c r="J948" s="255"/>
      <c r="K948" s="255"/>
      <c r="L948" s="255"/>
      <c r="M948" s="255"/>
      <c r="N948" s="255"/>
      <c r="O948" s="255"/>
      <c r="P948" s="255"/>
      <c r="Q948" s="255"/>
      <c r="R948" s="255"/>
      <c r="S948" s="255"/>
      <c r="T948" s="255"/>
      <c r="U948" s="255"/>
      <c r="V948" s="255"/>
      <c r="W948" s="255"/>
      <c r="X948" s="255"/>
      <c r="Y948" s="255"/>
      <c r="Z948" s="255"/>
      <c r="AA948" s="255"/>
      <c r="AB948" s="255"/>
    </row>
    <row r="949">
      <c r="A949" s="255"/>
      <c r="B949" s="255"/>
      <c r="C949" s="261"/>
      <c r="D949" s="262"/>
      <c r="E949" s="364"/>
      <c r="F949" s="364"/>
      <c r="G949" s="355"/>
      <c r="H949" s="255"/>
      <c r="I949" s="255"/>
      <c r="J949" s="255"/>
      <c r="K949" s="255"/>
      <c r="L949" s="255"/>
      <c r="M949" s="255"/>
      <c r="N949" s="255"/>
      <c r="O949" s="255"/>
      <c r="P949" s="255"/>
      <c r="Q949" s="255"/>
      <c r="R949" s="255"/>
      <c r="S949" s="255"/>
      <c r="T949" s="255"/>
      <c r="U949" s="255"/>
      <c r="V949" s="255"/>
      <c r="W949" s="255"/>
      <c r="X949" s="255"/>
      <c r="Y949" s="255"/>
      <c r="Z949" s="255"/>
      <c r="AA949" s="255"/>
      <c r="AB949" s="255"/>
    </row>
    <row r="950">
      <c r="A950" s="255"/>
      <c r="B950" s="255"/>
      <c r="C950" s="261"/>
      <c r="D950" s="262"/>
      <c r="E950" s="364"/>
      <c r="F950" s="364"/>
      <c r="G950" s="355"/>
      <c r="H950" s="255"/>
      <c r="I950" s="255"/>
      <c r="J950" s="255"/>
      <c r="K950" s="255"/>
      <c r="L950" s="255"/>
      <c r="M950" s="255"/>
      <c r="N950" s="255"/>
      <c r="O950" s="255"/>
      <c r="P950" s="255"/>
      <c r="Q950" s="255"/>
      <c r="R950" s="255"/>
      <c r="S950" s="255"/>
      <c r="T950" s="255"/>
      <c r="U950" s="255"/>
      <c r="V950" s="255"/>
      <c r="W950" s="255"/>
      <c r="X950" s="255"/>
      <c r="Y950" s="255"/>
      <c r="Z950" s="255"/>
      <c r="AA950" s="255"/>
      <c r="AB950" s="255"/>
    </row>
    <row r="951">
      <c r="A951" s="255"/>
      <c r="B951" s="255"/>
      <c r="C951" s="261"/>
      <c r="D951" s="262"/>
      <c r="E951" s="364"/>
      <c r="F951" s="364"/>
      <c r="G951" s="355"/>
      <c r="H951" s="255"/>
      <c r="I951" s="255"/>
      <c r="J951" s="255"/>
      <c r="K951" s="255"/>
      <c r="L951" s="255"/>
      <c r="M951" s="255"/>
      <c r="N951" s="255"/>
      <c r="O951" s="255"/>
      <c r="P951" s="255"/>
      <c r="Q951" s="255"/>
      <c r="R951" s="255"/>
      <c r="S951" s="255"/>
      <c r="T951" s="255"/>
      <c r="U951" s="255"/>
      <c r="V951" s="255"/>
      <c r="W951" s="255"/>
      <c r="X951" s="255"/>
      <c r="Y951" s="255"/>
      <c r="Z951" s="255"/>
      <c r="AA951" s="255"/>
      <c r="AB951" s="255"/>
    </row>
    <row r="952">
      <c r="A952" s="255"/>
      <c r="B952" s="255"/>
      <c r="C952" s="261"/>
      <c r="D952" s="262"/>
      <c r="E952" s="364"/>
      <c r="F952" s="364"/>
      <c r="G952" s="355"/>
      <c r="H952" s="255"/>
      <c r="I952" s="255"/>
      <c r="J952" s="255"/>
      <c r="K952" s="255"/>
      <c r="L952" s="255"/>
      <c r="M952" s="255"/>
      <c r="N952" s="255"/>
      <c r="O952" s="255"/>
      <c r="P952" s="255"/>
      <c r="Q952" s="255"/>
      <c r="R952" s="255"/>
      <c r="S952" s="255"/>
      <c r="T952" s="255"/>
      <c r="U952" s="255"/>
      <c r="V952" s="255"/>
      <c r="W952" s="255"/>
      <c r="X952" s="255"/>
      <c r="Y952" s="255"/>
      <c r="Z952" s="255"/>
      <c r="AA952" s="255"/>
      <c r="AB952" s="255"/>
    </row>
    <row r="953">
      <c r="A953" s="255"/>
      <c r="B953" s="255"/>
      <c r="C953" s="261"/>
      <c r="D953" s="262"/>
      <c r="E953" s="364"/>
      <c r="F953" s="364"/>
      <c r="G953" s="355"/>
      <c r="H953" s="255"/>
      <c r="I953" s="255"/>
      <c r="J953" s="255"/>
      <c r="K953" s="255"/>
      <c r="L953" s="255"/>
      <c r="M953" s="255"/>
      <c r="N953" s="255"/>
      <c r="O953" s="255"/>
      <c r="P953" s="255"/>
      <c r="Q953" s="255"/>
      <c r="R953" s="255"/>
      <c r="S953" s="255"/>
      <c r="T953" s="255"/>
      <c r="U953" s="255"/>
      <c r="V953" s="255"/>
      <c r="W953" s="255"/>
      <c r="X953" s="255"/>
      <c r="Y953" s="255"/>
      <c r="Z953" s="255"/>
      <c r="AA953" s="255"/>
      <c r="AB953" s="255"/>
    </row>
    <row r="954">
      <c r="A954" s="255"/>
      <c r="B954" s="255"/>
      <c r="C954" s="261"/>
      <c r="D954" s="262"/>
      <c r="E954" s="364"/>
      <c r="F954" s="364"/>
      <c r="G954" s="355"/>
      <c r="H954" s="255"/>
      <c r="I954" s="255"/>
      <c r="J954" s="255"/>
      <c r="K954" s="255"/>
      <c r="L954" s="255"/>
      <c r="M954" s="255"/>
      <c r="N954" s="255"/>
      <c r="O954" s="255"/>
      <c r="P954" s="255"/>
      <c r="Q954" s="255"/>
      <c r="R954" s="255"/>
      <c r="S954" s="255"/>
      <c r="T954" s="255"/>
      <c r="U954" s="255"/>
      <c r="V954" s="255"/>
      <c r="W954" s="255"/>
      <c r="X954" s="255"/>
      <c r="Y954" s="255"/>
      <c r="Z954" s="255"/>
      <c r="AA954" s="255"/>
      <c r="AB954" s="255"/>
    </row>
    <row r="955">
      <c r="A955" s="255"/>
      <c r="B955" s="255"/>
      <c r="C955" s="261"/>
      <c r="D955" s="262"/>
      <c r="E955" s="364"/>
      <c r="F955" s="364"/>
      <c r="G955" s="355"/>
      <c r="H955" s="255"/>
      <c r="I955" s="255"/>
      <c r="J955" s="255"/>
      <c r="K955" s="255"/>
      <c r="L955" s="255"/>
      <c r="M955" s="255"/>
      <c r="N955" s="255"/>
      <c r="O955" s="255"/>
      <c r="P955" s="255"/>
      <c r="Q955" s="255"/>
      <c r="R955" s="255"/>
      <c r="S955" s="255"/>
      <c r="T955" s="255"/>
      <c r="U955" s="255"/>
      <c r="V955" s="255"/>
      <c r="W955" s="255"/>
      <c r="X955" s="255"/>
      <c r="Y955" s="255"/>
      <c r="Z955" s="255"/>
      <c r="AA955" s="255"/>
      <c r="AB955" s="255"/>
    </row>
    <row r="956">
      <c r="A956" s="255"/>
      <c r="B956" s="255"/>
      <c r="C956" s="261"/>
      <c r="D956" s="262"/>
      <c r="E956" s="364"/>
      <c r="F956" s="364"/>
      <c r="G956" s="355"/>
      <c r="H956" s="255"/>
      <c r="I956" s="255"/>
      <c r="J956" s="255"/>
      <c r="K956" s="255"/>
      <c r="L956" s="255"/>
      <c r="M956" s="255"/>
      <c r="N956" s="255"/>
      <c r="O956" s="255"/>
      <c r="P956" s="255"/>
      <c r="Q956" s="255"/>
      <c r="R956" s="255"/>
      <c r="S956" s="255"/>
      <c r="T956" s="255"/>
      <c r="U956" s="255"/>
      <c r="V956" s="255"/>
      <c r="W956" s="255"/>
      <c r="X956" s="255"/>
      <c r="Y956" s="255"/>
      <c r="Z956" s="255"/>
      <c r="AA956" s="255"/>
      <c r="AB956" s="255"/>
    </row>
    <row r="957">
      <c r="A957" s="255"/>
      <c r="B957" s="255"/>
      <c r="C957" s="261"/>
      <c r="D957" s="262"/>
      <c r="E957" s="364"/>
      <c r="F957" s="364"/>
      <c r="G957" s="355"/>
      <c r="H957" s="255"/>
      <c r="I957" s="255"/>
      <c r="J957" s="255"/>
      <c r="K957" s="255"/>
      <c r="L957" s="255"/>
      <c r="M957" s="255"/>
      <c r="N957" s="255"/>
      <c r="O957" s="255"/>
      <c r="P957" s="255"/>
      <c r="Q957" s="255"/>
      <c r="R957" s="255"/>
      <c r="S957" s="255"/>
      <c r="T957" s="255"/>
      <c r="U957" s="255"/>
      <c r="V957" s="255"/>
      <c r="W957" s="255"/>
      <c r="X957" s="255"/>
      <c r="Y957" s="255"/>
      <c r="Z957" s="255"/>
      <c r="AA957" s="255"/>
      <c r="AB957" s="255"/>
    </row>
    <row r="958">
      <c r="A958" s="255"/>
      <c r="B958" s="255"/>
      <c r="C958" s="261"/>
      <c r="D958" s="262"/>
      <c r="E958" s="364"/>
      <c r="F958" s="364"/>
      <c r="G958" s="355"/>
      <c r="H958" s="255"/>
      <c r="I958" s="255"/>
      <c r="J958" s="255"/>
      <c r="K958" s="255"/>
      <c r="L958" s="255"/>
      <c r="M958" s="255"/>
      <c r="N958" s="255"/>
      <c r="O958" s="255"/>
      <c r="P958" s="255"/>
      <c r="Q958" s="255"/>
      <c r="R958" s="255"/>
      <c r="S958" s="255"/>
      <c r="T958" s="255"/>
      <c r="U958" s="255"/>
      <c r="V958" s="255"/>
      <c r="W958" s="255"/>
      <c r="X958" s="255"/>
      <c r="Y958" s="255"/>
      <c r="Z958" s="255"/>
      <c r="AA958" s="255"/>
      <c r="AB958" s="255"/>
    </row>
    <row r="959">
      <c r="A959" s="255"/>
      <c r="B959" s="255"/>
      <c r="C959" s="261"/>
      <c r="D959" s="262"/>
      <c r="E959" s="364"/>
      <c r="F959" s="364"/>
      <c r="G959" s="355"/>
      <c r="H959" s="255"/>
      <c r="I959" s="255"/>
      <c r="J959" s="255"/>
      <c r="K959" s="255"/>
      <c r="L959" s="255"/>
      <c r="M959" s="255"/>
      <c r="N959" s="255"/>
      <c r="O959" s="255"/>
      <c r="P959" s="255"/>
      <c r="Q959" s="255"/>
      <c r="R959" s="255"/>
      <c r="S959" s="255"/>
      <c r="T959" s="255"/>
      <c r="U959" s="255"/>
      <c r="V959" s="255"/>
      <c r="W959" s="255"/>
      <c r="X959" s="255"/>
      <c r="Y959" s="255"/>
      <c r="Z959" s="255"/>
      <c r="AA959" s="255"/>
      <c r="AB959" s="255"/>
    </row>
    <row r="960">
      <c r="A960" s="255"/>
      <c r="B960" s="255"/>
      <c r="C960" s="261"/>
      <c r="D960" s="262"/>
      <c r="E960" s="364"/>
      <c r="F960" s="364"/>
      <c r="G960" s="355"/>
      <c r="H960" s="255"/>
      <c r="I960" s="255"/>
      <c r="J960" s="255"/>
      <c r="K960" s="255"/>
      <c r="L960" s="255"/>
      <c r="M960" s="255"/>
      <c r="N960" s="255"/>
      <c r="O960" s="255"/>
      <c r="P960" s="255"/>
      <c r="Q960" s="255"/>
      <c r="R960" s="255"/>
      <c r="S960" s="255"/>
      <c r="T960" s="255"/>
      <c r="U960" s="255"/>
      <c r="V960" s="255"/>
      <c r="W960" s="255"/>
      <c r="X960" s="255"/>
      <c r="Y960" s="255"/>
      <c r="Z960" s="255"/>
      <c r="AA960" s="255"/>
      <c r="AB960" s="255"/>
    </row>
    <row r="961">
      <c r="A961" s="255"/>
      <c r="B961" s="255"/>
      <c r="C961" s="261"/>
      <c r="D961" s="262"/>
      <c r="E961" s="364"/>
      <c r="F961" s="364"/>
      <c r="G961" s="355"/>
      <c r="H961" s="255"/>
      <c r="I961" s="255"/>
      <c r="J961" s="255"/>
      <c r="K961" s="255"/>
      <c r="L961" s="255"/>
      <c r="M961" s="255"/>
      <c r="N961" s="255"/>
      <c r="O961" s="255"/>
      <c r="P961" s="255"/>
      <c r="Q961" s="255"/>
      <c r="R961" s="255"/>
      <c r="S961" s="255"/>
      <c r="T961" s="255"/>
      <c r="U961" s="255"/>
      <c r="V961" s="255"/>
      <c r="W961" s="255"/>
      <c r="X961" s="255"/>
      <c r="Y961" s="255"/>
      <c r="Z961" s="255"/>
      <c r="AA961" s="255"/>
      <c r="AB961" s="255"/>
    </row>
    <row r="962">
      <c r="A962" s="255"/>
      <c r="B962" s="255"/>
      <c r="C962" s="261"/>
      <c r="D962" s="262"/>
      <c r="E962" s="364"/>
      <c r="F962" s="364"/>
      <c r="G962" s="355"/>
      <c r="H962" s="255"/>
      <c r="I962" s="255"/>
      <c r="J962" s="255"/>
      <c r="K962" s="255"/>
      <c r="L962" s="255"/>
      <c r="M962" s="255"/>
      <c r="N962" s="255"/>
      <c r="O962" s="255"/>
      <c r="P962" s="255"/>
      <c r="Q962" s="255"/>
      <c r="R962" s="255"/>
      <c r="S962" s="255"/>
      <c r="T962" s="255"/>
      <c r="U962" s="255"/>
      <c r="V962" s="255"/>
      <c r="W962" s="255"/>
      <c r="X962" s="255"/>
      <c r="Y962" s="255"/>
      <c r="Z962" s="255"/>
      <c r="AA962" s="255"/>
      <c r="AB962" s="255"/>
    </row>
    <row r="963">
      <c r="A963" s="255"/>
      <c r="B963" s="255"/>
      <c r="C963" s="261"/>
      <c r="D963" s="262"/>
      <c r="E963" s="364"/>
      <c r="F963" s="364"/>
      <c r="G963" s="355"/>
      <c r="H963" s="255"/>
      <c r="I963" s="255"/>
      <c r="J963" s="255"/>
      <c r="K963" s="255"/>
      <c r="L963" s="255"/>
      <c r="M963" s="255"/>
      <c r="N963" s="255"/>
      <c r="O963" s="255"/>
      <c r="P963" s="255"/>
      <c r="Q963" s="255"/>
      <c r="R963" s="255"/>
      <c r="S963" s="255"/>
      <c r="T963" s="255"/>
      <c r="U963" s="255"/>
      <c r="V963" s="255"/>
      <c r="W963" s="255"/>
      <c r="X963" s="255"/>
      <c r="Y963" s="255"/>
      <c r="Z963" s="255"/>
      <c r="AA963" s="255"/>
      <c r="AB963" s="255"/>
    </row>
    <row r="964">
      <c r="A964" s="255"/>
      <c r="B964" s="255"/>
      <c r="C964" s="261"/>
      <c r="D964" s="262"/>
      <c r="E964" s="364"/>
      <c r="F964" s="364"/>
      <c r="G964" s="355"/>
      <c r="H964" s="255"/>
      <c r="I964" s="255"/>
      <c r="J964" s="255"/>
      <c r="K964" s="255"/>
      <c r="L964" s="255"/>
      <c r="M964" s="255"/>
      <c r="N964" s="255"/>
      <c r="O964" s="255"/>
      <c r="P964" s="255"/>
      <c r="Q964" s="255"/>
      <c r="R964" s="255"/>
      <c r="S964" s="255"/>
      <c r="T964" s="255"/>
      <c r="U964" s="255"/>
      <c r="V964" s="255"/>
      <c r="W964" s="255"/>
      <c r="X964" s="255"/>
      <c r="Y964" s="255"/>
      <c r="Z964" s="255"/>
      <c r="AA964" s="255"/>
      <c r="AB964" s="255"/>
    </row>
    <row r="965">
      <c r="A965" s="255"/>
      <c r="B965" s="255"/>
      <c r="C965" s="261"/>
      <c r="D965" s="262"/>
      <c r="E965" s="364"/>
      <c r="F965" s="364"/>
      <c r="G965" s="355"/>
      <c r="H965" s="255"/>
      <c r="I965" s="255"/>
      <c r="J965" s="255"/>
      <c r="K965" s="255"/>
      <c r="L965" s="255"/>
      <c r="M965" s="255"/>
      <c r="N965" s="255"/>
      <c r="O965" s="255"/>
      <c r="P965" s="255"/>
      <c r="Q965" s="255"/>
      <c r="R965" s="255"/>
      <c r="S965" s="255"/>
      <c r="T965" s="255"/>
      <c r="U965" s="255"/>
      <c r="V965" s="255"/>
      <c r="W965" s="255"/>
      <c r="X965" s="255"/>
      <c r="Y965" s="255"/>
      <c r="Z965" s="255"/>
      <c r="AA965" s="255"/>
      <c r="AB965" s="255"/>
    </row>
    <row r="966">
      <c r="A966" s="255"/>
      <c r="B966" s="255"/>
      <c r="C966" s="261"/>
      <c r="D966" s="262"/>
      <c r="E966" s="364"/>
      <c r="F966" s="364"/>
      <c r="G966" s="355"/>
      <c r="H966" s="255"/>
      <c r="I966" s="255"/>
      <c r="J966" s="255"/>
      <c r="K966" s="255"/>
      <c r="L966" s="255"/>
      <c r="M966" s="255"/>
      <c r="N966" s="255"/>
      <c r="O966" s="255"/>
      <c r="P966" s="255"/>
      <c r="Q966" s="255"/>
      <c r="R966" s="255"/>
      <c r="S966" s="255"/>
      <c r="T966" s="255"/>
      <c r="U966" s="255"/>
      <c r="V966" s="255"/>
      <c r="W966" s="255"/>
      <c r="X966" s="255"/>
      <c r="Y966" s="255"/>
      <c r="Z966" s="255"/>
      <c r="AA966" s="255"/>
      <c r="AB966" s="255"/>
    </row>
    <row r="967">
      <c r="A967" s="255"/>
      <c r="B967" s="255"/>
      <c r="C967" s="261"/>
      <c r="D967" s="262"/>
      <c r="E967" s="364"/>
      <c r="F967" s="364"/>
      <c r="G967" s="355"/>
      <c r="H967" s="255"/>
      <c r="I967" s="255"/>
      <c r="J967" s="255"/>
      <c r="K967" s="255"/>
      <c r="L967" s="255"/>
      <c r="M967" s="255"/>
      <c r="N967" s="255"/>
      <c r="O967" s="255"/>
      <c r="P967" s="255"/>
      <c r="Q967" s="255"/>
      <c r="R967" s="255"/>
      <c r="S967" s="255"/>
      <c r="T967" s="255"/>
      <c r="U967" s="255"/>
      <c r="V967" s="255"/>
      <c r="W967" s="255"/>
      <c r="X967" s="255"/>
      <c r="Y967" s="255"/>
      <c r="Z967" s="255"/>
      <c r="AA967" s="255"/>
      <c r="AB967" s="255"/>
    </row>
    <row r="968">
      <c r="A968" s="255"/>
      <c r="B968" s="255"/>
      <c r="C968" s="261"/>
      <c r="D968" s="262"/>
      <c r="E968" s="364"/>
      <c r="F968" s="364"/>
      <c r="G968" s="355"/>
      <c r="H968" s="255"/>
      <c r="I968" s="255"/>
      <c r="J968" s="255"/>
      <c r="K968" s="255"/>
      <c r="L968" s="255"/>
      <c r="M968" s="255"/>
      <c r="N968" s="255"/>
      <c r="O968" s="255"/>
      <c r="P968" s="255"/>
      <c r="Q968" s="255"/>
      <c r="R968" s="255"/>
      <c r="S968" s="255"/>
      <c r="T968" s="255"/>
      <c r="U968" s="255"/>
      <c r="V968" s="255"/>
      <c r="W968" s="255"/>
      <c r="X968" s="255"/>
      <c r="Y968" s="255"/>
      <c r="Z968" s="255"/>
      <c r="AA968" s="255"/>
      <c r="AB968" s="255"/>
    </row>
    <row r="969">
      <c r="A969" s="255"/>
      <c r="B969" s="255"/>
      <c r="C969" s="261"/>
      <c r="D969" s="262"/>
      <c r="E969" s="364"/>
      <c r="F969" s="364"/>
      <c r="G969" s="355"/>
      <c r="H969" s="255"/>
      <c r="I969" s="255"/>
      <c r="J969" s="255"/>
      <c r="K969" s="255"/>
      <c r="L969" s="255"/>
      <c r="M969" s="255"/>
      <c r="N969" s="255"/>
      <c r="O969" s="255"/>
      <c r="P969" s="255"/>
      <c r="Q969" s="255"/>
      <c r="R969" s="255"/>
      <c r="S969" s="255"/>
      <c r="T969" s="255"/>
      <c r="U969" s="255"/>
      <c r="V969" s="255"/>
      <c r="W969" s="255"/>
      <c r="X969" s="255"/>
      <c r="Y969" s="255"/>
      <c r="Z969" s="255"/>
      <c r="AA969" s="255"/>
      <c r="AB969" s="255"/>
    </row>
    <row r="970">
      <c r="A970" s="255"/>
      <c r="B970" s="255"/>
      <c r="C970" s="261"/>
      <c r="D970" s="262"/>
      <c r="E970" s="364"/>
      <c r="F970" s="364"/>
      <c r="G970" s="355"/>
      <c r="H970" s="255"/>
      <c r="I970" s="255"/>
      <c r="J970" s="255"/>
      <c r="K970" s="255"/>
      <c r="L970" s="255"/>
      <c r="M970" s="255"/>
      <c r="N970" s="255"/>
      <c r="O970" s="255"/>
      <c r="P970" s="255"/>
      <c r="Q970" s="255"/>
      <c r="R970" s="255"/>
      <c r="S970" s="255"/>
      <c r="T970" s="255"/>
      <c r="U970" s="255"/>
      <c r="V970" s="255"/>
      <c r="W970" s="255"/>
      <c r="X970" s="255"/>
      <c r="Y970" s="255"/>
      <c r="Z970" s="255"/>
      <c r="AA970" s="255"/>
      <c r="AB970" s="255"/>
    </row>
    <row r="971">
      <c r="A971" s="255"/>
      <c r="B971" s="255"/>
      <c r="C971" s="261"/>
      <c r="D971" s="262"/>
      <c r="E971" s="364"/>
      <c r="F971" s="364"/>
      <c r="G971" s="355"/>
      <c r="H971" s="255"/>
      <c r="I971" s="255"/>
      <c r="J971" s="255"/>
      <c r="K971" s="255"/>
      <c r="L971" s="255"/>
      <c r="M971" s="255"/>
      <c r="N971" s="255"/>
      <c r="O971" s="255"/>
      <c r="P971" s="255"/>
      <c r="Q971" s="255"/>
      <c r="R971" s="255"/>
      <c r="S971" s="255"/>
      <c r="T971" s="255"/>
      <c r="U971" s="255"/>
      <c r="V971" s="255"/>
      <c r="W971" s="255"/>
      <c r="X971" s="255"/>
      <c r="Y971" s="255"/>
      <c r="Z971" s="255"/>
      <c r="AA971" s="255"/>
      <c r="AB971" s="255"/>
    </row>
    <row r="972">
      <c r="A972" s="255"/>
      <c r="B972" s="255"/>
      <c r="C972" s="261"/>
      <c r="D972" s="262"/>
      <c r="E972" s="364"/>
      <c r="F972" s="364"/>
      <c r="G972" s="355"/>
      <c r="H972" s="255"/>
      <c r="I972" s="255"/>
      <c r="J972" s="255"/>
      <c r="K972" s="255"/>
      <c r="L972" s="255"/>
      <c r="M972" s="255"/>
      <c r="N972" s="255"/>
      <c r="O972" s="255"/>
      <c r="P972" s="255"/>
      <c r="Q972" s="255"/>
      <c r="R972" s="255"/>
      <c r="S972" s="255"/>
      <c r="T972" s="255"/>
      <c r="U972" s="255"/>
      <c r="V972" s="255"/>
      <c r="W972" s="255"/>
      <c r="X972" s="255"/>
      <c r="Y972" s="255"/>
      <c r="Z972" s="255"/>
      <c r="AA972" s="255"/>
      <c r="AB972" s="255"/>
    </row>
    <row r="973">
      <c r="A973" s="255"/>
      <c r="B973" s="255"/>
      <c r="C973" s="261"/>
      <c r="D973" s="262"/>
      <c r="E973" s="364"/>
      <c r="F973" s="364"/>
      <c r="G973" s="355"/>
      <c r="H973" s="255"/>
      <c r="I973" s="255"/>
      <c r="J973" s="255"/>
      <c r="K973" s="255"/>
      <c r="L973" s="255"/>
      <c r="M973" s="255"/>
      <c r="N973" s="255"/>
      <c r="O973" s="255"/>
      <c r="P973" s="255"/>
      <c r="Q973" s="255"/>
      <c r="R973" s="255"/>
      <c r="S973" s="255"/>
      <c r="T973" s="255"/>
      <c r="U973" s="255"/>
      <c r="V973" s="255"/>
      <c r="W973" s="255"/>
      <c r="X973" s="255"/>
      <c r="Y973" s="255"/>
      <c r="Z973" s="255"/>
      <c r="AA973" s="255"/>
      <c r="AB973" s="255"/>
    </row>
    <row r="974">
      <c r="A974" s="255"/>
      <c r="B974" s="255"/>
      <c r="C974" s="261"/>
      <c r="D974" s="262"/>
      <c r="E974" s="364"/>
      <c r="F974" s="364"/>
      <c r="G974" s="355"/>
      <c r="H974" s="255"/>
      <c r="I974" s="255"/>
      <c r="J974" s="255"/>
      <c r="K974" s="255"/>
      <c r="L974" s="255"/>
      <c r="M974" s="255"/>
      <c r="N974" s="255"/>
      <c r="O974" s="255"/>
      <c r="P974" s="255"/>
      <c r="Q974" s="255"/>
      <c r="R974" s="255"/>
      <c r="S974" s="255"/>
      <c r="T974" s="255"/>
      <c r="U974" s="255"/>
      <c r="V974" s="255"/>
      <c r="W974" s="255"/>
      <c r="X974" s="255"/>
      <c r="Y974" s="255"/>
      <c r="Z974" s="255"/>
      <c r="AA974" s="255"/>
      <c r="AB974" s="255"/>
    </row>
    <row r="975">
      <c r="A975" s="255"/>
      <c r="B975" s="255"/>
      <c r="C975" s="261"/>
      <c r="D975" s="262"/>
      <c r="E975" s="364"/>
      <c r="F975" s="364"/>
      <c r="G975" s="355"/>
      <c r="H975" s="255"/>
      <c r="I975" s="255"/>
      <c r="J975" s="255"/>
      <c r="K975" s="255"/>
      <c r="L975" s="255"/>
      <c r="M975" s="255"/>
      <c r="N975" s="255"/>
      <c r="O975" s="255"/>
      <c r="P975" s="255"/>
      <c r="Q975" s="255"/>
      <c r="R975" s="255"/>
      <c r="S975" s="255"/>
      <c r="T975" s="255"/>
      <c r="U975" s="255"/>
      <c r="V975" s="255"/>
      <c r="W975" s="255"/>
      <c r="X975" s="255"/>
      <c r="Y975" s="255"/>
      <c r="Z975" s="255"/>
      <c r="AA975" s="255"/>
      <c r="AB975" s="255"/>
    </row>
    <row r="976">
      <c r="A976" s="255"/>
      <c r="B976" s="255"/>
      <c r="C976" s="261"/>
      <c r="D976" s="262"/>
      <c r="E976" s="364"/>
      <c r="F976" s="364"/>
      <c r="G976" s="355"/>
      <c r="H976" s="255"/>
      <c r="I976" s="255"/>
      <c r="J976" s="255"/>
      <c r="K976" s="255"/>
      <c r="L976" s="255"/>
      <c r="M976" s="255"/>
      <c r="N976" s="255"/>
      <c r="O976" s="255"/>
      <c r="P976" s="255"/>
      <c r="Q976" s="255"/>
      <c r="R976" s="255"/>
      <c r="S976" s="255"/>
      <c r="T976" s="255"/>
      <c r="U976" s="255"/>
      <c r="V976" s="255"/>
      <c r="W976" s="255"/>
      <c r="X976" s="255"/>
      <c r="Y976" s="255"/>
      <c r="Z976" s="255"/>
      <c r="AA976" s="255"/>
      <c r="AB976" s="255"/>
    </row>
    <row r="977">
      <c r="A977" s="255"/>
      <c r="B977" s="255"/>
      <c r="C977" s="261"/>
      <c r="D977" s="262"/>
      <c r="E977" s="364"/>
      <c r="F977" s="364"/>
      <c r="G977" s="355"/>
      <c r="H977" s="255"/>
      <c r="I977" s="255"/>
      <c r="J977" s="255"/>
      <c r="K977" s="255"/>
      <c r="L977" s="255"/>
      <c r="M977" s="255"/>
      <c r="N977" s="255"/>
      <c r="O977" s="255"/>
      <c r="P977" s="255"/>
      <c r="Q977" s="255"/>
      <c r="R977" s="255"/>
      <c r="S977" s="255"/>
      <c r="T977" s="255"/>
      <c r="U977" s="255"/>
      <c r="V977" s="255"/>
      <c r="W977" s="255"/>
      <c r="X977" s="255"/>
      <c r="Y977" s="255"/>
      <c r="Z977" s="255"/>
      <c r="AA977" s="255"/>
      <c r="AB977" s="255"/>
    </row>
    <row r="978">
      <c r="A978" s="255"/>
      <c r="B978" s="255"/>
      <c r="C978" s="261"/>
      <c r="D978" s="262"/>
      <c r="E978" s="364"/>
      <c r="F978" s="364"/>
      <c r="G978" s="355"/>
      <c r="H978" s="255"/>
      <c r="I978" s="255"/>
      <c r="J978" s="255"/>
      <c r="K978" s="255"/>
      <c r="L978" s="255"/>
      <c r="M978" s="255"/>
      <c r="N978" s="255"/>
      <c r="O978" s="255"/>
      <c r="P978" s="255"/>
      <c r="Q978" s="255"/>
      <c r="R978" s="255"/>
      <c r="S978" s="255"/>
      <c r="T978" s="255"/>
      <c r="U978" s="255"/>
      <c r="V978" s="255"/>
      <c r="W978" s="255"/>
      <c r="X978" s="255"/>
      <c r="Y978" s="255"/>
      <c r="Z978" s="255"/>
      <c r="AA978" s="255"/>
      <c r="AB978" s="255"/>
    </row>
    <row r="979">
      <c r="A979" s="255"/>
      <c r="B979" s="255"/>
      <c r="C979" s="261"/>
      <c r="D979" s="262"/>
      <c r="E979" s="364"/>
      <c r="F979" s="364"/>
      <c r="G979" s="355"/>
      <c r="H979" s="255"/>
      <c r="I979" s="255"/>
      <c r="J979" s="255"/>
      <c r="K979" s="255"/>
      <c r="L979" s="255"/>
      <c r="M979" s="255"/>
      <c r="N979" s="255"/>
      <c r="O979" s="255"/>
      <c r="P979" s="255"/>
      <c r="Q979" s="255"/>
      <c r="R979" s="255"/>
      <c r="S979" s="255"/>
      <c r="T979" s="255"/>
      <c r="U979" s="255"/>
      <c r="V979" s="255"/>
      <c r="W979" s="255"/>
      <c r="X979" s="255"/>
      <c r="Y979" s="255"/>
      <c r="Z979" s="255"/>
      <c r="AA979" s="255"/>
      <c r="AB979" s="255"/>
    </row>
    <row r="980">
      <c r="A980" s="255"/>
      <c r="B980" s="255"/>
      <c r="C980" s="261"/>
      <c r="D980" s="262"/>
      <c r="E980" s="364"/>
      <c r="F980" s="364"/>
      <c r="G980" s="355"/>
      <c r="H980" s="255"/>
      <c r="I980" s="255"/>
      <c r="J980" s="255"/>
      <c r="K980" s="255"/>
      <c r="L980" s="255"/>
      <c r="M980" s="255"/>
      <c r="N980" s="255"/>
      <c r="O980" s="255"/>
      <c r="P980" s="255"/>
      <c r="Q980" s="255"/>
      <c r="R980" s="255"/>
      <c r="S980" s="255"/>
      <c r="T980" s="255"/>
      <c r="U980" s="255"/>
      <c r="V980" s="255"/>
      <c r="W980" s="255"/>
      <c r="X980" s="255"/>
      <c r="Y980" s="255"/>
      <c r="Z980" s="255"/>
      <c r="AA980" s="255"/>
      <c r="AB980" s="255"/>
    </row>
    <row r="981">
      <c r="A981" s="255"/>
      <c r="B981" s="255"/>
      <c r="C981" s="261"/>
      <c r="D981" s="262"/>
      <c r="E981" s="364"/>
      <c r="F981" s="364"/>
      <c r="G981" s="355"/>
      <c r="H981" s="255"/>
      <c r="I981" s="255"/>
      <c r="J981" s="255"/>
      <c r="K981" s="255"/>
      <c r="L981" s="255"/>
      <c r="M981" s="255"/>
      <c r="N981" s="255"/>
      <c r="O981" s="255"/>
      <c r="P981" s="255"/>
      <c r="Q981" s="255"/>
      <c r="R981" s="255"/>
      <c r="S981" s="255"/>
      <c r="T981" s="255"/>
      <c r="U981" s="255"/>
      <c r="V981" s="255"/>
      <c r="W981" s="255"/>
      <c r="X981" s="255"/>
      <c r="Y981" s="255"/>
      <c r="Z981" s="255"/>
      <c r="AA981" s="255"/>
      <c r="AB981" s="255"/>
    </row>
    <row r="982">
      <c r="A982" s="255"/>
      <c r="B982" s="255"/>
      <c r="C982" s="261"/>
      <c r="D982" s="262"/>
      <c r="E982" s="364"/>
      <c r="F982" s="364"/>
      <c r="G982" s="355"/>
      <c r="H982" s="255"/>
      <c r="I982" s="255"/>
      <c r="J982" s="255"/>
      <c r="K982" s="255"/>
      <c r="L982" s="255"/>
      <c r="M982" s="255"/>
      <c r="N982" s="255"/>
      <c r="O982" s="255"/>
      <c r="P982" s="255"/>
      <c r="Q982" s="255"/>
      <c r="R982" s="255"/>
      <c r="S982" s="255"/>
      <c r="T982" s="255"/>
      <c r="U982" s="255"/>
      <c r="V982" s="255"/>
      <c r="W982" s="255"/>
      <c r="X982" s="255"/>
      <c r="Y982" s="255"/>
      <c r="Z982" s="255"/>
      <c r="AA982" s="255"/>
      <c r="AB982" s="255"/>
    </row>
    <row r="983">
      <c r="A983" s="255"/>
      <c r="B983" s="255"/>
      <c r="C983" s="261"/>
      <c r="D983" s="262"/>
      <c r="E983" s="364"/>
      <c r="F983" s="364"/>
      <c r="G983" s="355"/>
      <c r="H983" s="255"/>
      <c r="I983" s="255"/>
      <c r="J983" s="255"/>
      <c r="K983" s="255"/>
      <c r="L983" s="255"/>
      <c r="M983" s="255"/>
      <c r="N983" s="255"/>
      <c r="O983" s="255"/>
      <c r="P983" s="255"/>
      <c r="Q983" s="255"/>
      <c r="R983" s="255"/>
      <c r="S983" s="255"/>
      <c r="T983" s="255"/>
      <c r="U983" s="255"/>
      <c r="V983" s="255"/>
      <c r="W983" s="255"/>
      <c r="X983" s="255"/>
      <c r="Y983" s="255"/>
      <c r="Z983" s="255"/>
      <c r="AA983" s="255"/>
      <c r="AB983" s="255"/>
    </row>
    <row r="984">
      <c r="A984" s="255"/>
      <c r="B984" s="255"/>
      <c r="C984" s="261"/>
      <c r="D984" s="262"/>
      <c r="E984" s="364"/>
      <c r="F984" s="364"/>
      <c r="G984" s="355"/>
      <c r="H984" s="255"/>
      <c r="I984" s="255"/>
      <c r="J984" s="255"/>
      <c r="K984" s="255"/>
      <c r="L984" s="255"/>
      <c r="M984" s="255"/>
      <c r="N984" s="255"/>
      <c r="O984" s="255"/>
      <c r="P984" s="255"/>
      <c r="Q984" s="255"/>
      <c r="R984" s="255"/>
      <c r="S984" s="255"/>
      <c r="T984" s="255"/>
      <c r="U984" s="255"/>
      <c r="V984" s="255"/>
      <c r="W984" s="255"/>
      <c r="X984" s="255"/>
      <c r="Y984" s="255"/>
      <c r="Z984" s="255"/>
      <c r="AA984" s="255"/>
      <c r="AB984" s="255"/>
    </row>
    <row r="985">
      <c r="A985" s="255"/>
      <c r="B985" s="255"/>
      <c r="C985" s="261"/>
      <c r="D985" s="262"/>
      <c r="E985" s="364"/>
      <c r="F985" s="364"/>
      <c r="G985" s="355"/>
      <c r="H985" s="255"/>
      <c r="I985" s="255"/>
      <c r="J985" s="255"/>
      <c r="K985" s="255"/>
      <c r="L985" s="255"/>
      <c r="M985" s="255"/>
      <c r="N985" s="255"/>
      <c r="O985" s="255"/>
      <c r="P985" s="255"/>
      <c r="Q985" s="255"/>
      <c r="R985" s="255"/>
      <c r="S985" s="255"/>
      <c r="T985" s="255"/>
      <c r="U985" s="255"/>
      <c r="V985" s="255"/>
      <c r="W985" s="255"/>
      <c r="X985" s="255"/>
      <c r="Y985" s="255"/>
      <c r="Z985" s="255"/>
      <c r="AA985" s="255"/>
      <c r="AB985" s="255"/>
    </row>
    <row r="986">
      <c r="A986" s="255"/>
      <c r="B986" s="255"/>
      <c r="C986" s="261"/>
      <c r="D986" s="262"/>
      <c r="E986" s="364"/>
      <c r="F986" s="364"/>
      <c r="G986" s="355"/>
      <c r="H986" s="255"/>
      <c r="I986" s="255"/>
      <c r="J986" s="255"/>
      <c r="K986" s="255"/>
      <c r="L986" s="255"/>
      <c r="M986" s="255"/>
      <c r="N986" s="255"/>
      <c r="O986" s="255"/>
      <c r="P986" s="255"/>
      <c r="Q986" s="255"/>
      <c r="R986" s="255"/>
      <c r="S986" s="255"/>
      <c r="T986" s="255"/>
      <c r="U986" s="255"/>
      <c r="V986" s="255"/>
      <c r="W986" s="255"/>
      <c r="X986" s="255"/>
      <c r="Y986" s="255"/>
      <c r="Z986" s="255"/>
      <c r="AA986" s="255"/>
      <c r="AB986" s="255"/>
    </row>
    <row r="987">
      <c r="A987" s="255"/>
      <c r="B987" s="255"/>
      <c r="C987" s="261"/>
      <c r="D987" s="262"/>
      <c r="E987" s="364"/>
      <c r="F987" s="364"/>
      <c r="G987" s="355"/>
      <c r="H987" s="255"/>
      <c r="I987" s="255"/>
      <c r="J987" s="255"/>
      <c r="K987" s="255"/>
      <c r="L987" s="255"/>
      <c r="M987" s="255"/>
      <c r="N987" s="255"/>
      <c r="O987" s="255"/>
      <c r="P987" s="255"/>
      <c r="Q987" s="255"/>
      <c r="R987" s="255"/>
      <c r="S987" s="255"/>
      <c r="T987" s="255"/>
      <c r="U987" s="255"/>
      <c r="V987" s="255"/>
      <c r="W987" s="255"/>
      <c r="X987" s="255"/>
      <c r="Y987" s="255"/>
      <c r="Z987" s="255"/>
      <c r="AA987" s="255"/>
      <c r="AB987" s="255"/>
    </row>
    <row r="988">
      <c r="A988" s="255"/>
      <c r="B988" s="255"/>
      <c r="C988" s="261"/>
      <c r="D988" s="262"/>
      <c r="E988" s="364"/>
      <c r="F988" s="364"/>
      <c r="G988" s="355"/>
      <c r="H988" s="255"/>
      <c r="I988" s="255"/>
      <c r="J988" s="255"/>
      <c r="K988" s="255"/>
      <c r="L988" s="255"/>
      <c r="M988" s="255"/>
      <c r="N988" s="255"/>
      <c r="O988" s="255"/>
      <c r="P988" s="255"/>
      <c r="Q988" s="255"/>
      <c r="R988" s="255"/>
      <c r="S988" s="255"/>
      <c r="T988" s="255"/>
      <c r="U988" s="255"/>
      <c r="V988" s="255"/>
      <c r="W988" s="255"/>
      <c r="X988" s="255"/>
      <c r="Y988" s="255"/>
      <c r="Z988" s="255"/>
      <c r="AA988" s="255"/>
      <c r="AB988" s="255"/>
    </row>
    <row r="989">
      <c r="A989" s="255"/>
      <c r="B989" s="255"/>
      <c r="C989" s="261"/>
      <c r="D989" s="262"/>
      <c r="E989" s="364"/>
      <c r="F989" s="364"/>
      <c r="G989" s="355"/>
      <c r="H989" s="255"/>
      <c r="I989" s="255"/>
      <c r="J989" s="255"/>
      <c r="K989" s="255"/>
      <c r="L989" s="255"/>
      <c r="M989" s="255"/>
      <c r="N989" s="255"/>
      <c r="O989" s="255"/>
      <c r="P989" s="255"/>
      <c r="Q989" s="255"/>
      <c r="R989" s="255"/>
      <c r="S989" s="255"/>
      <c r="T989" s="255"/>
      <c r="U989" s="255"/>
      <c r="V989" s="255"/>
      <c r="W989" s="255"/>
      <c r="X989" s="255"/>
      <c r="Y989" s="255"/>
      <c r="Z989" s="255"/>
      <c r="AA989" s="255"/>
      <c r="AB989" s="255"/>
    </row>
    <row r="990">
      <c r="A990" s="255"/>
      <c r="B990" s="255"/>
      <c r="C990" s="261"/>
      <c r="D990" s="262"/>
      <c r="E990" s="364"/>
      <c r="F990" s="364"/>
      <c r="G990" s="355"/>
      <c r="H990" s="255"/>
      <c r="I990" s="255"/>
      <c r="J990" s="255"/>
      <c r="K990" s="255"/>
      <c r="L990" s="255"/>
      <c r="M990" s="255"/>
      <c r="N990" s="255"/>
      <c r="O990" s="255"/>
      <c r="P990" s="255"/>
      <c r="Q990" s="255"/>
      <c r="R990" s="255"/>
      <c r="S990" s="255"/>
      <c r="T990" s="255"/>
      <c r="U990" s="255"/>
      <c r="V990" s="255"/>
      <c r="W990" s="255"/>
      <c r="X990" s="255"/>
      <c r="Y990" s="255"/>
      <c r="Z990" s="255"/>
      <c r="AA990" s="255"/>
      <c r="AB990" s="255"/>
    </row>
    <row r="991">
      <c r="A991" s="255"/>
      <c r="B991" s="255"/>
      <c r="C991" s="261"/>
      <c r="D991" s="262"/>
      <c r="E991" s="364"/>
      <c r="F991" s="364"/>
      <c r="G991" s="355"/>
      <c r="H991" s="255"/>
      <c r="I991" s="255"/>
      <c r="J991" s="255"/>
      <c r="K991" s="255"/>
      <c r="L991" s="255"/>
      <c r="M991" s="255"/>
      <c r="N991" s="255"/>
      <c r="O991" s="255"/>
      <c r="P991" s="255"/>
      <c r="Q991" s="255"/>
      <c r="R991" s="255"/>
      <c r="S991" s="255"/>
      <c r="T991" s="255"/>
      <c r="U991" s="255"/>
      <c r="V991" s="255"/>
      <c r="W991" s="255"/>
      <c r="X991" s="255"/>
      <c r="Y991" s="255"/>
      <c r="Z991" s="255"/>
      <c r="AA991" s="255"/>
      <c r="AB991" s="255"/>
    </row>
    <row r="992">
      <c r="A992" s="255"/>
      <c r="B992" s="255"/>
      <c r="C992" s="261"/>
      <c r="D992" s="262"/>
      <c r="E992" s="364"/>
      <c r="F992" s="364"/>
      <c r="G992" s="355"/>
      <c r="H992" s="255"/>
      <c r="I992" s="255"/>
      <c r="J992" s="255"/>
      <c r="K992" s="255"/>
      <c r="L992" s="255"/>
      <c r="M992" s="255"/>
      <c r="N992" s="255"/>
      <c r="O992" s="255"/>
      <c r="P992" s="255"/>
      <c r="Q992" s="255"/>
      <c r="R992" s="255"/>
      <c r="S992" s="255"/>
      <c r="T992" s="255"/>
      <c r="U992" s="255"/>
      <c r="V992" s="255"/>
      <c r="W992" s="255"/>
      <c r="X992" s="255"/>
      <c r="Y992" s="255"/>
      <c r="Z992" s="255"/>
      <c r="AA992" s="255"/>
      <c r="AB992" s="255"/>
    </row>
    <row r="993">
      <c r="A993" s="255"/>
      <c r="B993" s="255"/>
      <c r="C993" s="261"/>
      <c r="D993" s="262"/>
      <c r="E993" s="364"/>
      <c r="F993" s="364"/>
      <c r="G993" s="355"/>
      <c r="H993" s="255"/>
      <c r="I993" s="255"/>
      <c r="J993" s="255"/>
      <c r="K993" s="255"/>
      <c r="L993" s="255"/>
      <c r="M993" s="255"/>
      <c r="N993" s="255"/>
      <c r="O993" s="255"/>
      <c r="P993" s="255"/>
      <c r="Q993" s="255"/>
      <c r="R993" s="255"/>
      <c r="S993" s="255"/>
      <c r="T993" s="255"/>
      <c r="U993" s="255"/>
      <c r="V993" s="255"/>
      <c r="W993" s="255"/>
      <c r="X993" s="255"/>
      <c r="Y993" s="255"/>
      <c r="Z993" s="255"/>
      <c r="AA993" s="255"/>
      <c r="AB993" s="255"/>
    </row>
    <row r="994">
      <c r="A994" s="255"/>
      <c r="B994" s="255"/>
      <c r="C994" s="261"/>
      <c r="D994" s="262"/>
      <c r="E994" s="364"/>
      <c r="F994" s="364"/>
      <c r="G994" s="355"/>
      <c r="H994" s="255"/>
      <c r="I994" s="255"/>
      <c r="J994" s="255"/>
      <c r="K994" s="255"/>
      <c r="L994" s="255"/>
      <c r="M994" s="255"/>
      <c r="N994" s="255"/>
      <c r="O994" s="255"/>
      <c r="P994" s="255"/>
      <c r="Q994" s="255"/>
      <c r="R994" s="255"/>
      <c r="S994" s="255"/>
      <c r="T994" s="255"/>
      <c r="U994" s="255"/>
      <c r="V994" s="255"/>
      <c r="W994" s="255"/>
      <c r="X994" s="255"/>
      <c r="Y994" s="255"/>
      <c r="Z994" s="255"/>
      <c r="AA994" s="255"/>
      <c r="AB994" s="255"/>
    </row>
    <row r="995">
      <c r="A995" s="255"/>
      <c r="B995" s="255"/>
      <c r="C995" s="261"/>
      <c r="D995" s="262"/>
      <c r="E995" s="364"/>
      <c r="F995" s="364"/>
      <c r="G995" s="355"/>
      <c r="H995" s="255"/>
      <c r="I995" s="255"/>
      <c r="J995" s="255"/>
      <c r="K995" s="255"/>
      <c r="L995" s="255"/>
      <c r="M995" s="255"/>
      <c r="N995" s="255"/>
      <c r="O995" s="255"/>
      <c r="P995" s="255"/>
      <c r="Q995" s="255"/>
      <c r="R995" s="255"/>
      <c r="S995" s="255"/>
      <c r="T995" s="255"/>
      <c r="U995" s="255"/>
      <c r="V995" s="255"/>
      <c r="W995" s="255"/>
      <c r="X995" s="255"/>
      <c r="Y995" s="255"/>
      <c r="Z995" s="255"/>
      <c r="AA995" s="255"/>
      <c r="AB995" s="255"/>
    </row>
    <row r="996">
      <c r="A996" s="255"/>
      <c r="B996" s="255"/>
      <c r="C996" s="261"/>
      <c r="D996" s="262"/>
      <c r="E996" s="364"/>
      <c r="F996" s="364"/>
      <c r="G996" s="355"/>
      <c r="H996" s="255"/>
      <c r="I996" s="255"/>
      <c r="J996" s="255"/>
      <c r="K996" s="255"/>
      <c r="L996" s="255"/>
      <c r="M996" s="255"/>
      <c r="N996" s="255"/>
      <c r="O996" s="255"/>
      <c r="P996" s="255"/>
      <c r="Q996" s="255"/>
      <c r="R996" s="255"/>
      <c r="S996" s="255"/>
      <c r="T996" s="255"/>
      <c r="U996" s="255"/>
      <c r="V996" s="255"/>
      <c r="W996" s="255"/>
      <c r="X996" s="255"/>
      <c r="Y996" s="255"/>
      <c r="Z996" s="255"/>
      <c r="AA996" s="255"/>
      <c r="AB996" s="255"/>
    </row>
    <row r="997">
      <c r="A997" s="255"/>
      <c r="B997" s="255"/>
      <c r="C997" s="261"/>
      <c r="D997" s="262"/>
      <c r="E997" s="364"/>
      <c r="F997" s="364"/>
      <c r="G997" s="355"/>
      <c r="H997" s="255"/>
      <c r="I997" s="255"/>
      <c r="J997" s="255"/>
      <c r="K997" s="255"/>
      <c r="L997" s="255"/>
      <c r="M997" s="255"/>
      <c r="N997" s="255"/>
      <c r="O997" s="255"/>
      <c r="P997" s="255"/>
      <c r="Q997" s="255"/>
      <c r="R997" s="255"/>
      <c r="S997" s="255"/>
      <c r="T997" s="255"/>
      <c r="U997" s="255"/>
      <c r="V997" s="255"/>
      <c r="W997" s="255"/>
      <c r="X997" s="255"/>
      <c r="Y997" s="255"/>
      <c r="Z997" s="255"/>
      <c r="AA997" s="255"/>
      <c r="AB997" s="255"/>
    </row>
    <row r="998">
      <c r="A998" s="255"/>
      <c r="B998" s="255"/>
      <c r="C998" s="261"/>
      <c r="D998" s="262"/>
      <c r="E998" s="364"/>
      <c r="F998" s="364"/>
      <c r="G998" s="355"/>
      <c r="H998" s="255"/>
      <c r="I998" s="255"/>
      <c r="J998" s="255"/>
      <c r="K998" s="255"/>
      <c r="L998" s="255"/>
      <c r="M998" s="255"/>
      <c r="N998" s="255"/>
      <c r="O998" s="255"/>
      <c r="P998" s="255"/>
      <c r="Q998" s="255"/>
      <c r="R998" s="255"/>
      <c r="S998" s="255"/>
      <c r="T998" s="255"/>
      <c r="U998" s="255"/>
      <c r="V998" s="255"/>
      <c r="W998" s="255"/>
      <c r="X998" s="255"/>
      <c r="Y998" s="255"/>
      <c r="Z998" s="255"/>
      <c r="AA998" s="255"/>
      <c r="AB998" s="255"/>
    </row>
  </sheetData>
  <autoFilter ref="$A$1:$AB$56">
    <sortState ref="A1:AB56">
      <sortCondition ref="A1:A56"/>
      <sortCondition ref="C1:C56"/>
    </sortState>
  </autoFilter>
  <mergeCells count="1">
    <mergeCell ref="C57:D57"/>
  </mergeCells>
  <hyperlinks>
    <hyperlink r:id="rId1" ref="H2"/>
    <hyperlink r:id="rId2" location="slide=id.g2edd551b383_0_791" ref="C63"/>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6.5"/>
    <col customWidth="1" min="3" max="3" width="28.88"/>
    <col customWidth="1" min="4" max="4" width="34.63"/>
    <col customWidth="1" min="5" max="5" width="37.63"/>
    <col customWidth="1" min="6" max="6" width="32.25"/>
    <col customWidth="1" min="7" max="7" width="49.63"/>
    <col customWidth="1" hidden="1" min="8" max="8" width="21.5"/>
    <col customWidth="1" min="9" max="9" width="15.25"/>
    <col customWidth="1" min="10" max="10" width="29.75"/>
    <col customWidth="1" min="11" max="11" width="49.5"/>
    <col customWidth="1" min="12" max="12" width="17.0"/>
    <col customWidth="1" min="13" max="13" width="26.0"/>
    <col customWidth="1" hidden="1" min="14" max="14" width="26.0"/>
    <col customWidth="1" hidden="1" min="15" max="15" width="20.75"/>
    <col customWidth="1" hidden="1" min="16" max="16" width="25.88"/>
    <col customWidth="1" hidden="1" min="17" max="17" width="20.38"/>
  </cols>
  <sheetData>
    <row r="1">
      <c r="A1" s="285" t="s">
        <v>161</v>
      </c>
      <c r="B1" s="285" t="s">
        <v>364</v>
      </c>
      <c r="C1" s="285" t="s">
        <v>365</v>
      </c>
      <c r="D1" s="285" t="s">
        <v>366</v>
      </c>
      <c r="E1" s="285" t="s">
        <v>368</v>
      </c>
      <c r="F1" s="285" t="s">
        <v>369</v>
      </c>
      <c r="G1" s="285" t="s">
        <v>370</v>
      </c>
      <c r="H1" s="285" t="s">
        <v>371</v>
      </c>
      <c r="I1" s="286" t="s">
        <v>372</v>
      </c>
      <c r="J1" s="287" t="s">
        <v>373</v>
      </c>
      <c r="K1" s="288" t="s">
        <v>375</v>
      </c>
      <c r="L1" s="289" t="s">
        <v>376</v>
      </c>
      <c r="M1" s="286" t="s">
        <v>377</v>
      </c>
      <c r="N1" s="290" t="s">
        <v>378</v>
      </c>
      <c r="O1" s="291" t="s">
        <v>379</v>
      </c>
      <c r="P1" s="292" t="s">
        <v>380</v>
      </c>
      <c r="Q1" s="286" t="s">
        <v>381</v>
      </c>
      <c r="R1" s="293"/>
      <c r="S1" s="293"/>
      <c r="T1" s="293"/>
      <c r="U1" s="293"/>
      <c r="V1" s="293"/>
      <c r="W1" s="293"/>
      <c r="X1" s="293"/>
      <c r="Y1" s="293"/>
      <c r="Z1" s="293"/>
      <c r="AA1" s="293"/>
    </row>
    <row r="2" ht="15.0" customHeight="1">
      <c r="A2" s="294" t="s">
        <v>207</v>
      </c>
      <c r="B2" s="295" t="s">
        <v>382</v>
      </c>
      <c r="C2" s="295" t="s">
        <v>382</v>
      </c>
      <c r="D2" s="295" t="s">
        <v>382</v>
      </c>
      <c r="E2" s="295" t="s">
        <v>382</v>
      </c>
      <c r="F2" s="296" t="s">
        <v>382</v>
      </c>
      <c r="G2" s="297" t="s">
        <v>382</v>
      </c>
      <c r="H2" s="298" t="s">
        <v>382</v>
      </c>
      <c r="I2" s="298" t="s">
        <v>382</v>
      </c>
      <c r="J2" s="299">
        <v>2019.0</v>
      </c>
      <c r="K2" s="300">
        <f t="shared" ref="K2:K3" si="1">O2</f>
        <v>4.2</v>
      </c>
      <c r="L2" s="301">
        <f t="shared" ref="L2:L3" si="2">IF(P2&gt;20, (1/3), IF(P2&gt;5, (2/3), 1))</f>
        <v>1</v>
      </c>
      <c r="M2" s="304" t="s">
        <v>387</v>
      </c>
      <c r="N2" s="305" t="s">
        <v>393</v>
      </c>
      <c r="O2" s="306">
        <v>4.2</v>
      </c>
      <c r="P2" s="307">
        <v>4.2</v>
      </c>
    </row>
    <row r="3" ht="15.0" customHeight="1">
      <c r="A3" s="308" t="s">
        <v>240</v>
      </c>
      <c r="B3" s="309">
        <v>87.7</v>
      </c>
      <c r="C3" s="309">
        <v>4.7</v>
      </c>
      <c r="D3" s="309">
        <v>13.5</v>
      </c>
      <c r="E3" s="310">
        <f t="shared" ref="E3:E11" si="3">(C3*D3)</f>
        <v>63.45</v>
      </c>
      <c r="F3" s="311">
        <f t="shared" ref="F3:F11" si="4">E3*12</f>
        <v>761.4</v>
      </c>
      <c r="G3" s="312" t="str">
        <f t="shared" ref="G3:G11" si="5">IF(F3&gt;=250, "Low reliability", IF(F3&gt;=50, "Medium reliability", "High reliability"))</f>
        <v>Low reliability</v>
      </c>
      <c r="H3" s="313">
        <f t="shared" ref="H3:H11" si="6">IF(F3&gt;250, (1/3), IF(F3&gt; 50, (2/3), 1))</f>
        <v>0.3333333333</v>
      </c>
      <c r="I3" s="314">
        <v>2010.0</v>
      </c>
      <c r="J3" s="310">
        <v>2019.0</v>
      </c>
      <c r="K3" s="315">
        <f t="shared" si="1"/>
        <v>12.8</v>
      </c>
      <c r="L3" s="316">
        <f t="shared" si="2"/>
        <v>0.6666666667</v>
      </c>
      <c r="M3" s="317" t="s">
        <v>387</v>
      </c>
      <c r="O3" s="318">
        <v>12.8</v>
      </c>
      <c r="P3" s="236">
        <v>12.8</v>
      </c>
      <c r="Q3" s="319"/>
    </row>
    <row r="4" ht="15.0" customHeight="1">
      <c r="A4" s="320" t="s">
        <v>268</v>
      </c>
      <c r="B4" s="321">
        <v>95.6</v>
      </c>
      <c r="C4" s="321">
        <v>28.0</v>
      </c>
      <c r="D4" s="321">
        <v>3.7</v>
      </c>
      <c r="E4" s="322">
        <f t="shared" si="3"/>
        <v>103.6</v>
      </c>
      <c r="F4" s="323">
        <f t="shared" si="4"/>
        <v>1243.2</v>
      </c>
      <c r="G4" s="324" t="str">
        <f t="shared" si="5"/>
        <v>Low reliability</v>
      </c>
      <c r="H4" s="325">
        <f t="shared" si="6"/>
        <v>0.3333333333</v>
      </c>
      <c r="I4" s="22">
        <v>2016.0</v>
      </c>
      <c r="J4" s="326" t="s">
        <v>382</v>
      </c>
      <c r="K4" s="327">
        <f t="shared" ref="K4:K7" si="7">F4</f>
        <v>1243.2</v>
      </c>
      <c r="L4" s="328">
        <f t="shared" ref="L4:L7" si="8">IF(F4&gt;250, (1/3), IF(F4&gt; 50, (2/3), 1))</f>
        <v>0.3333333333</v>
      </c>
      <c r="O4" s="326" t="s">
        <v>382</v>
      </c>
      <c r="P4" s="329" t="s">
        <v>382</v>
      </c>
      <c r="Q4" s="330"/>
    </row>
    <row r="5" ht="15.0" customHeight="1">
      <c r="A5" s="320" t="s">
        <v>329</v>
      </c>
      <c r="B5" s="321">
        <v>64.2</v>
      </c>
      <c r="C5" s="321">
        <v>2.4</v>
      </c>
      <c r="D5" s="321">
        <v>5.3</v>
      </c>
      <c r="E5" s="322">
        <f t="shared" si="3"/>
        <v>12.72</v>
      </c>
      <c r="F5" s="323">
        <f t="shared" si="4"/>
        <v>152.64</v>
      </c>
      <c r="G5" s="324" t="str">
        <f t="shared" si="5"/>
        <v>Medium reliability</v>
      </c>
      <c r="H5" s="325">
        <f t="shared" si="6"/>
        <v>0.6666666667</v>
      </c>
      <c r="I5" s="22">
        <v>2023.0</v>
      </c>
      <c r="J5" s="326" t="s">
        <v>382</v>
      </c>
      <c r="K5" s="327">
        <f t="shared" si="7"/>
        <v>152.64</v>
      </c>
      <c r="L5" s="328">
        <f t="shared" si="8"/>
        <v>0.6666666667</v>
      </c>
      <c r="O5" s="326" t="s">
        <v>382</v>
      </c>
      <c r="P5" s="329" t="s">
        <v>382</v>
      </c>
      <c r="Q5" s="330"/>
    </row>
    <row r="6" ht="15.0" customHeight="1">
      <c r="A6" s="320" t="s">
        <v>331</v>
      </c>
      <c r="B6" s="321">
        <v>91.9</v>
      </c>
      <c r="C6" s="321">
        <v>9.8</v>
      </c>
      <c r="D6" s="321">
        <v>3.3</v>
      </c>
      <c r="E6" s="322">
        <f t="shared" si="3"/>
        <v>32.34</v>
      </c>
      <c r="F6" s="323">
        <f t="shared" si="4"/>
        <v>388.08</v>
      </c>
      <c r="G6" s="324" t="str">
        <f t="shared" si="5"/>
        <v>Low reliability</v>
      </c>
      <c r="H6" s="325">
        <f t="shared" si="6"/>
        <v>0.3333333333</v>
      </c>
      <c r="I6" s="22">
        <v>2009.0</v>
      </c>
      <c r="J6" s="326" t="s">
        <v>382</v>
      </c>
      <c r="K6" s="327">
        <f t="shared" si="7"/>
        <v>388.08</v>
      </c>
      <c r="L6" s="328">
        <f t="shared" si="8"/>
        <v>0.3333333333</v>
      </c>
      <c r="O6" s="326" t="s">
        <v>382</v>
      </c>
      <c r="P6" s="329" t="s">
        <v>382</v>
      </c>
      <c r="Q6" s="330"/>
    </row>
    <row r="7" ht="15.0" customHeight="1">
      <c r="A7" s="320" t="s">
        <v>333</v>
      </c>
      <c r="B7" s="321">
        <v>85.1</v>
      </c>
      <c r="C7" s="321">
        <v>16.6</v>
      </c>
      <c r="D7" s="321">
        <v>4.8</v>
      </c>
      <c r="E7" s="322">
        <f t="shared" si="3"/>
        <v>79.68</v>
      </c>
      <c r="F7" s="323">
        <f t="shared" si="4"/>
        <v>956.16</v>
      </c>
      <c r="G7" s="324" t="str">
        <f t="shared" si="5"/>
        <v>Low reliability</v>
      </c>
      <c r="H7" s="325">
        <f t="shared" si="6"/>
        <v>0.3333333333</v>
      </c>
      <c r="I7" s="22">
        <v>2014.0</v>
      </c>
      <c r="J7" s="322">
        <v>2014.0</v>
      </c>
      <c r="K7" s="327">
        <f t="shared" si="7"/>
        <v>956.16</v>
      </c>
      <c r="L7" s="328">
        <f t="shared" si="8"/>
        <v>0.3333333333</v>
      </c>
      <c r="O7" s="318">
        <v>660.0</v>
      </c>
      <c r="P7" s="236">
        <v>660.0</v>
      </c>
      <c r="Q7" s="330"/>
    </row>
    <row r="8" ht="15.0" customHeight="1">
      <c r="A8" s="308" t="s">
        <v>225</v>
      </c>
      <c r="B8" s="309">
        <v>74.0</v>
      </c>
      <c r="C8" s="309">
        <v>3.2</v>
      </c>
      <c r="D8" s="309">
        <v>9.2</v>
      </c>
      <c r="E8" s="310">
        <f t="shared" si="3"/>
        <v>29.44</v>
      </c>
      <c r="F8" s="311">
        <f t="shared" si="4"/>
        <v>353.28</v>
      </c>
      <c r="G8" s="312" t="str">
        <f t="shared" si="5"/>
        <v>Low reliability</v>
      </c>
      <c r="H8" s="313">
        <f t="shared" si="6"/>
        <v>0.3333333333</v>
      </c>
      <c r="I8" s="314">
        <v>2009.0</v>
      </c>
      <c r="J8" s="310">
        <v>2019.0</v>
      </c>
      <c r="K8" s="315">
        <f>O8</f>
        <v>18.3</v>
      </c>
      <c r="L8" s="333">
        <f>IF(P8&gt;20, (1/3), IF(P8&gt;5, (2/3), 1))</f>
        <v>0.6666666667</v>
      </c>
      <c r="O8" s="318">
        <v>18.3</v>
      </c>
      <c r="P8" s="236">
        <v>18.3</v>
      </c>
      <c r="Q8" s="330"/>
    </row>
    <row r="9" ht="15.0" customHeight="1">
      <c r="A9" s="320" t="s">
        <v>338</v>
      </c>
      <c r="B9" s="321">
        <v>92.5</v>
      </c>
      <c r="C9" s="321">
        <v>7.6</v>
      </c>
      <c r="D9" s="321">
        <v>8.7</v>
      </c>
      <c r="E9" s="322">
        <f t="shared" si="3"/>
        <v>66.12</v>
      </c>
      <c r="F9" s="323">
        <f t="shared" si="4"/>
        <v>793.44</v>
      </c>
      <c r="G9" s="324" t="str">
        <f t="shared" si="5"/>
        <v>Low reliability</v>
      </c>
      <c r="H9" s="325">
        <f t="shared" si="6"/>
        <v>0.3333333333</v>
      </c>
      <c r="I9" s="22">
        <v>2016.0</v>
      </c>
      <c r="J9" s="326" t="s">
        <v>382</v>
      </c>
      <c r="K9" s="327">
        <f t="shared" ref="K9:K11" si="9">F9</f>
        <v>793.44</v>
      </c>
      <c r="L9" s="328">
        <f t="shared" ref="L9:L11" si="10">IF(F9&gt;250, (1/3), IF(F9&gt; 50, (2/3), 1))</f>
        <v>0.3333333333</v>
      </c>
      <c r="O9" s="326" t="s">
        <v>382</v>
      </c>
      <c r="P9" s="329" t="s">
        <v>382</v>
      </c>
      <c r="Q9" s="330"/>
    </row>
    <row r="10" ht="15.0" customHeight="1">
      <c r="A10" s="320" t="s">
        <v>340</v>
      </c>
      <c r="B10" s="321">
        <v>89.3</v>
      </c>
      <c r="C10" s="321">
        <v>28.3</v>
      </c>
      <c r="D10" s="321">
        <v>7.1</v>
      </c>
      <c r="E10" s="322">
        <f t="shared" si="3"/>
        <v>200.93</v>
      </c>
      <c r="F10" s="323">
        <f t="shared" si="4"/>
        <v>2411.16</v>
      </c>
      <c r="G10" s="324" t="str">
        <f t="shared" si="5"/>
        <v>Low reliability</v>
      </c>
      <c r="H10" s="325">
        <f t="shared" si="6"/>
        <v>0.3333333333</v>
      </c>
      <c r="I10" s="22">
        <v>2023.0</v>
      </c>
      <c r="J10" s="326" t="s">
        <v>382</v>
      </c>
      <c r="K10" s="327">
        <f t="shared" si="9"/>
        <v>2411.16</v>
      </c>
      <c r="L10" s="328">
        <f t="shared" si="10"/>
        <v>0.3333333333</v>
      </c>
      <c r="O10" s="326" t="s">
        <v>382</v>
      </c>
      <c r="P10" s="329" t="s">
        <v>382</v>
      </c>
      <c r="Q10" s="330"/>
    </row>
    <row r="11" ht="15.0" customHeight="1">
      <c r="A11" s="320" t="s">
        <v>342</v>
      </c>
      <c r="B11" s="321">
        <v>96.2</v>
      </c>
      <c r="C11" s="321">
        <v>15.9</v>
      </c>
      <c r="D11" s="321">
        <v>15.1</v>
      </c>
      <c r="E11" s="322">
        <f t="shared" si="3"/>
        <v>240.09</v>
      </c>
      <c r="F11" s="323">
        <f t="shared" si="4"/>
        <v>2881.08</v>
      </c>
      <c r="G11" s="324" t="str">
        <f t="shared" si="5"/>
        <v>Low reliability</v>
      </c>
      <c r="H11" s="325">
        <f t="shared" si="6"/>
        <v>0.3333333333</v>
      </c>
      <c r="I11" s="22">
        <v>2023.0</v>
      </c>
      <c r="J11" s="326" t="s">
        <v>382</v>
      </c>
      <c r="K11" s="327">
        <f t="shared" si="9"/>
        <v>2881.08</v>
      </c>
      <c r="L11" s="328">
        <f t="shared" si="10"/>
        <v>0.3333333333</v>
      </c>
      <c r="N11" s="2"/>
      <c r="O11" s="326" t="s">
        <v>382</v>
      </c>
      <c r="P11" s="329" t="s">
        <v>382</v>
      </c>
      <c r="Q11" s="330"/>
    </row>
    <row r="12" ht="15.0" customHeight="1">
      <c r="A12" s="320" t="s">
        <v>346</v>
      </c>
      <c r="B12" s="337" t="s">
        <v>382</v>
      </c>
      <c r="C12" s="337" t="s">
        <v>382</v>
      </c>
      <c r="D12" s="337" t="s">
        <v>382</v>
      </c>
      <c r="E12" s="337" t="s">
        <v>382</v>
      </c>
      <c r="F12" s="337" t="s">
        <v>382</v>
      </c>
      <c r="G12" s="338" t="s">
        <v>382</v>
      </c>
      <c r="H12" s="337" t="s">
        <v>382</v>
      </c>
      <c r="I12" s="326" t="s">
        <v>382</v>
      </c>
      <c r="J12" s="326" t="s">
        <v>382</v>
      </c>
      <c r="K12" s="339" t="s">
        <v>382</v>
      </c>
      <c r="L12" s="340" t="s">
        <v>382</v>
      </c>
      <c r="N12" s="2"/>
      <c r="O12" s="326" t="s">
        <v>382</v>
      </c>
      <c r="P12" s="329" t="s">
        <v>382</v>
      </c>
      <c r="Q12" s="330"/>
    </row>
    <row r="13" ht="15.0" customHeight="1">
      <c r="A13" s="320" t="s">
        <v>351</v>
      </c>
      <c r="B13" s="321">
        <v>89.7</v>
      </c>
      <c r="C13" s="321">
        <v>21.5</v>
      </c>
      <c r="D13" s="321">
        <v>34.3</v>
      </c>
      <c r="E13" s="322">
        <f t="shared" ref="E13:E17" si="11">(C13*D13)</f>
        <v>737.45</v>
      </c>
      <c r="F13" s="323">
        <f t="shared" ref="F13:F17" si="12">E13*12</f>
        <v>8849.4</v>
      </c>
      <c r="G13" s="324" t="str">
        <f t="shared" ref="G13:G17" si="13">IF(F13&gt;=250, "Low reliability", IF(F13&gt;=50, "Medium reliability", "High reliability"))</f>
        <v>Low reliability</v>
      </c>
      <c r="H13" s="325">
        <f t="shared" ref="H13:H17" si="14">IF(F13&gt;250, (1/3), IF(F13&gt; 50, (2/3), 1))</f>
        <v>0.3333333333</v>
      </c>
      <c r="I13" s="22">
        <v>2009.0</v>
      </c>
      <c r="J13" s="326" t="s">
        <v>382</v>
      </c>
      <c r="K13" s="327">
        <f t="shared" ref="K13:K17" si="15">F13</f>
        <v>8849.4</v>
      </c>
      <c r="L13" s="328">
        <f t="shared" ref="L13:L17" si="16">IF(F13&gt;250, (1/3), IF(F13&gt; 50, (2/3), 1))</f>
        <v>0.3333333333</v>
      </c>
      <c r="N13" s="2"/>
      <c r="O13" s="326" t="s">
        <v>382</v>
      </c>
      <c r="P13" s="329" t="s">
        <v>382</v>
      </c>
      <c r="Q13" s="330"/>
    </row>
    <row r="14" ht="15.0" customHeight="1">
      <c r="A14" s="320" t="s">
        <v>356</v>
      </c>
      <c r="B14" s="321">
        <v>80.3</v>
      </c>
      <c r="C14" s="321">
        <v>3.5</v>
      </c>
      <c r="D14" s="321">
        <v>3.7</v>
      </c>
      <c r="E14" s="322">
        <f t="shared" si="11"/>
        <v>12.95</v>
      </c>
      <c r="F14" s="323">
        <f t="shared" si="12"/>
        <v>155.4</v>
      </c>
      <c r="G14" s="324" t="str">
        <f t="shared" si="13"/>
        <v>Medium reliability</v>
      </c>
      <c r="H14" s="325">
        <f t="shared" si="14"/>
        <v>0.6666666667</v>
      </c>
      <c r="I14" s="22">
        <v>2023.0</v>
      </c>
      <c r="J14" s="322">
        <v>2019.0</v>
      </c>
      <c r="K14" s="327">
        <f t="shared" si="15"/>
        <v>155.4</v>
      </c>
      <c r="L14" s="328">
        <f t="shared" si="16"/>
        <v>0.6666666667</v>
      </c>
      <c r="N14" s="2"/>
      <c r="O14" s="318">
        <v>14.4</v>
      </c>
      <c r="P14" s="236">
        <v>14.4</v>
      </c>
      <c r="Q14" s="330"/>
    </row>
    <row r="15" ht="15.0" customHeight="1">
      <c r="A15" s="320" t="s">
        <v>357</v>
      </c>
      <c r="B15" s="342">
        <v>80.2</v>
      </c>
      <c r="C15" s="342">
        <v>1.6</v>
      </c>
      <c r="D15" s="342">
        <v>1.5</v>
      </c>
      <c r="E15" s="344">
        <f t="shared" si="11"/>
        <v>2.4</v>
      </c>
      <c r="F15" s="342">
        <f t="shared" si="12"/>
        <v>28.8</v>
      </c>
      <c r="G15" s="324" t="str">
        <f t="shared" si="13"/>
        <v>High reliability</v>
      </c>
      <c r="H15" s="325">
        <f t="shared" si="14"/>
        <v>1</v>
      </c>
      <c r="I15" s="22">
        <v>2013.0</v>
      </c>
      <c r="J15" s="326" t="s">
        <v>382</v>
      </c>
      <c r="K15" s="327">
        <f t="shared" si="15"/>
        <v>28.8</v>
      </c>
      <c r="L15" s="328">
        <f t="shared" si="16"/>
        <v>1</v>
      </c>
      <c r="N15" s="348" t="s">
        <v>419</v>
      </c>
      <c r="O15" s="326" t="s">
        <v>382</v>
      </c>
      <c r="P15" s="329" t="s">
        <v>382</v>
      </c>
      <c r="Q15" s="330"/>
    </row>
    <row r="16" ht="15.0" customHeight="1">
      <c r="A16" s="320" t="s">
        <v>276</v>
      </c>
      <c r="B16" s="321">
        <v>89.3</v>
      </c>
      <c r="C16" s="321">
        <v>12.3</v>
      </c>
      <c r="D16" s="321">
        <v>5.6</v>
      </c>
      <c r="E16" s="322">
        <f t="shared" si="11"/>
        <v>68.88</v>
      </c>
      <c r="F16" s="323">
        <f t="shared" si="12"/>
        <v>826.56</v>
      </c>
      <c r="G16" s="324" t="str">
        <f t="shared" si="13"/>
        <v>Low reliability</v>
      </c>
      <c r="H16" s="325">
        <f t="shared" si="14"/>
        <v>0.3333333333</v>
      </c>
      <c r="I16" s="22">
        <v>2013.0</v>
      </c>
      <c r="J16" s="326" t="s">
        <v>382</v>
      </c>
      <c r="K16" s="327">
        <f t="shared" si="15"/>
        <v>826.56</v>
      </c>
      <c r="L16" s="328">
        <f t="shared" si="16"/>
        <v>0.3333333333</v>
      </c>
      <c r="O16" s="326" t="s">
        <v>382</v>
      </c>
      <c r="P16" s="329" t="s">
        <v>382</v>
      </c>
      <c r="Q16" s="330"/>
    </row>
    <row r="17" ht="15.0" customHeight="1">
      <c r="A17" s="320" t="s">
        <v>285</v>
      </c>
      <c r="B17" s="321">
        <v>28.2</v>
      </c>
      <c r="C17" s="321">
        <v>0.8</v>
      </c>
      <c r="D17" s="321">
        <v>0.9</v>
      </c>
      <c r="E17" s="322">
        <f t="shared" si="11"/>
        <v>0.72</v>
      </c>
      <c r="F17" s="323">
        <f t="shared" si="12"/>
        <v>8.64</v>
      </c>
      <c r="G17" s="324" t="str">
        <f t="shared" si="13"/>
        <v>High reliability</v>
      </c>
      <c r="H17" s="325">
        <f t="shared" si="14"/>
        <v>1</v>
      </c>
      <c r="I17" s="22">
        <v>2020.0</v>
      </c>
      <c r="J17" s="322">
        <v>2019.0</v>
      </c>
      <c r="K17" s="327">
        <f t="shared" si="15"/>
        <v>8.64</v>
      </c>
      <c r="L17" s="328">
        <f t="shared" si="16"/>
        <v>1</v>
      </c>
      <c r="O17" s="318">
        <v>2.0</v>
      </c>
      <c r="P17" s="236">
        <v>2.0</v>
      </c>
      <c r="Q17" s="330"/>
    </row>
    <row r="18" ht="15.0" customHeight="1">
      <c r="A18" s="320" t="s">
        <v>360</v>
      </c>
      <c r="B18" s="337" t="s">
        <v>382</v>
      </c>
      <c r="C18" s="337" t="s">
        <v>382</v>
      </c>
      <c r="D18" s="337" t="s">
        <v>382</v>
      </c>
      <c r="E18" s="337" t="s">
        <v>382</v>
      </c>
      <c r="F18" s="337" t="s">
        <v>382</v>
      </c>
      <c r="G18" s="338" t="s">
        <v>382</v>
      </c>
      <c r="H18" s="337" t="s">
        <v>382</v>
      </c>
      <c r="I18" s="326" t="s">
        <v>382</v>
      </c>
      <c r="J18" s="326" t="s">
        <v>382</v>
      </c>
      <c r="K18" s="356" t="s">
        <v>382</v>
      </c>
      <c r="L18" s="340" t="s">
        <v>382</v>
      </c>
      <c r="O18" s="326" t="s">
        <v>382</v>
      </c>
      <c r="P18" s="329" t="s">
        <v>382</v>
      </c>
      <c r="Q18" s="330"/>
    </row>
    <row r="19" ht="15.0" customHeight="1">
      <c r="A19" s="308" t="s">
        <v>362</v>
      </c>
      <c r="B19" s="309">
        <v>20.5</v>
      </c>
      <c r="C19" s="309">
        <v>0.5</v>
      </c>
      <c r="D19" s="309">
        <v>2.8</v>
      </c>
      <c r="E19" s="310">
        <f t="shared" ref="E19:E29" si="17">(C19*D19)</f>
        <v>1.4</v>
      </c>
      <c r="F19" s="311">
        <f t="shared" ref="F19:F29" si="18">E19*12</f>
        <v>16.8</v>
      </c>
      <c r="G19" s="312" t="str">
        <f t="shared" ref="G19:G29" si="19">IF(F19&gt;=250, "Low reliability", IF(F19&gt;=50, "Medium reliability", "High reliability"))</f>
        <v>High reliability</v>
      </c>
      <c r="H19" s="313">
        <f t="shared" ref="H19:H29" si="20">IF(F19&gt;250, (1/3), IF(F19&gt; 50, (2/3), 1))</f>
        <v>1</v>
      </c>
      <c r="I19" s="314">
        <v>2009.0</v>
      </c>
      <c r="J19" s="310">
        <v>2014.0</v>
      </c>
      <c r="K19" s="362">
        <f>O19</f>
        <v>900</v>
      </c>
      <c r="L19" s="333">
        <f>IF(P19&gt;20, (1/3), IF(P19&gt;5, (2/3), 1))</f>
        <v>0.3333333333</v>
      </c>
      <c r="O19" s="268">
        <v>900.0</v>
      </c>
      <c r="P19" s="236">
        <v>900.0</v>
      </c>
      <c r="Q19" s="330"/>
    </row>
    <row r="20" ht="15.0" customHeight="1">
      <c r="A20" s="320" t="s">
        <v>363</v>
      </c>
      <c r="B20" s="321">
        <v>77.3</v>
      </c>
      <c r="C20" s="321">
        <v>3.7</v>
      </c>
      <c r="D20" s="321">
        <v>3.7</v>
      </c>
      <c r="E20" s="322">
        <f t="shared" si="17"/>
        <v>13.69</v>
      </c>
      <c r="F20" s="323">
        <f t="shared" si="18"/>
        <v>164.28</v>
      </c>
      <c r="G20" s="324" t="str">
        <f t="shared" si="19"/>
        <v>Medium reliability</v>
      </c>
      <c r="H20" s="325">
        <f t="shared" si="20"/>
        <v>0.6666666667</v>
      </c>
      <c r="I20" s="22">
        <v>2016.0</v>
      </c>
      <c r="J20" s="22">
        <v>2019.0</v>
      </c>
      <c r="K20" s="327">
        <f t="shared" ref="K20:K21" si="21">F20</f>
        <v>164.28</v>
      </c>
      <c r="L20" s="328">
        <f t="shared" ref="L20:L21" si="22">IF(F20&gt;250, (1/3), IF(F20&gt; 50, (2/3), 1))</f>
        <v>0.6666666667</v>
      </c>
      <c r="O20" s="318">
        <v>49.4</v>
      </c>
      <c r="P20" s="236">
        <v>49.4</v>
      </c>
      <c r="Q20" s="330"/>
    </row>
    <row r="21" ht="15.0" customHeight="1">
      <c r="A21" s="320" t="s">
        <v>255</v>
      </c>
      <c r="B21" s="321">
        <v>80.0</v>
      </c>
      <c r="C21" s="321">
        <v>8.2</v>
      </c>
      <c r="D21" s="321">
        <v>5.8</v>
      </c>
      <c r="E21" s="322">
        <f t="shared" si="17"/>
        <v>47.56</v>
      </c>
      <c r="F21" s="323">
        <f t="shared" si="18"/>
        <v>570.72</v>
      </c>
      <c r="G21" s="324" t="str">
        <f t="shared" si="19"/>
        <v>Low reliability</v>
      </c>
      <c r="H21" s="325">
        <f t="shared" si="20"/>
        <v>0.3333333333</v>
      </c>
      <c r="I21" s="22">
        <v>2015.0</v>
      </c>
      <c r="J21" s="326" t="s">
        <v>382</v>
      </c>
      <c r="K21" s="327">
        <f t="shared" si="21"/>
        <v>570.72</v>
      </c>
      <c r="L21" s="328">
        <f t="shared" si="22"/>
        <v>0.3333333333</v>
      </c>
      <c r="O21" s="326" t="s">
        <v>382</v>
      </c>
      <c r="P21" s="329" t="s">
        <v>382</v>
      </c>
      <c r="Q21" s="330"/>
    </row>
    <row r="22" ht="15.0" customHeight="1">
      <c r="A22" s="308" t="s">
        <v>374</v>
      </c>
      <c r="B22" s="309">
        <v>71.6</v>
      </c>
      <c r="C22" s="309">
        <v>4.6</v>
      </c>
      <c r="D22" s="309">
        <v>5.4</v>
      </c>
      <c r="E22" s="310">
        <f t="shared" si="17"/>
        <v>24.84</v>
      </c>
      <c r="F22" s="311">
        <f t="shared" si="18"/>
        <v>298.08</v>
      </c>
      <c r="G22" s="312" t="str">
        <f t="shared" si="19"/>
        <v>Low reliability</v>
      </c>
      <c r="H22" s="313">
        <f t="shared" si="20"/>
        <v>0.3333333333</v>
      </c>
      <c r="I22" s="314">
        <v>2009.0</v>
      </c>
      <c r="J22" s="310">
        <v>2019.0</v>
      </c>
      <c r="K22" s="315">
        <f>O22</f>
        <v>47.5</v>
      </c>
      <c r="L22" s="333">
        <f>IF(P22&gt;20, (1/3), IF(P22&gt;5, (2/3), 1))</f>
        <v>0.3333333333</v>
      </c>
      <c r="O22" s="318">
        <v>47.5</v>
      </c>
      <c r="P22" s="236">
        <v>47.5</v>
      </c>
      <c r="Q22" s="330"/>
    </row>
    <row r="23" ht="15.0" customHeight="1">
      <c r="A23" s="320" t="s">
        <v>263</v>
      </c>
      <c r="B23" s="321">
        <v>86.9</v>
      </c>
      <c r="C23" s="321">
        <v>7.6</v>
      </c>
      <c r="D23" s="321">
        <v>2.1</v>
      </c>
      <c r="E23" s="322">
        <f t="shared" si="17"/>
        <v>15.96</v>
      </c>
      <c r="F23" s="323">
        <f t="shared" si="18"/>
        <v>191.52</v>
      </c>
      <c r="G23" s="324" t="str">
        <f t="shared" si="19"/>
        <v>Medium reliability</v>
      </c>
      <c r="H23" s="325">
        <f t="shared" si="20"/>
        <v>0.6666666667</v>
      </c>
      <c r="I23" s="22">
        <v>2023.0</v>
      </c>
      <c r="J23" s="326" t="s">
        <v>382</v>
      </c>
      <c r="K23" s="327">
        <f t="shared" ref="K23:K29" si="23">F23</f>
        <v>191.52</v>
      </c>
      <c r="L23" s="328">
        <f t="shared" ref="L23:L29" si="24">IF(F23&gt;250, (1/3), IF(F23&gt; 50, (2/3), 1))</f>
        <v>0.6666666667</v>
      </c>
      <c r="O23" s="326" t="s">
        <v>382</v>
      </c>
      <c r="P23" s="329" t="s">
        <v>382</v>
      </c>
      <c r="Q23" s="330"/>
    </row>
    <row r="24" ht="15.0" customHeight="1">
      <c r="A24" s="320" t="s">
        <v>266</v>
      </c>
      <c r="B24" s="321">
        <v>73.8</v>
      </c>
      <c r="C24" s="321">
        <v>2.9</v>
      </c>
      <c r="D24" s="321">
        <v>3.1</v>
      </c>
      <c r="E24" s="322">
        <f t="shared" si="17"/>
        <v>8.99</v>
      </c>
      <c r="F24" s="323">
        <f t="shared" si="18"/>
        <v>107.88</v>
      </c>
      <c r="G24" s="324" t="str">
        <f t="shared" si="19"/>
        <v>Medium reliability</v>
      </c>
      <c r="H24" s="325">
        <f t="shared" si="20"/>
        <v>0.6666666667</v>
      </c>
      <c r="I24" s="22">
        <v>2023.0</v>
      </c>
      <c r="J24" s="322">
        <v>2019.0</v>
      </c>
      <c r="K24" s="327">
        <f t="shared" si="23"/>
        <v>107.88</v>
      </c>
      <c r="L24" s="328">
        <f t="shared" si="24"/>
        <v>0.6666666667</v>
      </c>
      <c r="O24" s="318">
        <v>55.9</v>
      </c>
      <c r="P24" s="236">
        <v>55.9</v>
      </c>
      <c r="Q24" s="330"/>
    </row>
    <row r="25" ht="15.0" customHeight="1">
      <c r="A25" s="320" t="s">
        <v>385</v>
      </c>
      <c r="B25" s="321">
        <v>84.2</v>
      </c>
      <c r="C25" s="321">
        <v>4.5</v>
      </c>
      <c r="D25" s="321">
        <v>3.2</v>
      </c>
      <c r="E25" s="322">
        <f t="shared" si="17"/>
        <v>14.4</v>
      </c>
      <c r="F25" s="323">
        <f t="shared" si="18"/>
        <v>172.8</v>
      </c>
      <c r="G25" s="324" t="str">
        <f t="shared" si="19"/>
        <v>Medium reliability</v>
      </c>
      <c r="H25" s="325">
        <f t="shared" si="20"/>
        <v>0.6666666667</v>
      </c>
      <c r="I25" s="22">
        <v>2016.0</v>
      </c>
      <c r="J25" s="329" t="s">
        <v>382</v>
      </c>
      <c r="K25" s="327">
        <f t="shared" si="23"/>
        <v>172.8</v>
      </c>
      <c r="L25" s="328">
        <f t="shared" si="24"/>
        <v>0.6666666667</v>
      </c>
      <c r="N25" s="2"/>
      <c r="O25" s="326" t="s">
        <v>382</v>
      </c>
      <c r="P25" s="329" t="s">
        <v>382</v>
      </c>
      <c r="Q25" s="330"/>
    </row>
    <row r="26" ht="15.0" customHeight="1">
      <c r="A26" s="320" t="s">
        <v>386</v>
      </c>
      <c r="B26" s="321">
        <v>57.1</v>
      </c>
      <c r="C26" s="321">
        <v>5.2</v>
      </c>
      <c r="D26" s="321">
        <v>17.9</v>
      </c>
      <c r="E26" s="322">
        <f t="shared" si="17"/>
        <v>93.08</v>
      </c>
      <c r="F26" s="323">
        <f t="shared" si="18"/>
        <v>1116.96</v>
      </c>
      <c r="G26" s="324" t="str">
        <f t="shared" si="19"/>
        <v>Low reliability</v>
      </c>
      <c r="H26" s="325">
        <f t="shared" si="20"/>
        <v>0.3333333333</v>
      </c>
      <c r="I26" s="22">
        <v>2006.0</v>
      </c>
      <c r="J26" s="329" t="s">
        <v>382</v>
      </c>
      <c r="K26" s="327">
        <f t="shared" si="23"/>
        <v>1116.96</v>
      </c>
      <c r="L26" s="328">
        <f t="shared" si="24"/>
        <v>0.3333333333</v>
      </c>
      <c r="N26" s="2"/>
      <c r="O26" s="326" t="s">
        <v>382</v>
      </c>
      <c r="P26" s="329" t="s">
        <v>382</v>
      </c>
      <c r="Q26" s="330"/>
    </row>
    <row r="27" ht="15.0" customHeight="1">
      <c r="A27" s="320" t="s">
        <v>280</v>
      </c>
      <c r="B27" s="321">
        <v>82.8</v>
      </c>
      <c r="C27" s="321">
        <v>3.8</v>
      </c>
      <c r="D27" s="321">
        <v>5.8</v>
      </c>
      <c r="E27" s="322">
        <f t="shared" si="17"/>
        <v>22.04</v>
      </c>
      <c r="F27" s="323">
        <f t="shared" si="18"/>
        <v>264.48</v>
      </c>
      <c r="G27" s="324" t="str">
        <f t="shared" si="19"/>
        <v>Low reliability</v>
      </c>
      <c r="H27" s="325">
        <f t="shared" si="20"/>
        <v>0.3333333333</v>
      </c>
      <c r="I27" s="22">
        <v>2018.0</v>
      </c>
      <c r="J27" s="322">
        <v>2019.0</v>
      </c>
      <c r="K27" s="327">
        <f t="shared" si="23"/>
        <v>264.48</v>
      </c>
      <c r="L27" s="328">
        <f t="shared" si="24"/>
        <v>0.3333333333</v>
      </c>
      <c r="N27" s="2"/>
      <c r="O27" s="318">
        <v>12.0</v>
      </c>
      <c r="P27" s="236">
        <v>12.0</v>
      </c>
      <c r="Q27" s="330"/>
    </row>
    <row r="28" ht="15.0" customHeight="1">
      <c r="A28" s="320" t="s">
        <v>392</v>
      </c>
      <c r="B28" s="321">
        <v>64.6</v>
      </c>
      <c r="C28" s="321">
        <v>1.9</v>
      </c>
      <c r="D28" s="321">
        <v>4.3</v>
      </c>
      <c r="E28" s="322">
        <f t="shared" si="17"/>
        <v>8.17</v>
      </c>
      <c r="F28" s="323">
        <f t="shared" si="18"/>
        <v>98.04</v>
      </c>
      <c r="G28" s="324" t="str">
        <f t="shared" si="19"/>
        <v>Medium reliability</v>
      </c>
      <c r="H28" s="325">
        <f t="shared" si="20"/>
        <v>0.6666666667</v>
      </c>
      <c r="I28" s="22">
        <v>2023.0</v>
      </c>
      <c r="J28" s="329" t="s">
        <v>382</v>
      </c>
      <c r="K28" s="327">
        <f t="shared" si="23"/>
        <v>98.04</v>
      </c>
      <c r="L28" s="328">
        <f t="shared" si="24"/>
        <v>0.6666666667</v>
      </c>
      <c r="N28" s="2"/>
      <c r="O28" s="326" t="s">
        <v>382</v>
      </c>
      <c r="P28" s="329" t="s">
        <v>382</v>
      </c>
      <c r="Q28" s="330"/>
    </row>
    <row r="29" ht="15.0" customHeight="1">
      <c r="A29" s="320" t="s">
        <v>394</v>
      </c>
      <c r="B29" s="321">
        <v>44.3</v>
      </c>
      <c r="C29" s="321">
        <v>4.5</v>
      </c>
      <c r="D29" s="321">
        <v>8.3</v>
      </c>
      <c r="E29" s="322">
        <f t="shared" si="17"/>
        <v>37.35</v>
      </c>
      <c r="F29" s="323">
        <f t="shared" si="18"/>
        <v>448.2</v>
      </c>
      <c r="G29" s="324" t="str">
        <f t="shared" si="19"/>
        <v>Low reliability</v>
      </c>
      <c r="H29" s="325">
        <f t="shared" si="20"/>
        <v>0.3333333333</v>
      </c>
      <c r="I29" s="22">
        <v>2017.0</v>
      </c>
      <c r="J29" s="322">
        <v>2016.0</v>
      </c>
      <c r="K29" s="327">
        <f t="shared" si="23"/>
        <v>448.2</v>
      </c>
      <c r="L29" s="328">
        <f t="shared" si="24"/>
        <v>0.3333333333</v>
      </c>
      <c r="N29" s="2"/>
      <c r="O29" s="318">
        <v>96.4</v>
      </c>
      <c r="P29" s="236">
        <v>96.4</v>
      </c>
      <c r="Q29" s="330"/>
    </row>
    <row r="30" ht="15.0" customHeight="1">
      <c r="A30" s="377" t="s">
        <v>396</v>
      </c>
      <c r="B30" s="337" t="s">
        <v>382</v>
      </c>
      <c r="C30" s="337" t="s">
        <v>382</v>
      </c>
      <c r="D30" s="337" t="s">
        <v>382</v>
      </c>
      <c r="E30" s="337" t="s">
        <v>382</v>
      </c>
      <c r="F30" s="337" t="s">
        <v>382</v>
      </c>
      <c r="G30" s="338" t="s">
        <v>382</v>
      </c>
      <c r="H30" s="338" t="s">
        <v>382</v>
      </c>
      <c r="I30" s="326" t="s">
        <v>382</v>
      </c>
      <c r="J30" s="310">
        <v>2015.0</v>
      </c>
      <c r="K30" s="378">
        <f>O30</f>
        <v>1883.4</v>
      </c>
      <c r="L30" s="333">
        <f>IF(P30&gt;20, (1/3), IF(P30&gt;5, (2/3), 1))</f>
        <v>0.3333333333</v>
      </c>
      <c r="N30" s="2"/>
      <c r="O30" s="379">
        <v>1883.4</v>
      </c>
      <c r="P30" s="380">
        <v>1883.4</v>
      </c>
      <c r="Q30" s="330"/>
    </row>
    <row r="31" ht="15.0" customHeight="1">
      <c r="A31" s="320" t="s">
        <v>336</v>
      </c>
      <c r="B31" s="321">
        <v>52.4</v>
      </c>
      <c r="C31" s="321">
        <v>6.3</v>
      </c>
      <c r="D31" s="321">
        <v>3.9</v>
      </c>
      <c r="E31" s="322">
        <f t="shared" ref="E31:E41" si="25">(C31*D31)</f>
        <v>24.57</v>
      </c>
      <c r="F31" s="323">
        <f t="shared" ref="F31:F41" si="26">E31*12</f>
        <v>294.84</v>
      </c>
      <c r="G31" s="324" t="str">
        <f t="shared" ref="G31:G41" si="27">IF(F31&gt;=250, "Low reliability", IF(F31&gt;=50, "Medium reliability", "High reliability"))</f>
        <v>Low reliability</v>
      </c>
      <c r="H31" s="325">
        <f t="shared" ref="H31:H41" si="28">IF(F31&gt;250, (1/3), IF(F31&gt; 50, (2/3), 1))</f>
        <v>0.3333333333</v>
      </c>
      <c r="I31" s="22">
        <v>2022.0</v>
      </c>
      <c r="J31" s="329" t="s">
        <v>382</v>
      </c>
      <c r="K31" s="327">
        <f t="shared" ref="K31:K41" si="29">F31</f>
        <v>294.84</v>
      </c>
      <c r="L31" s="328">
        <f t="shared" ref="L31:L41" si="30">IF(F31&gt;250, (1/3), IF(F31&gt; 50, (2/3), 1))</f>
        <v>0.3333333333</v>
      </c>
      <c r="N31" s="2"/>
      <c r="O31" s="326" t="s">
        <v>382</v>
      </c>
      <c r="P31" s="329" t="s">
        <v>382</v>
      </c>
      <c r="Q31" s="330"/>
    </row>
    <row r="32" ht="15.0" customHeight="1">
      <c r="A32" s="320" t="s">
        <v>343</v>
      </c>
      <c r="B32" s="321">
        <v>82.9</v>
      </c>
      <c r="C32" s="321">
        <v>6.7</v>
      </c>
      <c r="D32" s="321">
        <v>4.3</v>
      </c>
      <c r="E32" s="322">
        <f t="shared" si="25"/>
        <v>28.81</v>
      </c>
      <c r="F32" s="323">
        <f t="shared" si="26"/>
        <v>345.72</v>
      </c>
      <c r="G32" s="324" t="str">
        <f t="shared" si="27"/>
        <v>Low reliability</v>
      </c>
      <c r="H32" s="325">
        <f t="shared" si="28"/>
        <v>0.3333333333</v>
      </c>
      <c r="I32" s="22">
        <v>2014.0</v>
      </c>
      <c r="J32" s="329" t="s">
        <v>382</v>
      </c>
      <c r="K32" s="327">
        <f t="shared" si="29"/>
        <v>345.72</v>
      </c>
      <c r="L32" s="328">
        <f t="shared" si="30"/>
        <v>0.3333333333</v>
      </c>
      <c r="N32" s="2"/>
      <c r="O32" s="326" t="s">
        <v>382</v>
      </c>
      <c r="P32" s="329" t="s">
        <v>382</v>
      </c>
      <c r="Q32" s="330"/>
    </row>
    <row r="33" ht="15.0" customHeight="1">
      <c r="A33" s="320" t="s">
        <v>399</v>
      </c>
      <c r="B33" s="321">
        <v>86.6</v>
      </c>
      <c r="C33" s="321">
        <v>4.2</v>
      </c>
      <c r="D33" s="321">
        <v>5.1</v>
      </c>
      <c r="E33" s="322">
        <f t="shared" si="25"/>
        <v>21.42</v>
      </c>
      <c r="F33" s="323">
        <f t="shared" si="26"/>
        <v>257.04</v>
      </c>
      <c r="G33" s="324" t="str">
        <f t="shared" si="27"/>
        <v>Low reliability</v>
      </c>
      <c r="H33" s="325">
        <f t="shared" si="28"/>
        <v>0.3333333333</v>
      </c>
      <c r="I33" s="22">
        <v>2016.0</v>
      </c>
      <c r="J33" s="322">
        <v>2015.0</v>
      </c>
      <c r="K33" s="327">
        <f t="shared" si="29"/>
        <v>257.04</v>
      </c>
      <c r="L33" s="328">
        <f t="shared" si="30"/>
        <v>0.3333333333</v>
      </c>
      <c r="N33" s="2"/>
      <c r="O33" s="318">
        <v>168.0</v>
      </c>
      <c r="P33" s="236">
        <v>168.0</v>
      </c>
      <c r="Q33" s="330"/>
    </row>
    <row r="34" ht="15.0" customHeight="1">
      <c r="A34" s="320" t="s">
        <v>401</v>
      </c>
      <c r="B34" s="321">
        <v>90.7</v>
      </c>
      <c r="C34" s="321">
        <v>5.3</v>
      </c>
      <c r="D34" s="321">
        <v>2.6</v>
      </c>
      <c r="E34" s="322">
        <f t="shared" si="25"/>
        <v>13.78</v>
      </c>
      <c r="F34" s="323">
        <f t="shared" si="26"/>
        <v>165.36</v>
      </c>
      <c r="G34" s="324" t="str">
        <f t="shared" si="27"/>
        <v>Medium reliability</v>
      </c>
      <c r="H34" s="325">
        <f t="shared" si="28"/>
        <v>0.6666666667</v>
      </c>
      <c r="I34" s="22">
        <v>2014.0</v>
      </c>
      <c r="J34" s="329" t="s">
        <v>382</v>
      </c>
      <c r="K34" s="327">
        <f t="shared" si="29"/>
        <v>165.36</v>
      </c>
      <c r="L34" s="328">
        <f t="shared" si="30"/>
        <v>0.6666666667</v>
      </c>
      <c r="N34" s="2"/>
      <c r="O34" s="326" t="s">
        <v>382</v>
      </c>
      <c r="P34" s="329" t="s">
        <v>382</v>
      </c>
      <c r="Q34" s="330"/>
    </row>
    <row r="35" ht="15.0" customHeight="1">
      <c r="A35" s="320" t="s">
        <v>354</v>
      </c>
      <c r="B35" s="321">
        <v>40.4</v>
      </c>
      <c r="C35" s="321">
        <v>1.0</v>
      </c>
      <c r="D35" s="321">
        <v>4.0</v>
      </c>
      <c r="E35" s="322">
        <f t="shared" si="25"/>
        <v>4</v>
      </c>
      <c r="F35" s="323">
        <f t="shared" si="26"/>
        <v>48</v>
      </c>
      <c r="G35" s="324" t="str">
        <f t="shared" si="27"/>
        <v>High reliability</v>
      </c>
      <c r="H35" s="325">
        <f t="shared" si="28"/>
        <v>1</v>
      </c>
      <c r="I35" s="22">
        <v>2023.0</v>
      </c>
      <c r="J35" s="322">
        <v>2019.0</v>
      </c>
      <c r="K35" s="327">
        <f t="shared" si="29"/>
        <v>48</v>
      </c>
      <c r="L35" s="328">
        <f t="shared" si="30"/>
        <v>1</v>
      </c>
      <c r="N35" s="2"/>
      <c r="O35" s="318">
        <v>1.6</v>
      </c>
      <c r="P35" s="236">
        <v>1.6</v>
      </c>
      <c r="Q35" s="330"/>
    </row>
    <row r="36" ht="15.0" customHeight="1">
      <c r="A36" s="320" t="s">
        <v>290</v>
      </c>
      <c r="B36" s="321">
        <v>10.9</v>
      </c>
      <c r="C36" s="321">
        <v>0.2</v>
      </c>
      <c r="D36" s="321">
        <v>0.3</v>
      </c>
      <c r="E36" s="322">
        <f t="shared" si="25"/>
        <v>0.06</v>
      </c>
      <c r="F36" s="323">
        <f t="shared" si="26"/>
        <v>0.72</v>
      </c>
      <c r="G36" s="324" t="str">
        <f t="shared" si="27"/>
        <v>High reliability</v>
      </c>
      <c r="H36" s="325">
        <f t="shared" si="28"/>
        <v>1</v>
      </c>
      <c r="I36" s="22">
        <v>2023.0</v>
      </c>
      <c r="J36" s="322">
        <v>2019.0</v>
      </c>
      <c r="K36" s="327">
        <f t="shared" si="29"/>
        <v>0.72</v>
      </c>
      <c r="L36" s="328">
        <f t="shared" si="30"/>
        <v>1</v>
      </c>
      <c r="N36" s="2"/>
      <c r="O36" s="318">
        <v>0.5</v>
      </c>
      <c r="P36" s="236">
        <v>0.5</v>
      </c>
      <c r="Q36" s="330"/>
    </row>
    <row r="37" ht="15.0" customHeight="1">
      <c r="A37" s="320" t="s">
        <v>291</v>
      </c>
      <c r="B37" s="321">
        <v>52.8</v>
      </c>
      <c r="C37" s="321">
        <v>1.6</v>
      </c>
      <c r="D37" s="321">
        <v>5.4</v>
      </c>
      <c r="E37" s="322">
        <f t="shared" si="25"/>
        <v>8.64</v>
      </c>
      <c r="F37" s="323">
        <f t="shared" si="26"/>
        <v>103.68</v>
      </c>
      <c r="G37" s="324" t="str">
        <f t="shared" si="27"/>
        <v>Medium reliability</v>
      </c>
      <c r="H37" s="325">
        <f t="shared" si="28"/>
        <v>0.6666666667</v>
      </c>
      <c r="I37" s="22">
        <v>2018.0</v>
      </c>
      <c r="J37" s="322">
        <v>2019.0</v>
      </c>
      <c r="K37" s="327">
        <f t="shared" si="29"/>
        <v>103.68</v>
      </c>
      <c r="L37" s="328">
        <f t="shared" si="30"/>
        <v>0.6666666667</v>
      </c>
      <c r="N37" s="2"/>
      <c r="O37" s="318">
        <v>80.0</v>
      </c>
      <c r="P37" s="236">
        <v>80.0</v>
      </c>
      <c r="Q37" s="330"/>
    </row>
    <row r="38" ht="15.0" customHeight="1">
      <c r="A38" s="320" t="s">
        <v>296</v>
      </c>
      <c r="B38" s="321">
        <v>26.9</v>
      </c>
      <c r="C38" s="321">
        <v>0.6</v>
      </c>
      <c r="D38" s="321">
        <v>5.8</v>
      </c>
      <c r="E38" s="322">
        <f t="shared" si="25"/>
        <v>3.48</v>
      </c>
      <c r="F38" s="323">
        <f t="shared" si="26"/>
        <v>41.76</v>
      </c>
      <c r="G38" s="324" t="str">
        <f t="shared" si="27"/>
        <v>High reliability</v>
      </c>
      <c r="H38" s="325">
        <f t="shared" si="28"/>
        <v>1</v>
      </c>
      <c r="I38" s="22">
        <v>2014.0</v>
      </c>
      <c r="J38" s="322">
        <v>2019.0</v>
      </c>
      <c r="K38" s="327">
        <f t="shared" si="29"/>
        <v>41.76</v>
      </c>
      <c r="L38" s="328">
        <f t="shared" si="30"/>
        <v>1</v>
      </c>
      <c r="N38" s="2"/>
      <c r="O38" s="318">
        <v>0.5</v>
      </c>
      <c r="P38" s="236">
        <v>0.5</v>
      </c>
      <c r="Q38" s="330"/>
    </row>
    <row r="39" ht="14.25" customHeight="1">
      <c r="A39" s="320" t="s">
        <v>407</v>
      </c>
      <c r="B39" s="321">
        <v>78.0</v>
      </c>
      <c r="C39" s="321">
        <v>22.0</v>
      </c>
      <c r="D39" s="321">
        <v>5.2</v>
      </c>
      <c r="E39" s="322">
        <f t="shared" si="25"/>
        <v>114.4</v>
      </c>
      <c r="F39" s="323">
        <f t="shared" si="26"/>
        <v>1372.8</v>
      </c>
      <c r="G39" s="324" t="str">
        <f t="shared" si="27"/>
        <v>Low reliability</v>
      </c>
      <c r="H39" s="325">
        <f t="shared" si="28"/>
        <v>0.3333333333</v>
      </c>
      <c r="I39" s="22">
        <v>2017.0</v>
      </c>
      <c r="J39" s="322">
        <v>2019.0</v>
      </c>
      <c r="K39" s="327">
        <f t="shared" si="29"/>
        <v>1372.8</v>
      </c>
      <c r="L39" s="328">
        <f t="shared" si="30"/>
        <v>0.3333333333</v>
      </c>
      <c r="N39" s="2"/>
      <c r="O39" s="318">
        <v>165.0</v>
      </c>
      <c r="P39" s="236">
        <v>165.0</v>
      </c>
      <c r="Q39" s="330"/>
    </row>
    <row r="40" ht="15.0" customHeight="1">
      <c r="A40" s="320" t="s">
        <v>299</v>
      </c>
      <c r="B40" s="321">
        <v>77.6</v>
      </c>
      <c r="C40" s="321">
        <v>32.8</v>
      </c>
      <c r="D40" s="321">
        <v>11.6</v>
      </c>
      <c r="E40" s="322">
        <f t="shared" si="25"/>
        <v>380.48</v>
      </c>
      <c r="F40" s="323">
        <f t="shared" si="26"/>
        <v>4565.76</v>
      </c>
      <c r="G40" s="324" t="str">
        <f t="shared" si="27"/>
        <v>Low reliability</v>
      </c>
      <c r="H40" s="325">
        <f t="shared" si="28"/>
        <v>0.3333333333</v>
      </c>
      <c r="I40" s="22">
        <v>2014.0</v>
      </c>
      <c r="J40" s="329" t="s">
        <v>382</v>
      </c>
      <c r="K40" s="327">
        <f t="shared" si="29"/>
        <v>4565.76</v>
      </c>
      <c r="L40" s="328">
        <f t="shared" si="30"/>
        <v>0.3333333333</v>
      </c>
      <c r="N40" s="2"/>
      <c r="O40" s="326" t="s">
        <v>382</v>
      </c>
      <c r="P40" s="329" t="s">
        <v>382</v>
      </c>
      <c r="Q40" s="330"/>
    </row>
    <row r="41" ht="15.0" customHeight="1">
      <c r="A41" s="320" t="s">
        <v>302</v>
      </c>
      <c r="B41" s="321">
        <v>60.6</v>
      </c>
      <c r="C41" s="321">
        <v>1.8</v>
      </c>
      <c r="D41" s="321">
        <v>4.5</v>
      </c>
      <c r="E41" s="322">
        <f t="shared" si="25"/>
        <v>8.1</v>
      </c>
      <c r="F41" s="323">
        <f t="shared" si="26"/>
        <v>97.2</v>
      </c>
      <c r="G41" s="324" t="str">
        <f t="shared" si="27"/>
        <v>Medium reliability</v>
      </c>
      <c r="H41" s="325">
        <f t="shared" si="28"/>
        <v>0.6666666667</v>
      </c>
      <c r="I41" s="22">
        <v>2023.0</v>
      </c>
      <c r="J41" s="322">
        <v>2019.0</v>
      </c>
      <c r="K41" s="327">
        <f t="shared" si="29"/>
        <v>97.2</v>
      </c>
      <c r="L41" s="328">
        <f t="shared" si="30"/>
        <v>0.6666666667</v>
      </c>
      <c r="N41" s="2"/>
      <c r="O41" s="318">
        <v>2.8</v>
      </c>
      <c r="P41" s="236">
        <v>2.8</v>
      </c>
      <c r="Q41" s="330"/>
    </row>
    <row r="42" ht="15.0" customHeight="1">
      <c r="A42" s="320" t="s">
        <v>410</v>
      </c>
      <c r="B42" s="337" t="s">
        <v>382</v>
      </c>
      <c r="C42" s="337" t="s">
        <v>382</v>
      </c>
      <c r="D42" s="337" t="s">
        <v>382</v>
      </c>
      <c r="E42" s="337" t="s">
        <v>382</v>
      </c>
      <c r="F42" s="337" t="s">
        <v>382</v>
      </c>
      <c r="G42" s="338" t="s">
        <v>382</v>
      </c>
      <c r="H42" s="337" t="s">
        <v>382</v>
      </c>
      <c r="I42" s="326" t="s">
        <v>382</v>
      </c>
      <c r="J42" s="329" t="s">
        <v>382</v>
      </c>
      <c r="K42" s="356" t="s">
        <v>382</v>
      </c>
      <c r="L42" s="340" t="s">
        <v>382</v>
      </c>
      <c r="N42" s="2"/>
      <c r="O42" s="326" t="s">
        <v>382</v>
      </c>
      <c r="P42" s="329" t="s">
        <v>382</v>
      </c>
      <c r="Q42" s="330"/>
    </row>
    <row r="43" ht="15.0" customHeight="1">
      <c r="A43" s="320" t="s">
        <v>411</v>
      </c>
      <c r="B43" s="321">
        <v>83.7</v>
      </c>
      <c r="C43" s="321">
        <v>6.0</v>
      </c>
      <c r="D43" s="321">
        <v>1.8</v>
      </c>
      <c r="E43" s="322">
        <f t="shared" ref="E43:E45" si="31">(C43*D43)</f>
        <v>10.8</v>
      </c>
      <c r="F43" s="323">
        <f t="shared" ref="F43:F45" si="32">E43*12</f>
        <v>129.6</v>
      </c>
      <c r="G43" s="324" t="str">
        <f t="shared" ref="G43:G45" si="33">IF(F43&gt;=250, "Low reliability", IF(F43&gt;=50, "Medium reliability", "High reliability"))</f>
        <v>Medium reliability</v>
      </c>
      <c r="H43" s="325">
        <f t="shared" ref="H43:H45" si="34">IF(F43&gt;250, (1/3), IF(F43&gt; 50, (2/3), 1))</f>
        <v>0.6666666667</v>
      </c>
      <c r="I43" s="22">
        <v>2014.0</v>
      </c>
      <c r="J43" s="322">
        <v>2019.0</v>
      </c>
      <c r="K43" s="327">
        <f t="shared" ref="K43:K45" si="35">F43</f>
        <v>129.6</v>
      </c>
      <c r="L43" s="328">
        <f t="shared" ref="L43:L45" si="36">IF(F43&gt;250, (1/3), IF(F43&gt; 50, (2/3), 1))</f>
        <v>0.6666666667</v>
      </c>
      <c r="N43" s="2"/>
      <c r="O43" s="318">
        <v>17.4</v>
      </c>
      <c r="P43" s="236">
        <v>17.4</v>
      </c>
      <c r="Q43" s="330"/>
    </row>
    <row r="44" ht="15.0" customHeight="1">
      <c r="A44" s="320" t="s">
        <v>309</v>
      </c>
      <c r="B44" s="321">
        <v>38.3</v>
      </c>
      <c r="C44" s="321">
        <v>0.5</v>
      </c>
      <c r="D44" s="321">
        <v>4.0</v>
      </c>
      <c r="E44" s="322">
        <f t="shared" si="31"/>
        <v>2</v>
      </c>
      <c r="F44" s="323">
        <f t="shared" si="32"/>
        <v>24</v>
      </c>
      <c r="G44" s="324" t="str">
        <f t="shared" si="33"/>
        <v>High reliability</v>
      </c>
      <c r="H44" s="325">
        <f t="shared" si="34"/>
        <v>1</v>
      </c>
      <c r="I44" s="22">
        <v>2023.0</v>
      </c>
      <c r="J44" s="322">
        <v>2019.0</v>
      </c>
      <c r="K44" s="327">
        <f t="shared" si="35"/>
        <v>24</v>
      </c>
      <c r="L44" s="328">
        <f t="shared" si="36"/>
        <v>1</v>
      </c>
      <c r="N44" s="2"/>
      <c r="O44" s="318">
        <v>0.8</v>
      </c>
      <c r="P44" s="236">
        <v>0.8</v>
      </c>
      <c r="Q44" s="330"/>
    </row>
    <row r="45" ht="15.0" customHeight="1">
      <c r="A45" s="320" t="s">
        <v>412</v>
      </c>
      <c r="B45" s="321">
        <v>66.2</v>
      </c>
      <c r="C45" s="321">
        <v>4.0</v>
      </c>
      <c r="D45" s="321">
        <v>8.9</v>
      </c>
      <c r="E45" s="322">
        <f t="shared" si="31"/>
        <v>35.6</v>
      </c>
      <c r="F45" s="323">
        <f t="shared" si="32"/>
        <v>427.2</v>
      </c>
      <c r="G45" s="324" t="str">
        <f t="shared" si="33"/>
        <v>Low reliability</v>
      </c>
      <c r="H45" s="325">
        <f t="shared" si="34"/>
        <v>0.3333333333</v>
      </c>
      <c r="I45" s="22">
        <v>2023.0</v>
      </c>
      <c r="J45" s="22">
        <v>2019.0</v>
      </c>
      <c r="K45" s="327">
        <f t="shared" si="35"/>
        <v>427.2</v>
      </c>
      <c r="L45" s="328">
        <f t="shared" si="36"/>
        <v>0.3333333333</v>
      </c>
      <c r="N45" s="2"/>
      <c r="O45" s="318">
        <v>62.1</v>
      </c>
      <c r="P45" s="236">
        <v>62.1</v>
      </c>
      <c r="Q45" s="330"/>
    </row>
    <row r="46" ht="15.0" customHeight="1">
      <c r="A46" s="320" t="s">
        <v>415</v>
      </c>
      <c r="B46" s="337" t="s">
        <v>382</v>
      </c>
      <c r="C46" s="337" t="s">
        <v>382</v>
      </c>
      <c r="D46" s="337" t="s">
        <v>382</v>
      </c>
      <c r="E46" s="337" t="s">
        <v>382</v>
      </c>
      <c r="F46" s="337" t="s">
        <v>382</v>
      </c>
      <c r="G46" s="338" t="s">
        <v>382</v>
      </c>
      <c r="H46" s="337" t="s">
        <v>382</v>
      </c>
      <c r="I46" s="326" t="s">
        <v>382</v>
      </c>
      <c r="J46" s="329" t="s">
        <v>382</v>
      </c>
      <c r="K46" s="356" t="s">
        <v>382</v>
      </c>
      <c r="L46" s="340" t="s">
        <v>382</v>
      </c>
      <c r="N46" s="2"/>
      <c r="O46" s="326" t="s">
        <v>382</v>
      </c>
      <c r="P46" s="329" t="s">
        <v>382</v>
      </c>
      <c r="Q46" s="330"/>
    </row>
    <row r="47" ht="15.0" customHeight="1">
      <c r="A47" s="320" t="s">
        <v>313</v>
      </c>
      <c r="B47" s="321">
        <v>92.0</v>
      </c>
      <c r="C47" s="321">
        <v>7.7</v>
      </c>
      <c r="D47" s="321">
        <v>2.3</v>
      </c>
      <c r="E47" s="322">
        <f t="shared" ref="E47:E55" si="37">(C47*D47)</f>
        <v>17.71</v>
      </c>
      <c r="F47" s="385">
        <f t="shared" ref="F47:F55" si="38">E47*12</f>
        <v>212.52</v>
      </c>
      <c r="G47" s="324" t="str">
        <f t="shared" ref="G47:G55" si="39">IF(F47&gt;=250, "Low reliability", IF(F47&gt;=50, "Medium reliability", "High reliability"))</f>
        <v>Medium reliability</v>
      </c>
      <c r="H47" s="325">
        <f t="shared" ref="H47:H55" si="40">IF(F47&gt;250, (1/3), IF(F47&gt; 50, (2/3), 1))</f>
        <v>0.6666666667</v>
      </c>
      <c r="I47" s="22">
        <v>2020.0</v>
      </c>
      <c r="J47" s="322">
        <v>2019.0</v>
      </c>
      <c r="K47" s="386">
        <f t="shared" ref="K47:K55" si="41">F47</f>
        <v>212.52</v>
      </c>
      <c r="L47" s="387">
        <f t="shared" ref="L47:L55" si="42">IF(F47&gt;250, (1/3), IF(F47&gt; 50, (2/3), 1))</f>
        <v>0.6666666667</v>
      </c>
      <c r="N47" s="2"/>
      <c r="O47" s="318">
        <v>30.5</v>
      </c>
      <c r="P47" s="388">
        <v>30.5</v>
      </c>
      <c r="Q47" s="330"/>
    </row>
    <row r="48" ht="15.0" customHeight="1">
      <c r="A48" s="320" t="s">
        <v>416</v>
      </c>
      <c r="B48" s="321">
        <v>15.3</v>
      </c>
      <c r="C48" s="321">
        <v>1.5</v>
      </c>
      <c r="D48" s="321">
        <v>4.7</v>
      </c>
      <c r="E48" s="322">
        <f t="shared" si="37"/>
        <v>7.05</v>
      </c>
      <c r="F48" s="323">
        <f t="shared" si="38"/>
        <v>84.6</v>
      </c>
      <c r="G48" s="324" t="str">
        <f t="shared" si="39"/>
        <v>Medium reliability</v>
      </c>
      <c r="H48" s="325">
        <f t="shared" si="40"/>
        <v>0.6666666667</v>
      </c>
      <c r="I48" s="22">
        <v>2014.0</v>
      </c>
      <c r="J48" s="322">
        <v>2014.0</v>
      </c>
      <c r="K48" s="327">
        <f t="shared" si="41"/>
        <v>84.6</v>
      </c>
      <c r="L48" s="328">
        <f t="shared" si="42"/>
        <v>0.6666666667</v>
      </c>
      <c r="N48" s="2"/>
      <c r="O48" s="389">
        <v>1000.0</v>
      </c>
      <c r="P48" s="388">
        <v>1000.0</v>
      </c>
      <c r="Q48" s="330"/>
    </row>
    <row r="49" ht="15.0" customHeight="1">
      <c r="A49" s="320" t="s">
        <v>417</v>
      </c>
      <c r="B49" s="321">
        <v>93.7</v>
      </c>
      <c r="C49" s="321">
        <v>3.4</v>
      </c>
      <c r="D49" s="321">
        <v>2.5</v>
      </c>
      <c r="E49" s="322">
        <f t="shared" si="37"/>
        <v>8.5</v>
      </c>
      <c r="F49" s="323">
        <f t="shared" si="38"/>
        <v>102</v>
      </c>
      <c r="G49" s="324" t="str">
        <f t="shared" si="39"/>
        <v>Medium reliability</v>
      </c>
      <c r="H49" s="325">
        <f t="shared" si="40"/>
        <v>0.6666666667</v>
      </c>
      <c r="I49" s="22">
        <v>2014.0</v>
      </c>
      <c r="J49" s="322">
        <v>2018.0</v>
      </c>
      <c r="K49" s="327">
        <f t="shared" si="41"/>
        <v>102</v>
      </c>
      <c r="L49" s="328">
        <f t="shared" si="42"/>
        <v>0.6666666667</v>
      </c>
      <c r="N49" s="2"/>
      <c r="O49" s="318">
        <v>58.6</v>
      </c>
      <c r="P49" s="236">
        <v>58.6</v>
      </c>
      <c r="Q49" s="330"/>
    </row>
    <row r="50" ht="15.0" customHeight="1">
      <c r="A50" s="320" t="s">
        <v>418</v>
      </c>
      <c r="B50" s="321">
        <v>34.1</v>
      </c>
      <c r="C50" s="321">
        <v>0.7</v>
      </c>
      <c r="D50" s="321">
        <v>6.4</v>
      </c>
      <c r="E50" s="322">
        <f t="shared" si="37"/>
        <v>4.48</v>
      </c>
      <c r="F50" s="323">
        <f t="shared" si="38"/>
        <v>53.76</v>
      </c>
      <c r="G50" s="324" t="str">
        <f t="shared" si="39"/>
        <v>Medium reliability</v>
      </c>
      <c r="H50" s="325">
        <f t="shared" si="40"/>
        <v>0.6666666667</v>
      </c>
      <c r="I50" s="22">
        <v>2023.0</v>
      </c>
      <c r="J50" s="22">
        <v>2019.0</v>
      </c>
      <c r="K50" s="327">
        <f t="shared" si="41"/>
        <v>53.76</v>
      </c>
      <c r="L50" s="328">
        <f t="shared" si="42"/>
        <v>0.6666666667</v>
      </c>
      <c r="N50" s="2"/>
      <c r="O50" s="318">
        <v>20.9</v>
      </c>
      <c r="P50" s="236">
        <v>20.9</v>
      </c>
      <c r="Q50" s="330"/>
    </row>
    <row r="51" ht="15.0" customHeight="1">
      <c r="A51" s="320" t="s">
        <v>398</v>
      </c>
      <c r="B51" s="321">
        <v>86.1</v>
      </c>
      <c r="C51" s="321">
        <v>2.7</v>
      </c>
      <c r="D51" s="321">
        <v>2.2</v>
      </c>
      <c r="E51" s="322">
        <f t="shared" si="37"/>
        <v>5.94</v>
      </c>
      <c r="F51" s="323">
        <f t="shared" si="38"/>
        <v>71.28</v>
      </c>
      <c r="G51" s="324" t="str">
        <f t="shared" si="39"/>
        <v>Medium reliability</v>
      </c>
      <c r="H51" s="325">
        <f t="shared" si="40"/>
        <v>0.6666666667</v>
      </c>
      <c r="I51" s="22">
        <v>2023.0</v>
      </c>
      <c r="J51" s="322">
        <v>2019.0</v>
      </c>
      <c r="K51" s="327">
        <f t="shared" si="41"/>
        <v>71.28</v>
      </c>
      <c r="L51" s="328">
        <f t="shared" si="42"/>
        <v>0.6666666667</v>
      </c>
      <c r="N51" s="2"/>
      <c r="O51" s="318">
        <v>81.0</v>
      </c>
      <c r="P51" s="236">
        <v>81.0</v>
      </c>
      <c r="Q51" s="330"/>
    </row>
    <row r="52" ht="15.0" customHeight="1">
      <c r="A52" s="320" t="s">
        <v>318</v>
      </c>
      <c r="B52" s="321">
        <v>40.2</v>
      </c>
      <c r="C52" s="321">
        <v>0.9</v>
      </c>
      <c r="D52" s="321">
        <v>3.9</v>
      </c>
      <c r="E52" s="322">
        <f t="shared" si="37"/>
        <v>3.51</v>
      </c>
      <c r="F52" s="323">
        <f t="shared" si="38"/>
        <v>42.12</v>
      </c>
      <c r="G52" s="324" t="str">
        <f t="shared" si="39"/>
        <v>High reliability</v>
      </c>
      <c r="H52" s="325">
        <f t="shared" si="40"/>
        <v>1</v>
      </c>
      <c r="I52" s="22">
        <v>2020.0</v>
      </c>
      <c r="J52" s="322">
        <v>2019.0</v>
      </c>
      <c r="K52" s="327">
        <f t="shared" si="41"/>
        <v>42.12</v>
      </c>
      <c r="L52" s="328">
        <f t="shared" si="42"/>
        <v>1</v>
      </c>
      <c r="N52" s="2"/>
      <c r="O52" s="318">
        <v>2.5</v>
      </c>
      <c r="P52" s="236">
        <v>2.5</v>
      </c>
      <c r="Q52" s="330"/>
    </row>
    <row r="53" ht="15.0" customHeight="1">
      <c r="A53" s="320" t="s">
        <v>405</v>
      </c>
      <c r="B53" s="321">
        <v>81.5</v>
      </c>
      <c r="C53" s="321">
        <v>6.3</v>
      </c>
      <c r="D53" s="321">
        <v>10.1</v>
      </c>
      <c r="E53" s="322">
        <f t="shared" si="37"/>
        <v>63.63</v>
      </c>
      <c r="F53" s="323">
        <f t="shared" si="38"/>
        <v>763.56</v>
      </c>
      <c r="G53" s="324" t="str">
        <f t="shared" si="39"/>
        <v>Low reliability</v>
      </c>
      <c r="H53" s="325">
        <f t="shared" si="40"/>
        <v>0.3333333333</v>
      </c>
      <c r="I53" s="22">
        <v>2013.0</v>
      </c>
      <c r="J53" s="322">
        <v>2019.0</v>
      </c>
      <c r="K53" s="327">
        <f t="shared" si="41"/>
        <v>763.56</v>
      </c>
      <c r="L53" s="328">
        <f t="shared" si="42"/>
        <v>0.3333333333</v>
      </c>
      <c r="N53" s="2"/>
      <c r="O53" s="318">
        <v>61.7</v>
      </c>
      <c r="P53" s="236">
        <v>61.7</v>
      </c>
      <c r="Q53" s="330"/>
    </row>
    <row r="54" ht="15.0" customHeight="1">
      <c r="A54" s="320" t="s">
        <v>408</v>
      </c>
      <c r="B54" s="321">
        <v>87.1</v>
      </c>
      <c r="C54" s="321">
        <v>13.3</v>
      </c>
      <c r="D54" s="321">
        <v>10.9</v>
      </c>
      <c r="E54" s="322">
        <f t="shared" si="37"/>
        <v>144.97</v>
      </c>
      <c r="F54" s="323">
        <f t="shared" si="38"/>
        <v>1739.64</v>
      </c>
      <c r="G54" s="324" t="str">
        <f t="shared" si="39"/>
        <v>Low reliability</v>
      </c>
      <c r="H54" s="325">
        <f t="shared" si="40"/>
        <v>0.3333333333</v>
      </c>
      <c r="I54" s="22">
        <v>2019.0</v>
      </c>
      <c r="J54" s="322">
        <v>2019.0</v>
      </c>
      <c r="K54" s="327">
        <f t="shared" si="41"/>
        <v>1739.64</v>
      </c>
      <c r="L54" s="328">
        <f t="shared" si="42"/>
        <v>0.3333333333</v>
      </c>
      <c r="N54" s="2"/>
      <c r="O54" s="318">
        <v>51.2</v>
      </c>
      <c r="P54" s="236">
        <v>51.2</v>
      </c>
      <c r="Q54" s="330"/>
    </row>
    <row r="55" ht="15.0" customHeight="1">
      <c r="A55" s="390" t="s">
        <v>320</v>
      </c>
      <c r="B55" s="391">
        <v>76.5</v>
      </c>
      <c r="C55" s="391">
        <v>4.5</v>
      </c>
      <c r="D55" s="391">
        <v>5.2</v>
      </c>
      <c r="E55" s="392">
        <f t="shared" si="37"/>
        <v>23.4</v>
      </c>
      <c r="F55" s="393">
        <f t="shared" si="38"/>
        <v>280.8</v>
      </c>
      <c r="G55" s="394" t="str">
        <f t="shared" si="39"/>
        <v>Low reliability</v>
      </c>
      <c r="H55" s="395">
        <f t="shared" si="40"/>
        <v>0.3333333333</v>
      </c>
      <c r="I55" s="244">
        <v>2016.0</v>
      </c>
      <c r="J55" s="392">
        <v>2017.0</v>
      </c>
      <c r="K55" s="396">
        <f t="shared" si="41"/>
        <v>280.8</v>
      </c>
      <c r="L55" s="397">
        <f t="shared" si="42"/>
        <v>0.3333333333</v>
      </c>
      <c r="M55" s="248"/>
      <c r="N55" s="398"/>
      <c r="O55" s="399">
        <v>243.6</v>
      </c>
      <c r="P55" s="242">
        <v>243.6</v>
      </c>
      <c r="Q55" s="400"/>
    </row>
    <row r="56">
      <c r="B56" s="401" t="s">
        <v>438</v>
      </c>
      <c r="C56" s="402"/>
      <c r="D56" s="402"/>
      <c r="E56" s="403"/>
      <c r="F56" s="403"/>
      <c r="G56" s="403"/>
      <c r="H56" s="403"/>
      <c r="I56" s="403"/>
      <c r="J56" s="402"/>
      <c r="K56" s="404"/>
      <c r="O56" s="405"/>
    </row>
    <row r="57">
      <c r="A57" s="322"/>
      <c r="B57" s="308" t="s">
        <v>240</v>
      </c>
      <c r="C57" s="310" t="s">
        <v>439</v>
      </c>
      <c r="D57" s="310"/>
      <c r="E57" s="310"/>
      <c r="F57" s="311"/>
      <c r="G57" s="311"/>
      <c r="H57" s="311"/>
      <c r="I57" s="311"/>
      <c r="J57" s="310"/>
      <c r="K57" s="406"/>
      <c r="O57" s="405"/>
    </row>
    <row r="58">
      <c r="A58" s="322"/>
      <c r="B58" s="308" t="s">
        <v>225</v>
      </c>
      <c r="C58" s="310" t="s">
        <v>440</v>
      </c>
      <c r="D58" s="310"/>
      <c r="E58" s="310"/>
      <c r="F58" s="311"/>
      <c r="G58" s="311"/>
      <c r="H58" s="311"/>
      <c r="I58" s="311"/>
      <c r="J58" s="310"/>
      <c r="K58" s="406"/>
      <c r="O58" s="405"/>
    </row>
    <row r="59">
      <c r="A59" s="322"/>
      <c r="B59" s="308" t="s">
        <v>362</v>
      </c>
      <c r="C59" s="314" t="s">
        <v>441</v>
      </c>
      <c r="D59" s="311"/>
      <c r="E59" s="310"/>
      <c r="F59" s="310"/>
      <c r="G59" s="310"/>
      <c r="H59" s="310"/>
      <c r="I59" s="311"/>
      <c r="J59" s="311"/>
      <c r="K59" s="406"/>
      <c r="O59" s="407"/>
    </row>
    <row r="60">
      <c r="B60" s="308" t="s">
        <v>374</v>
      </c>
      <c r="C60" s="314" t="s">
        <v>442</v>
      </c>
      <c r="D60" s="311"/>
      <c r="E60" s="311"/>
      <c r="F60" s="311"/>
      <c r="G60" s="311"/>
      <c r="H60" s="311"/>
      <c r="I60" s="311"/>
      <c r="J60" s="311"/>
      <c r="K60" s="406"/>
      <c r="O60" s="405"/>
    </row>
    <row r="61">
      <c r="B61" s="408" t="s">
        <v>396</v>
      </c>
      <c r="C61" s="409" t="s">
        <v>443</v>
      </c>
      <c r="D61" s="410"/>
      <c r="E61" s="411"/>
      <c r="F61" s="411"/>
      <c r="G61" s="412"/>
      <c r="H61" s="412"/>
      <c r="I61" s="411"/>
      <c r="J61" s="411"/>
      <c r="K61" s="413"/>
      <c r="O61" s="318" t="s">
        <v>444</v>
      </c>
    </row>
    <row r="62">
      <c r="E62" s="414"/>
      <c r="G62" s="415"/>
      <c r="H62" s="416"/>
      <c r="O62" s="417"/>
    </row>
    <row r="63">
      <c r="C63" s="357" t="s">
        <v>445</v>
      </c>
      <c r="D63" s="62"/>
      <c r="E63" s="418" t="s">
        <v>421</v>
      </c>
      <c r="F63" s="419"/>
      <c r="G63" s="322"/>
      <c r="O63" s="405"/>
    </row>
    <row r="64">
      <c r="C64" s="360" t="s">
        <v>422</v>
      </c>
      <c r="D64" s="420">
        <f>max(F2:F55)</f>
        <v>8849.4</v>
      </c>
      <c r="E64" s="421" t="s">
        <v>351</v>
      </c>
      <c r="F64" s="422"/>
      <c r="O64" s="405"/>
    </row>
    <row r="65">
      <c r="C65" s="360" t="s">
        <v>423</v>
      </c>
      <c r="D65" s="423">
        <f>MIN(F2:F55)</f>
        <v>0.72</v>
      </c>
      <c r="E65" s="424" t="s">
        <v>290</v>
      </c>
      <c r="F65" s="419"/>
      <c r="O65" s="405"/>
    </row>
    <row r="66">
      <c r="C66" s="360" t="s">
        <v>424</v>
      </c>
      <c r="D66" s="420">
        <f>AVERAGE(F2:F55)</f>
        <v>718.395</v>
      </c>
      <c r="F66" s="419"/>
      <c r="O66" s="405"/>
    </row>
    <row r="67">
      <c r="C67" s="360" t="s">
        <v>425</v>
      </c>
      <c r="D67" s="420">
        <f>MEDIAN(F2:F55)</f>
        <v>234.78</v>
      </c>
      <c r="F67" s="419"/>
      <c r="O67" s="405"/>
    </row>
    <row r="68">
      <c r="C68" s="367" t="s">
        <v>446</v>
      </c>
      <c r="D68" s="425">
        <f>STDEV(F2:F55)</f>
        <v>1468.776631</v>
      </c>
      <c r="F68" s="323"/>
      <c r="O68" s="405"/>
    </row>
    <row r="69" ht="13.5" customHeight="1">
      <c r="H69" s="426"/>
      <c r="O69" s="427"/>
    </row>
    <row r="70">
      <c r="C70" s="181" t="s">
        <v>325</v>
      </c>
      <c r="H70" s="426"/>
      <c r="O70" s="427"/>
    </row>
    <row r="71">
      <c r="C71" s="437" t="str">
        <f t="array" ref="C71:C86">{"INDICATOR INFORMATION";
  "Index Category: "&amp;CHAR(10)&amp;
  "EV Readiness Index - Measures country preparedness to adopt EVs at large scale";
  "";
  "Sub-Category: "&amp;CHAR(10)&amp;
  "Grid Infrastructure";
  "";
  "Indicator Name: "&amp;CHAR(10)&amp;
  "Grid Reliability";
  "";
  "Description: "&amp;CHAR(10)&amp;
  "Measures the reliability of a country's electricity grid through average annual outage hours, indicating the grid's ability to maintain consistent power supply";
  "";
  "Primary Calculation Method: "&amp;CHAR(10)&amp;
  "See methodology note";
  "";
  "Summary Statistics: "&amp;CHAR(10)&amp;
  "• Maximum: 8,849 hours (Congo, Rep.)"&amp;CHAR(10)&amp;
  "• Minimum: 0.72 hours (Morocco)"&amp;CHAR(10)&amp;
  "• Average: 718 hours"&amp;CHAR(10)&amp;
  "• Median: 235 hours"&amp;CHAR(10)&amp;
  "• Standard Deviation: 1,469 hours";
  "";
  "Data Sources: "&amp;CHAR(10)&amp;
  "• Primary: World Bank Enterprise Surveys (consumer-reported data)"&amp;CHAR(10)&amp;
  "• Backup: World Bank SAIDI/SAIFI (utility-reported data)"&amp;CHAR(10)&amp;
  "Note: Combined approach used when primary data unavailable. World Bank Enterprise Surverys (WBES) used as primary source. SAIDI backup was used for the 
following countries: Algeria, Angola, Cabo Verde, Eswatini, Gabon, Libya";
  "";
  "Scoring Categories WBES &amp; SAIDI: "&amp;CHAR(10)&amp;
  "• WBES: Low Reliability (&gt;250 hours) = Low Readiness (1/3)"&amp;CHAR(10)&amp;
  "• WBES: Medium Reliability (150-249 hours) = Medium Readiness (2/3)"&amp;CHAR(10)&amp;
  "• WBES: High Reliability (0-149 hours) = High Readiness (3/3)"&amp;CHAR(10)&amp;
  "• SAIDI: Low Reliability (&gt;20) = Low Readiness (1/3)"&amp;CHAR(10)&amp;
  "• SAIDI: Medium Reliability (5-20) = Medium Readiness (2/3)"&amp;CHAR(10)&amp;
  "• SAIDI: High Reliability (0-5) = High Readiness (3/3)"}</f>
        <v>INDICATOR INFORMATION</v>
      </c>
      <c r="D71" s="438"/>
      <c r="E71" s="438"/>
      <c r="F71" s="439"/>
      <c r="H71" s="426"/>
      <c r="O71" s="427"/>
    </row>
    <row r="72">
      <c r="C72" s="275" t="s">
        <v>339</v>
      </c>
      <c r="F72" s="373"/>
      <c r="H72" s="426"/>
      <c r="O72" s="427"/>
    </row>
    <row r="73">
      <c r="C73" s="275" t="s">
        <v>126</v>
      </c>
      <c r="F73" s="373"/>
      <c r="H73" s="426"/>
      <c r="O73" s="427"/>
    </row>
    <row r="74">
      <c r="C74" s="275" t="s">
        <v>431</v>
      </c>
      <c r="F74" s="373"/>
      <c r="H74" s="426"/>
      <c r="O74" s="427"/>
    </row>
    <row r="75">
      <c r="C75" s="275" t="s">
        <v>126</v>
      </c>
      <c r="F75" s="373"/>
      <c r="H75" s="426"/>
      <c r="O75" s="427"/>
    </row>
    <row r="76">
      <c r="C76" s="275" t="s">
        <v>450</v>
      </c>
      <c r="F76" s="373"/>
      <c r="H76" s="426"/>
      <c r="O76" s="427"/>
    </row>
    <row r="77">
      <c r="C77" s="275" t="s">
        <v>126</v>
      </c>
      <c r="F77" s="373"/>
      <c r="H77" s="426"/>
      <c r="O77" s="427"/>
    </row>
    <row r="78">
      <c r="C78" s="275" t="s">
        <v>451</v>
      </c>
      <c r="F78" s="373"/>
      <c r="H78" s="426"/>
      <c r="O78" s="427"/>
    </row>
    <row r="79">
      <c r="C79" s="275" t="s">
        <v>126</v>
      </c>
      <c r="F79" s="373"/>
      <c r="H79" s="426"/>
      <c r="O79" s="427"/>
    </row>
    <row r="80">
      <c r="C80" s="275" t="s">
        <v>452</v>
      </c>
      <c r="F80" s="373"/>
      <c r="H80" s="426"/>
      <c r="O80" s="427"/>
    </row>
    <row r="81">
      <c r="C81" s="275" t="s">
        <v>126</v>
      </c>
      <c r="F81" s="373"/>
      <c r="H81" s="426"/>
      <c r="O81" s="427"/>
    </row>
    <row r="82">
      <c r="C82" s="275" t="s">
        <v>453</v>
      </c>
      <c r="F82" s="373"/>
      <c r="H82" s="426"/>
      <c r="O82" s="427"/>
    </row>
    <row r="83">
      <c r="C83" s="275" t="s">
        <v>126</v>
      </c>
      <c r="F83" s="373"/>
      <c r="H83" s="426"/>
      <c r="O83" s="427"/>
    </row>
    <row r="84">
      <c r="C84" s="275" t="s">
        <v>454</v>
      </c>
      <c r="F84" s="373"/>
      <c r="H84" s="426"/>
      <c r="O84" s="427"/>
    </row>
    <row r="85">
      <c r="C85" s="275" t="s">
        <v>126</v>
      </c>
      <c r="F85" s="373"/>
      <c r="H85" s="426"/>
      <c r="O85" s="427"/>
    </row>
    <row r="86">
      <c r="C86" s="275" t="s">
        <v>455</v>
      </c>
      <c r="F86" s="373"/>
      <c r="H86" s="426"/>
      <c r="O86" s="427"/>
    </row>
    <row r="87">
      <c r="C87" s="282"/>
      <c r="D87" s="283"/>
      <c r="E87" s="283"/>
      <c r="F87" s="374"/>
      <c r="H87" s="426"/>
      <c r="O87" s="427"/>
    </row>
    <row r="88">
      <c r="H88" s="426"/>
      <c r="O88" s="427"/>
    </row>
    <row r="89">
      <c r="H89" s="426"/>
      <c r="O89" s="427"/>
    </row>
    <row r="90">
      <c r="H90" s="426"/>
      <c r="O90" s="427"/>
    </row>
    <row r="91">
      <c r="H91" s="426"/>
      <c r="O91" s="427"/>
    </row>
    <row r="92">
      <c r="H92" s="426"/>
      <c r="O92" s="427"/>
    </row>
    <row r="93">
      <c r="H93" s="426"/>
      <c r="O93" s="427"/>
    </row>
    <row r="94">
      <c r="H94" s="426"/>
      <c r="O94" s="427"/>
    </row>
    <row r="95">
      <c r="H95" s="426"/>
      <c r="O95" s="427"/>
    </row>
    <row r="96">
      <c r="H96" s="426"/>
      <c r="O96" s="427"/>
    </row>
    <row r="97">
      <c r="H97" s="426"/>
      <c r="O97" s="427"/>
    </row>
    <row r="98">
      <c r="H98" s="426"/>
      <c r="O98" s="427"/>
    </row>
    <row r="99">
      <c r="H99" s="426"/>
      <c r="O99" s="427"/>
    </row>
    <row r="100">
      <c r="H100" s="426"/>
      <c r="O100" s="427"/>
    </row>
    <row r="101">
      <c r="H101" s="426"/>
      <c r="O101" s="427"/>
    </row>
    <row r="102">
      <c r="H102" s="426"/>
      <c r="O102" s="427"/>
    </row>
    <row r="103">
      <c r="H103" s="426"/>
      <c r="O103" s="427"/>
    </row>
    <row r="104">
      <c r="H104" s="426"/>
      <c r="O104" s="427"/>
    </row>
    <row r="105">
      <c r="H105" s="426"/>
      <c r="O105" s="427"/>
    </row>
    <row r="106">
      <c r="H106" s="426"/>
      <c r="O106" s="427"/>
    </row>
    <row r="107">
      <c r="H107" s="426"/>
      <c r="O107" s="427"/>
    </row>
    <row r="108">
      <c r="H108" s="426"/>
      <c r="O108" s="427"/>
    </row>
    <row r="109">
      <c r="H109" s="426"/>
      <c r="O109" s="427"/>
    </row>
    <row r="110">
      <c r="H110" s="426"/>
      <c r="O110" s="427"/>
    </row>
    <row r="111">
      <c r="H111" s="426"/>
      <c r="O111" s="427"/>
    </row>
    <row r="112">
      <c r="H112" s="426"/>
      <c r="O112" s="427"/>
    </row>
    <row r="113">
      <c r="H113" s="426"/>
      <c r="O113" s="427"/>
    </row>
    <row r="114">
      <c r="H114" s="426"/>
      <c r="O114" s="427"/>
    </row>
    <row r="115">
      <c r="H115" s="426"/>
      <c r="O115" s="427"/>
    </row>
    <row r="116">
      <c r="H116" s="426"/>
      <c r="O116" s="427"/>
    </row>
    <row r="117">
      <c r="A117" s="322"/>
      <c r="C117" s="322"/>
      <c r="D117" s="322"/>
      <c r="E117" s="322"/>
      <c r="F117" s="322"/>
      <c r="G117" s="322"/>
      <c r="H117" s="441"/>
      <c r="I117" s="322"/>
      <c r="K117" s="322"/>
      <c r="L117" s="322"/>
      <c r="M117" s="322"/>
      <c r="N117" s="322"/>
      <c r="O117" s="442"/>
    </row>
    <row r="118">
      <c r="A118" s="322"/>
      <c r="C118" s="322"/>
      <c r="D118" s="322"/>
      <c r="E118" s="322"/>
      <c r="F118" s="322"/>
      <c r="G118" s="322"/>
      <c r="H118" s="441"/>
      <c r="I118" s="322"/>
      <c r="K118" s="322"/>
      <c r="L118" s="322"/>
      <c r="M118" s="322"/>
      <c r="N118" s="322"/>
      <c r="O118" s="442"/>
    </row>
    <row r="119">
      <c r="H119" s="426"/>
      <c r="O119" s="427"/>
    </row>
    <row r="120">
      <c r="A120" s="322"/>
      <c r="C120" s="322"/>
      <c r="D120" s="322"/>
      <c r="E120" s="322"/>
      <c r="F120" s="322"/>
      <c r="G120" s="322"/>
      <c r="H120" s="441"/>
      <c r="I120" s="322"/>
      <c r="K120" s="322"/>
      <c r="L120" s="322"/>
      <c r="M120" s="322"/>
      <c r="N120" s="322"/>
      <c r="O120" s="442"/>
    </row>
    <row r="121">
      <c r="A121" s="322"/>
      <c r="C121" s="322"/>
      <c r="D121" s="322"/>
      <c r="E121" s="322"/>
      <c r="F121" s="322"/>
      <c r="G121" s="322"/>
      <c r="H121" s="441"/>
      <c r="I121" s="322"/>
      <c r="K121" s="322"/>
      <c r="L121" s="322"/>
      <c r="M121" s="322"/>
      <c r="N121" s="322"/>
      <c r="O121" s="442"/>
    </row>
    <row r="122">
      <c r="A122" s="322"/>
      <c r="C122" s="322"/>
      <c r="D122" s="322"/>
      <c r="E122" s="322"/>
      <c r="F122" s="322"/>
      <c r="G122" s="322"/>
      <c r="H122" s="441"/>
      <c r="I122" s="322"/>
      <c r="K122" s="322"/>
      <c r="L122" s="322"/>
      <c r="M122" s="322"/>
      <c r="N122" s="322"/>
      <c r="O122" s="442"/>
    </row>
    <row r="123">
      <c r="A123" s="322"/>
      <c r="C123" s="322"/>
      <c r="D123" s="322"/>
      <c r="E123" s="322"/>
      <c r="F123" s="322"/>
      <c r="G123" s="322"/>
      <c r="H123" s="441"/>
      <c r="I123" s="322"/>
      <c r="K123" s="322"/>
      <c r="L123" s="322"/>
      <c r="M123" s="322"/>
      <c r="N123" s="322"/>
      <c r="O123" s="442"/>
    </row>
    <row r="124">
      <c r="A124" s="322"/>
      <c r="C124" s="322"/>
      <c r="D124" s="322"/>
      <c r="E124" s="322"/>
      <c r="F124" s="322"/>
      <c r="G124" s="322"/>
      <c r="H124" s="441"/>
      <c r="I124" s="322"/>
      <c r="K124" s="322"/>
      <c r="L124" s="322"/>
      <c r="M124" s="322"/>
      <c r="N124" s="322"/>
      <c r="O124" s="442"/>
    </row>
    <row r="125">
      <c r="A125" s="322"/>
      <c r="C125" s="322"/>
      <c r="D125" s="322"/>
      <c r="E125" s="322"/>
      <c r="F125" s="322"/>
      <c r="G125" s="322"/>
      <c r="H125" s="441"/>
      <c r="I125" s="322"/>
      <c r="K125" s="322"/>
      <c r="L125" s="322"/>
      <c r="M125" s="322"/>
      <c r="N125" s="322"/>
      <c r="O125" s="442"/>
    </row>
    <row r="126">
      <c r="A126" s="322"/>
      <c r="C126" s="322"/>
      <c r="D126" s="322"/>
      <c r="E126" s="322"/>
      <c r="F126" s="322"/>
      <c r="G126" s="322"/>
      <c r="H126" s="441"/>
      <c r="I126" s="322"/>
      <c r="K126" s="322"/>
      <c r="L126" s="322"/>
      <c r="M126" s="322"/>
      <c r="N126" s="322"/>
      <c r="O126" s="442"/>
    </row>
    <row r="127">
      <c r="H127" s="426"/>
      <c r="O127" s="427"/>
    </row>
    <row r="128">
      <c r="H128" s="426"/>
      <c r="O128" s="427"/>
    </row>
    <row r="129">
      <c r="H129" s="426"/>
      <c r="O129" s="427"/>
    </row>
    <row r="130">
      <c r="H130" s="426"/>
      <c r="O130" s="427"/>
    </row>
    <row r="131">
      <c r="H131" s="426"/>
      <c r="O131" s="427"/>
    </row>
    <row r="132">
      <c r="H132" s="426"/>
      <c r="O132" s="427"/>
    </row>
    <row r="133">
      <c r="H133" s="426"/>
      <c r="O133" s="427"/>
    </row>
    <row r="134">
      <c r="H134" s="426"/>
      <c r="O134" s="427"/>
    </row>
    <row r="135">
      <c r="H135" s="426"/>
      <c r="O135" s="427"/>
    </row>
    <row r="136">
      <c r="H136" s="426"/>
      <c r="O136" s="427"/>
    </row>
    <row r="137">
      <c r="H137" s="426"/>
      <c r="O137" s="427"/>
    </row>
    <row r="138">
      <c r="H138" s="426"/>
      <c r="O138" s="427"/>
    </row>
    <row r="139">
      <c r="H139" s="426"/>
      <c r="O139" s="427"/>
    </row>
    <row r="140">
      <c r="A140" s="322"/>
      <c r="C140" s="322"/>
      <c r="D140" s="322"/>
      <c r="E140" s="322"/>
      <c r="F140" s="322"/>
      <c r="G140" s="322"/>
      <c r="H140" s="441"/>
      <c r="I140" s="322"/>
      <c r="K140" s="322"/>
      <c r="L140" s="322"/>
      <c r="M140" s="322"/>
      <c r="N140" s="322"/>
      <c r="O140" s="442"/>
    </row>
    <row r="141">
      <c r="A141" s="322"/>
      <c r="C141" s="322"/>
      <c r="D141" s="322"/>
      <c r="E141" s="322"/>
      <c r="F141" s="322"/>
      <c r="G141" s="322"/>
      <c r="H141" s="441"/>
      <c r="I141" s="322"/>
      <c r="K141" s="322"/>
      <c r="L141" s="322"/>
      <c r="M141" s="322"/>
      <c r="N141" s="322"/>
      <c r="O141" s="442"/>
    </row>
    <row r="142">
      <c r="A142" s="322"/>
      <c r="C142" s="322"/>
      <c r="D142" s="322"/>
      <c r="E142" s="322"/>
      <c r="F142" s="322"/>
      <c r="G142" s="322"/>
      <c r="H142" s="441"/>
      <c r="I142" s="322"/>
      <c r="K142" s="322"/>
      <c r="L142" s="322"/>
      <c r="M142" s="322"/>
      <c r="N142" s="322"/>
      <c r="O142" s="442"/>
    </row>
    <row r="143">
      <c r="A143" s="322"/>
      <c r="C143" s="322"/>
      <c r="D143" s="322"/>
      <c r="E143" s="322"/>
      <c r="F143" s="322"/>
      <c r="G143" s="322"/>
      <c r="H143" s="441"/>
      <c r="I143" s="322"/>
      <c r="K143" s="322"/>
      <c r="L143" s="322"/>
      <c r="M143" s="322"/>
      <c r="N143" s="322"/>
      <c r="O143" s="442"/>
    </row>
    <row r="144">
      <c r="A144" s="322"/>
      <c r="C144" s="322"/>
      <c r="D144" s="322"/>
      <c r="E144" s="322"/>
      <c r="F144" s="322"/>
      <c r="G144" s="322"/>
      <c r="H144" s="441"/>
      <c r="I144" s="322"/>
      <c r="K144" s="322"/>
      <c r="L144" s="322"/>
      <c r="M144" s="322"/>
      <c r="N144" s="322"/>
      <c r="O144" s="442"/>
    </row>
    <row r="145">
      <c r="H145" s="426"/>
      <c r="O145" s="427"/>
    </row>
    <row r="146">
      <c r="H146" s="426"/>
      <c r="O146" s="427"/>
    </row>
    <row r="147">
      <c r="H147" s="426"/>
      <c r="O147" s="427"/>
    </row>
    <row r="148">
      <c r="H148" s="426"/>
      <c r="O148" s="427"/>
    </row>
    <row r="149">
      <c r="H149" s="426"/>
      <c r="O149" s="427"/>
    </row>
    <row r="150">
      <c r="H150" s="426"/>
      <c r="O150" s="427"/>
    </row>
    <row r="151">
      <c r="H151" s="426"/>
      <c r="O151" s="427"/>
    </row>
    <row r="152">
      <c r="H152" s="426"/>
      <c r="O152" s="427"/>
    </row>
    <row r="153">
      <c r="A153" s="322"/>
      <c r="C153" s="322"/>
      <c r="D153" s="322"/>
      <c r="E153" s="322"/>
      <c r="F153" s="322"/>
      <c r="G153" s="322"/>
      <c r="H153" s="441"/>
      <c r="I153" s="322"/>
      <c r="K153" s="322"/>
      <c r="L153" s="322"/>
      <c r="M153" s="322"/>
      <c r="N153" s="322"/>
      <c r="O153" s="442"/>
    </row>
    <row r="154">
      <c r="A154" s="322"/>
      <c r="C154" s="322"/>
      <c r="D154" s="322"/>
      <c r="E154" s="322"/>
      <c r="F154" s="322"/>
      <c r="G154" s="322"/>
      <c r="H154" s="441"/>
      <c r="I154" s="322"/>
      <c r="K154" s="322"/>
      <c r="L154" s="322"/>
      <c r="M154" s="322"/>
      <c r="N154" s="322"/>
      <c r="O154" s="442"/>
    </row>
    <row r="155">
      <c r="H155" s="426"/>
      <c r="O155" s="427"/>
    </row>
    <row r="156">
      <c r="A156" s="322"/>
      <c r="C156" s="322"/>
      <c r="D156" s="322"/>
      <c r="E156" s="322"/>
      <c r="F156" s="322"/>
      <c r="G156" s="322"/>
      <c r="H156" s="441"/>
      <c r="I156" s="322"/>
      <c r="K156" s="322"/>
      <c r="L156" s="322"/>
      <c r="M156" s="322"/>
      <c r="N156" s="322"/>
      <c r="O156" s="442"/>
    </row>
    <row r="157">
      <c r="H157" s="426"/>
      <c r="O157" s="427"/>
    </row>
    <row r="158">
      <c r="H158" s="426"/>
      <c r="O158" s="427"/>
    </row>
    <row r="159">
      <c r="H159" s="426"/>
      <c r="O159" s="427"/>
    </row>
    <row r="160">
      <c r="A160" s="322"/>
      <c r="C160" s="322"/>
      <c r="D160" s="322"/>
      <c r="E160" s="322"/>
      <c r="F160" s="322"/>
      <c r="G160" s="322"/>
      <c r="H160" s="441"/>
      <c r="I160" s="322"/>
      <c r="K160" s="322"/>
      <c r="L160" s="322"/>
      <c r="M160" s="322"/>
      <c r="N160" s="322"/>
      <c r="O160" s="442"/>
    </row>
    <row r="161">
      <c r="A161" s="322"/>
      <c r="C161" s="322"/>
      <c r="D161" s="322"/>
      <c r="E161" s="322"/>
      <c r="F161" s="322"/>
      <c r="G161" s="322"/>
      <c r="H161" s="441"/>
      <c r="I161" s="322"/>
      <c r="K161" s="322"/>
      <c r="L161" s="322"/>
      <c r="M161" s="322"/>
      <c r="N161" s="322"/>
      <c r="O161" s="442"/>
    </row>
    <row r="162">
      <c r="A162" s="322"/>
      <c r="C162" s="322"/>
      <c r="D162" s="322"/>
      <c r="E162" s="322"/>
      <c r="F162" s="322"/>
      <c r="G162" s="322"/>
      <c r="H162" s="441"/>
      <c r="I162" s="322"/>
      <c r="K162" s="322"/>
      <c r="L162" s="322"/>
      <c r="M162" s="322"/>
      <c r="N162" s="322"/>
      <c r="O162" s="442"/>
    </row>
    <row r="163">
      <c r="A163" s="322"/>
      <c r="C163" s="322"/>
      <c r="D163" s="322"/>
      <c r="E163" s="322"/>
      <c r="F163" s="322"/>
      <c r="G163" s="322"/>
      <c r="H163" s="441"/>
      <c r="I163" s="322"/>
      <c r="K163" s="322"/>
      <c r="L163" s="322"/>
      <c r="M163" s="322"/>
      <c r="N163" s="322"/>
      <c r="O163" s="442"/>
    </row>
    <row r="164">
      <c r="A164" s="322"/>
      <c r="C164" s="322"/>
      <c r="D164" s="322"/>
      <c r="E164" s="322"/>
      <c r="F164" s="322"/>
      <c r="G164" s="322"/>
      <c r="H164" s="441"/>
      <c r="I164" s="322"/>
      <c r="K164" s="322"/>
      <c r="L164" s="322"/>
      <c r="M164" s="322"/>
      <c r="N164" s="322"/>
      <c r="O164" s="442"/>
    </row>
    <row r="165">
      <c r="A165" s="322"/>
      <c r="C165" s="322"/>
      <c r="D165" s="322"/>
      <c r="E165" s="322"/>
      <c r="F165" s="322"/>
      <c r="G165" s="322"/>
      <c r="H165" s="441"/>
      <c r="I165" s="322"/>
      <c r="K165" s="322"/>
      <c r="L165" s="322"/>
      <c r="M165" s="322"/>
      <c r="N165" s="322"/>
      <c r="O165" s="442"/>
    </row>
    <row r="166">
      <c r="H166" s="426"/>
      <c r="O166" s="427"/>
    </row>
    <row r="167">
      <c r="H167" s="426"/>
      <c r="O167" s="427"/>
    </row>
    <row r="168">
      <c r="H168" s="426"/>
      <c r="O168" s="427"/>
    </row>
    <row r="169">
      <c r="H169" s="426"/>
      <c r="O169" s="427"/>
    </row>
    <row r="170">
      <c r="H170" s="426"/>
      <c r="O170" s="427"/>
    </row>
    <row r="171">
      <c r="H171" s="426"/>
      <c r="O171" s="427"/>
    </row>
    <row r="172">
      <c r="A172" s="447" t="s">
        <v>456</v>
      </c>
      <c r="H172" s="426"/>
      <c r="O172" s="427"/>
    </row>
    <row r="173">
      <c r="H173" s="426"/>
      <c r="O173" s="427"/>
    </row>
    <row r="174">
      <c r="H174" s="426"/>
      <c r="O174" s="427"/>
    </row>
    <row r="175">
      <c r="H175" s="426"/>
      <c r="O175" s="427"/>
    </row>
    <row r="176">
      <c r="H176" s="426"/>
      <c r="O176" s="427"/>
    </row>
    <row r="177">
      <c r="H177" s="426"/>
      <c r="O177" s="427"/>
    </row>
    <row r="178">
      <c r="H178" s="426"/>
      <c r="O178" s="427"/>
    </row>
    <row r="179">
      <c r="H179" s="426"/>
      <c r="O179" s="427"/>
    </row>
    <row r="180">
      <c r="H180" s="426"/>
      <c r="O180" s="427"/>
    </row>
    <row r="181">
      <c r="H181" s="426"/>
      <c r="O181" s="427"/>
    </row>
    <row r="182">
      <c r="H182" s="426"/>
      <c r="O182" s="427"/>
    </row>
    <row r="183">
      <c r="H183" s="426"/>
      <c r="O183" s="427"/>
    </row>
    <row r="184">
      <c r="H184" s="426"/>
      <c r="O184" s="427"/>
    </row>
    <row r="185">
      <c r="H185" s="426"/>
      <c r="O185" s="427"/>
    </row>
    <row r="186">
      <c r="H186" s="426"/>
      <c r="O186" s="427"/>
    </row>
    <row r="187">
      <c r="H187" s="426"/>
      <c r="O187" s="427"/>
    </row>
    <row r="188">
      <c r="H188" s="426"/>
      <c r="O188" s="427"/>
    </row>
    <row r="189">
      <c r="H189" s="426"/>
      <c r="O189" s="427"/>
    </row>
    <row r="190">
      <c r="H190" s="426"/>
      <c r="O190" s="427"/>
    </row>
    <row r="191">
      <c r="H191" s="426"/>
      <c r="O191" s="427"/>
    </row>
    <row r="192">
      <c r="H192" s="426"/>
      <c r="O192" s="427"/>
    </row>
    <row r="193">
      <c r="H193" s="426"/>
      <c r="O193" s="427"/>
    </row>
    <row r="194">
      <c r="H194" s="426"/>
      <c r="O194" s="427"/>
    </row>
    <row r="195">
      <c r="H195" s="426"/>
      <c r="O195" s="427"/>
    </row>
    <row r="196">
      <c r="H196" s="426"/>
      <c r="O196" s="427"/>
    </row>
    <row r="197">
      <c r="H197" s="426"/>
      <c r="O197" s="427"/>
    </row>
    <row r="198">
      <c r="H198" s="426"/>
      <c r="O198" s="427"/>
    </row>
    <row r="199">
      <c r="H199" s="426"/>
      <c r="O199" s="427"/>
    </row>
    <row r="200">
      <c r="H200" s="426"/>
      <c r="O200" s="427"/>
    </row>
    <row r="201">
      <c r="H201" s="426"/>
      <c r="O201" s="427"/>
    </row>
    <row r="202">
      <c r="H202" s="426"/>
      <c r="O202" s="427"/>
    </row>
    <row r="203">
      <c r="H203" s="426"/>
      <c r="O203" s="427"/>
    </row>
    <row r="204">
      <c r="H204" s="426"/>
      <c r="O204" s="427"/>
    </row>
    <row r="205">
      <c r="H205" s="426"/>
      <c r="O205" s="427"/>
    </row>
    <row r="206">
      <c r="H206" s="426"/>
      <c r="O206" s="427"/>
    </row>
    <row r="207">
      <c r="H207" s="426"/>
      <c r="O207" s="427"/>
    </row>
    <row r="208">
      <c r="H208" s="426"/>
      <c r="O208" s="427"/>
    </row>
    <row r="209">
      <c r="H209" s="426"/>
      <c r="O209" s="427"/>
    </row>
    <row r="210">
      <c r="H210" s="426"/>
      <c r="O210" s="427"/>
    </row>
    <row r="211">
      <c r="H211" s="426"/>
      <c r="O211" s="427"/>
    </row>
    <row r="212">
      <c r="H212" s="426"/>
      <c r="O212" s="427"/>
    </row>
    <row r="213">
      <c r="H213" s="426"/>
      <c r="O213" s="427"/>
    </row>
    <row r="214">
      <c r="H214" s="426"/>
      <c r="O214" s="427"/>
    </row>
    <row r="215">
      <c r="H215" s="426"/>
      <c r="O215" s="427"/>
    </row>
    <row r="216">
      <c r="H216" s="426"/>
      <c r="O216" s="427"/>
    </row>
    <row r="217">
      <c r="H217" s="426"/>
      <c r="O217" s="427"/>
    </row>
    <row r="218">
      <c r="H218" s="426"/>
      <c r="O218" s="427"/>
    </row>
    <row r="219">
      <c r="H219" s="426"/>
      <c r="O219" s="427"/>
    </row>
    <row r="220">
      <c r="H220" s="426"/>
      <c r="O220" s="427"/>
    </row>
    <row r="221">
      <c r="H221" s="426"/>
      <c r="O221" s="427"/>
    </row>
    <row r="222">
      <c r="H222" s="426"/>
      <c r="O222" s="427"/>
    </row>
    <row r="223">
      <c r="H223" s="426"/>
      <c r="O223" s="427"/>
    </row>
    <row r="224">
      <c r="H224" s="426"/>
      <c r="O224" s="427"/>
    </row>
    <row r="225">
      <c r="H225" s="426"/>
      <c r="O225" s="427"/>
    </row>
    <row r="226">
      <c r="H226" s="426"/>
      <c r="O226" s="427"/>
    </row>
    <row r="227">
      <c r="H227" s="426"/>
      <c r="O227" s="427"/>
    </row>
    <row r="228">
      <c r="H228" s="426"/>
      <c r="O228" s="427"/>
    </row>
    <row r="229">
      <c r="H229" s="426"/>
      <c r="O229" s="427"/>
    </row>
    <row r="230">
      <c r="H230" s="426"/>
      <c r="O230" s="427"/>
    </row>
    <row r="231">
      <c r="H231" s="426"/>
      <c r="O231" s="427"/>
    </row>
    <row r="232">
      <c r="H232" s="426"/>
      <c r="O232" s="427"/>
    </row>
    <row r="233">
      <c r="H233" s="426"/>
      <c r="O233" s="427"/>
    </row>
    <row r="234">
      <c r="H234" s="426"/>
      <c r="O234" s="427"/>
    </row>
    <row r="235">
      <c r="H235" s="426"/>
      <c r="O235" s="427"/>
    </row>
    <row r="236">
      <c r="H236" s="426"/>
      <c r="O236" s="427"/>
    </row>
    <row r="237">
      <c r="H237" s="426"/>
      <c r="O237" s="427"/>
    </row>
    <row r="238">
      <c r="H238" s="426"/>
      <c r="O238" s="427"/>
    </row>
    <row r="239">
      <c r="H239" s="426"/>
      <c r="O239" s="427"/>
    </row>
    <row r="240">
      <c r="H240" s="426"/>
      <c r="O240" s="427"/>
    </row>
    <row r="241">
      <c r="H241" s="426"/>
      <c r="O241" s="427"/>
    </row>
    <row r="242">
      <c r="H242" s="426"/>
      <c r="O242" s="427"/>
    </row>
    <row r="243">
      <c r="H243" s="426"/>
      <c r="O243" s="427"/>
    </row>
    <row r="244">
      <c r="H244" s="426"/>
      <c r="O244" s="427"/>
    </row>
    <row r="245">
      <c r="H245" s="426"/>
      <c r="O245" s="427"/>
    </row>
    <row r="246">
      <c r="H246" s="426"/>
      <c r="O246" s="427"/>
    </row>
    <row r="247">
      <c r="H247" s="426"/>
      <c r="O247" s="427"/>
    </row>
    <row r="248">
      <c r="H248" s="426"/>
      <c r="O248" s="427"/>
    </row>
    <row r="249">
      <c r="H249" s="426"/>
      <c r="O249" s="427"/>
    </row>
    <row r="250">
      <c r="H250" s="426"/>
      <c r="O250" s="427"/>
    </row>
    <row r="251">
      <c r="H251" s="426"/>
      <c r="O251" s="427"/>
    </row>
    <row r="252">
      <c r="H252" s="426"/>
      <c r="O252" s="427"/>
    </row>
    <row r="253">
      <c r="H253" s="426"/>
      <c r="O253" s="427"/>
    </row>
    <row r="254">
      <c r="H254" s="426"/>
      <c r="O254" s="427"/>
    </row>
    <row r="255">
      <c r="H255" s="426"/>
      <c r="O255" s="427"/>
    </row>
    <row r="256">
      <c r="H256" s="426"/>
      <c r="O256" s="427"/>
    </row>
    <row r="257">
      <c r="H257" s="426"/>
      <c r="O257" s="427"/>
    </row>
    <row r="258">
      <c r="H258" s="426"/>
      <c r="O258" s="427"/>
    </row>
    <row r="259">
      <c r="H259" s="426"/>
      <c r="O259" s="427"/>
    </row>
    <row r="260">
      <c r="H260" s="426"/>
      <c r="O260" s="427"/>
    </row>
    <row r="261">
      <c r="H261" s="426"/>
      <c r="O261" s="427"/>
    </row>
    <row r="262">
      <c r="H262" s="426"/>
      <c r="O262" s="427"/>
    </row>
    <row r="263">
      <c r="H263" s="426"/>
      <c r="O263" s="427"/>
    </row>
    <row r="264">
      <c r="H264" s="426"/>
      <c r="O264" s="427"/>
    </row>
    <row r="265">
      <c r="H265" s="426"/>
      <c r="O265" s="427"/>
    </row>
    <row r="266">
      <c r="H266" s="426"/>
      <c r="O266" s="427"/>
    </row>
    <row r="267">
      <c r="H267" s="426"/>
      <c r="O267" s="427"/>
    </row>
    <row r="268">
      <c r="H268" s="426"/>
      <c r="O268" s="427"/>
    </row>
    <row r="269">
      <c r="H269" s="426"/>
      <c r="O269" s="427"/>
    </row>
    <row r="270">
      <c r="H270" s="426"/>
      <c r="O270" s="427"/>
    </row>
    <row r="271">
      <c r="H271" s="426"/>
      <c r="O271" s="427"/>
    </row>
    <row r="272">
      <c r="H272" s="426"/>
      <c r="O272" s="427"/>
    </row>
    <row r="273">
      <c r="H273" s="426"/>
      <c r="O273" s="427"/>
    </row>
    <row r="274">
      <c r="H274" s="426"/>
      <c r="O274" s="427"/>
    </row>
    <row r="275">
      <c r="H275" s="426"/>
      <c r="O275" s="427"/>
    </row>
    <row r="276">
      <c r="H276" s="426"/>
      <c r="O276" s="427"/>
    </row>
    <row r="277">
      <c r="H277" s="426"/>
      <c r="O277" s="427"/>
    </row>
    <row r="278">
      <c r="H278" s="426"/>
      <c r="O278" s="427"/>
    </row>
    <row r="279">
      <c r="H279" s="426"/>
      <c r="O279" s="427"/>
    </row>
    <row r="280">
      <c r="H280" s="426"/>
      <c r="O280" s="427"/>
    </row>
    <row r="281">
      <c r="H281" s="426"/>
      <c r="O281" s="427"/>
    </row>
    <row r="282">
      <c r="H282" s="426"/>
      <c r="O282" s="427"/>
    </row>
    <row r="283">
      <c r="H283" s="426"/>
      <c r="O283" s="427"/>
    </row>
    <row r="284">
      <c r="H284" s="426"/>
      <c r="O284" s="427"/>
    </row>
    <row r="285">
      <c r="H285" s="426"/>
      <c r="O285" s="427"/>
    </row>
    <row r="286">
      <c r="H286" s="426"/>
      <c r="O286" s="427"/>
    </row>
    <row r="287">
      <c r="H287" s="426"/>
      <c r="O287" s="427"/>
    </row>
    <row r="288">
      <c r="H288" s="426"/>
      <c r="O288" s="427"/>
    </row>
    <row r="289">
      <c r="H289" s="426"/>
      <c r="O289" s="427"/>
    </row>
    <row r="290">
      <c r="H290" s="426"/>
      <c r="O290" s="427"/>
    </row>
    <row r="291">
      <c r="H291" s="426"/>
      <c r="O291" s="427"/>
    </row>
    <row r="292">
      <c r="H292" s="426"/>
      <c r="O292" s="427"/>
    </row>
    <row r="293">
      <c r="H293" s="426"/>
      <c r="O293" s="427"/>
    </row>
    <row r="294">
      <c r="H294" s="426"/>
      <c r="O294" s="427"/>
    </row>
    <row r="295">
      <c r="H295" s="426"/>
      <c r="O295" s="427"/>
    </row>
    <row r="296">
      <c r="H296" s="426"/>
      <c r="O296" s="427"/>
    </row>
    <row r="297">
      <c r="H297" s="426"/>
      <c r="O297" s="427"/>
    </row>
    <row r="298">
      <c r="H298" s="426"/>
      <c r="O298" s="427"/>
    </row>
    <row r="299">
      <c r="H299" s="426"/>
      <c r="O299" s="427"/>
    </row>
    <row r="300">
      <c r="H300" s="426"/>
      <c r="O300" s="427"/>
    </row>
    <row r="301">
      <c r="H301" s="426"/>
      <c r="O301" s="427"/>
    </row>
    <row r="302">
      <c r="H302" s="426"/>
      <c r="O302" s="427"/>
    </row>
    <row r="303">
      <c r="H303" s="426"/>
      <c r="O303" s="427"/>
    </row>
    <row r="304">
      <c r="H304" s="426"/>
      <c r="O304" s="427"/>
    </row>
    <row r="305">
      <c r="H305" s="426"/>
      <c r="O305" s="427"/>
    </row>
    <row r="306">
      <c r="H306" s="426"/>
      <c r="O306" s="427"/>
    </row>
    <row r="307">
      <c r="H307" s="426"/>
      <c r="O307" s="427"/>
    </row>
    <row r="308">
      <c r="H308" s="426"/>
      <c r="O308" s="427"/>
    </row>
    <row r="309">
      <c r="H309" s="426"/>
      <c r="O309" s="427"/>
    </row>
    <row r="310">
      <c r="H310" s="426"/>
      <c r="O310" s="427"/>
    </row>
    <row r="311">
      <c r="H311" s="426"/>
      <c r="O311" s="427"/>
    </row>
    <row r="312">
      <c r="H312" s="426"/>
      <c r="O312" s="427"/>
    </row>
    <row r="313">
      <c r="H313" s="426"/>
      <c r="O313" s="427"/>
    </row>
    <row r="314">
      <c r="H314" s="426"/>
      <c r="O314" s="427"/>
    </row>
    <row r="315">
      <c r="H315" s="426"/>
      <c r="O315" s="427"/>
    </row>
    <row r="316">
      <c r="H316" s="426"/>
      <c r="O316" s="427"/>
    </row>
    <row r="317">
      <c r="H317" s="426"/>
      <c r="O317" s="427"/>
    </row>
    <row r="318">
      <c r="H318" s="426"/>
      <c r="O318" s="427"/>
    </row>
    <row r="319">
      <c r="H319" s="426"/>
      <c r="O319" s="427"/>
    </row>
    <row r="320">
      <c r="H320" s="426"/>
      <c r="O320" s="427"/>
    </row>
    <row r="321">
      <c r="H321" s="426"/>
      <c r="O321" s="427"/>
    </row>
    <row r="322">
      <c r="H322" s="426"/>
      <c r="O322" s="427"/>
    </row>
    <row r="323">
      <c r="H323" s="426"/>
      <c r="O323" s="427"/>
    </row>
    <row r="324">
      <c r="H324" s="426"/>
      <c r="O324" s="427"/>
    </row>
    <row r="325">
      <c r="H325" s="426"/>
      <c r="O325" s="427"/>
    </row>
    <row r="326">
      <c r="H326" s="426"/>
      <c r="O326" s="427"/>
    </row>
    <row r="327">
      <c r="H327" s="426"/>
      <c r="O327" s="427"/>
    </row>
    <row r="328">
      <c r="H328" s="426"/>
      <c r="O328" s="427"/>
    </row>
    <row r="329">
      <c r="H329" s="426"/>
      <c r="O329" s="427"/>
    </row>
    <row r="330">
      <c r="H330" s="426"/>
      <c r="O330" s="427"/>
    </row>
    <row r="331">
      <c r="H331" s="426"/>
      <c r="O331" s="427"/>
    </row>
    <row r="332">
      <c r="H332" s="426"/>
      <c r="O332" s="427"/>
    </row>
    <row r="333">
      <c r="H333" s="426"/>
      <c r="O333" s="427"/>
    </row>
    <row r="334">
      <c r="H334" s="426"/>
      <c r="O334" s="427"/>
    </row>
    <row r="335">
      <c r="H335" s="426"/>
      <c r="O335" s="427"/>
    </row>
    <row r="336">
      <c r="H336" s="426"/>
      <c r="O336" s="427"/>
    </row>
    <row r="337">
      <c r="H337" s="426"/>
      <c r="O337" s="427"/>
    </row>
    <row r="338">
      <c r="H338" s="426"/>
      <c r="O338" s="427"/>
    </row>
    <row r="339">
      <c r="H339" s="426"/>
      <c r="O339" s="427"/>
    </row>
    <row r="340">
      <c r="H340" s="426"/>
      <c r="O340" s="427"/>
    </row>
    <row r="341">
      <c r="H341" s="426"/>
      <c r="O341" s="427"/>
    </row>
    <row r="342">
      <c r="H342" s="426"/>
      <c r="O342" s="427"/>
    </row>
    <row r="343">
      <c r="H343" s="426"/>
      <c r="O343" s="427"/>
    </row>
    <row r="344">
      <c r="H344" s="426"/>
      <c r="O344" s="427"/>
    </row>
    <row r="345">
      <c r="H345" s="426"/>
      <c r="O345" s="427"/>
    </row>
    <row r="346">
      <c r="H346" s="426"/>
      <c r="O346" s="427"/>
    </row>
    <row r="347">
      <c r="H347" s="426"/>
      <c r="O347" s="427"/>
    </row>
    <row r="348">
      <c r="H348" s="426"/>
      <c r="O348" s="427"/>
    </row>
    <row r="349">
      <c r="H349" s="426"/>
      <c r="O349" s="427"/>
    </row>
    <row r="350">
      <c r="H350" s="426"/>
      <c r="O350" s="427"/>
    </row>
    <row r="351">
      <c r="H351" s="426"/>
      <c r="O351" s="427"/>
    </row>
    <row r="352">
      <c r="H352" s="426"/>
      <c r="O352" s="427"/>
    </row>
    <row r="353">
      <c r="H353" s="426"/>
      <c r="O353" s="427"/>
    </row>
    <row r="354">
      <c r="H354" s="426"/>
      <c r="O354" s="427"/>
    </row>
    <row r="355">
      <c r="H355" s="426"/>
      <c r="O355" s="427"/>
    </row>
    <row r="356">
      <c r="H356" s="426"/>
      <c r="O356" s="427"/>
    </row>
    <row r="357">
      <c r="H357" s="426"/>
      <c r="O357" s="427"/>
    </row>
    <row r="358">
      <c r="H358" s="426"/>
      <c r="O358" s="427"/>
    </row>
    <row r="359">
      <c r="H359" s="426"/>
      <c r="O359" s="427"/>
    </row>
    <row r="360">
      <c r="H360" s="426"/>
      <c r="O360" s="427"/>
    </row>
    <row r="361">
      <c r="H361" s="426"/>
      <c r="O361" s="427"/>
    </row>
    <row r="362">
      <c r="H362" s="426"/>
      <c r="O362" s="427"/>
    </row>
    <row r="363">
      <c r="H363" s="426"/>
      <c r="O363" s="427"/>
    </row>
    <row r="364">
      <c r="H364" s="426"/>
      <c r="O364" s="427"/>
    </row>
    <row r="365">
      <c r="H365" s="426"/>
      <c r="O365" s="427"/>
    </row>
    <row r="366">
      <c r="H366" s="426"/>
      <c r="O366" s="427"/>
    </row>
    <row r="367">
      <c r="H367" s="426"/>
      <c r="O367" s="427"/>
    </row>
    <row r="368">
      <c r="H368" s="426"/>
      <c r="O368" s="427"/>
    </row>
    <row r="369">
      <c r="H369" s="426"/>
      <c r="O369" s="427"/>
    </row>
    <row r="370">
      <c r="H370" s="426"/>
      <c r="O370" s="427"/>
    </row>
    <row r="371">
      <c r="H371" s="426"/>
      <c r="O371" s="427"/>
    </row>
    <row r="372">
      <c r="H372" s="426"/>
      <c r="O372" s="427"/>
    </row>
    <row r="373">
      <c r="H373" s="426"/>
      <c r="O373" s="427"/>
    </row>
    <row r="374">
      <c r="H374" s="426"/>
      <c r="O374" s="427"/>
    </row>
    <row r="375">
      <c r="H375" s="426"/>
      <c r="O375" s="427"/>
    </row>
    <row r="376">
      <c r="H376" s="426"/>
      <c r="O376" s="427"/>
    </row>
    <row r="377">
      <c r="H377" s="426"/>
      <c r="O377" s="427"/>
    </row>
    <row r="378">
      <c r="H378" s="426"/>
      <c r="O378" s="427"/>
    </row>
    <row r="379">
      <c r="H379" s="426"/>
      <c r="O379" s="427"/>
    </row>
    <row r="380">
      <c r="H380" s="426"/>
      <c r="O380" s="427"/>
    </row>
    <row r="381">
      <c r="H381" s="426"/>
      <c r="O381" s="427"/>
    </row>
    <row r="382">
      <c r="H382" s="426"/>
      <c r="O382" s="427"/>
    </row>
    <row r="383">
      <c r="H383" s="426"/>
      <c r="O383" s="427"/>
    </row>
    <row r="384">
      <c r="H384" s="426"/>
      <c r="O384" s="427"/>
    </row>
    <row r="385">
      <c r="H385" s="426"/>
      <c r="O385" s="427"/>
    </row>
    <row r="386">
      <c r="H386" s="426"/>
      <c r="O386" s="427"/>
    </row>
    <row r="387">
      <c r="H387" s="426"/>
      <c r="O387" s="427"/>
    </row>
    <row r="388">
      <c r="H388" s="426"/>
      <c r="O388" s="427"/>
    </row>
    <row r="389">
      <c r="H389" s="426"/>
      <c r="O389" s="427"/>
    </row>
    <row r="390">
      <c r="H390" s="426"/>
      <c r="O390" s="427"/>
    </row>
    <row r="391">
      <c r="H391" s="426"/>
      <c r="O391" s="427"/>
    </row>
    <row r="392">
      <c r="H392" s="426"/>
      <c r="O392" s="427"/>
    </row>
    <row r="393">
      <c r="H393" s="426"/>
      <c r="O393" s="427"/>
    </row>
    <row r="394">
      <c r="H394" s="426"/>
      <c r="O394" s="427"/>
    </row>
    <row r="395">
      <c r="H395" s="426"/>
      <c r="O395" s="427"/>
    </row>
    <row r="396">
      <c r="H396" s="426"/>
      <c r="O396" s="427"/>
    </row>
    <row r="397">
      <c r="H397" s="426"/>
      <c r="O397" s="427"/>
    </row>
    <row r="398">
      <c r="H398" s="426"/>
      <c r="O398" s="427"/>
    </row>
    <row r="399">
      <c r="H399" s="426"/>
      <c r="O399" s="427"/>
    </row>
    <row r="400">
      <c r="H400" s="426"/>
      <c r="O400" s="427"/>
    </row>
    <row r="401">
      <c r="H401" s="426"/>
      <c r="O401" s="427"/>
    </row>
    <row r="402">
      <c r="H402" s="426"/>
      <c r="O402" s="427"/>
    </row>
    <row r="403">
      <c r="H403" s="426"/>
      <c r="O403" s="427"/>
    </row>
    <row r="404">
      <c r="H404" s="426"/>
      <c r="O404" s="427"/>
    </row>
    <row r="405">
      <c r="H405" s="426"/>
      <c r="O405" s="427"/>
    </row>
    <row r="406">
      <c r="H406" s="426"/>
      <c r="O406" s="427"/>
    </row>
    <row r="407">
      <c r="H407" s="426"/>
      <c r="O407" s="427"/>
    </row>
    <row r="408">
      <c r="H408" s="426"/>
      <c r="O408" s="427"/>
    </row>
    <row r="409">
      <c r="H409" s="426"/>
      <c r="O409" s="427"/>
    </row>
    <row r="410">
      <c r="H410" s="426"/>
      <c r="O410" s="427"/>
    </row>
    <row r="411">
      <c r="H411" s="426"/>
      <c r="O411" s="427"/>
    </row>
    <row r="412">
      <c r="H412" s="426"/>
      <c r="O412" s="427"/>
    </row>
    <row r="413">
      <c r="H413" s="426"/>
      <c r="O413" s="427"/>
    </row>
    <row r="414">
      <c r="H414" s="426"/>
      <c r="O414" s="427"/>
    </row>
    <row r="415">
      <c r="H415" s="426"/>
      <c r="O415" s="427"/>
    </row>
    <row r="416">
      <c r="H416" s="426"/>
      <c r="O416" s="427"/>
    </row>
    <row r="417">
      <c r="H417" s="426"/>
      <c r="O417" s="427"/>
    </row>
    <row r="418">
      <c r="H418" s="426"/>
      <c r="O418" s="427"/>
    </row>
    <row r="419">
      <c r="H419" s="426"/>
      <c r="O419" s="427"/>
    </row>
    <row r="420">
      <c r="H420" s="426"/>
      <c r="O420" s="427"/>
    </row>
    <row r="421">
      <c r="H421" s="426"/>
      <c r="O421" s="427"/>
    </row>
    <row r="422">
      <c r="H422" s="426"/>
      <c r="O422" s="427"/>
    </row>
    <row r="423">
      <c r="H423" s="426"/>
      <c r="O423" s="427"/>
    </row>
    <row r="424">
      <c r="H424" s="426"/>
      <c r="O424" s="427"/>
    </row>
    <row r="425">
      <c r="H425" s="426"/>
      <c r="O425" s="427"/>
    </row>
    <row r="426">
      <c r="H426" s="426"/>
      <c r="O426" s="427"/>
    </row>
    <row r="427">
      <c r="H427" s="426"/>
      <c r="O427" s="427"/>
    </row>
    <row r="428">
      <c r="H428" s="426"/>
      <c r="O428" s="427"/>
    </row>
    <row r="429">
      <c r="H429" s="426"/>
      <c r="O429" s="427"/>
    </row>
    <row r="430">
      <c r="H430" s="426"/>
      <c r="O430" s="427"/>
    </row>
    <row r="431">
      <c r="H431" s="426"/>
      <c r="O431" s="427"/>
    </row>
    <row r="432">
      <c r="H432" s="426"/>
      <c r="O432" s="427"/>
    </row>
    <row r="433">
      <c r="H433" s="426"/>
      <c r="O433" s="427"/>
    </row>
    <row r="434">
      <c r="H434" s="426"/>
      <c r="O434" s="427"/>
    </row>
    <row r="435">
      <c r="H435" s="426"/>
      <c r="O435" s="427"/>
    </row>
    <row r="436">
      <c r="H436" s="426"/>
      <c r="O436" s="427"/>
    </row>
    <row r="437">
      <c r="H437" s="426"/>
      <c r="O437" s="427"/>
    </row>
    <row r="438">
      <c r="H438" s="426"/>
      <c r="O438" s="427"/>
    </row>
    <row r="439">
      <c r="H439" s="426"/>
      <c r="O439" s="427"/>
    </row>
    <row r="440">
      <c r="H440" s="426"/>
      <c r="O440" s="427"/>
    </row>
    <row r="441">
      <c r="H441" s="426"/>
      <c r="O441" s="427"/>
    </row>
    <row r="442">
      <c r="H442" s="426"/>
      <c r="O442" s="427"/>
    </row>
    <row r="443">
      <c r="H443" s="426"/>
      <c r="O443" s="427"/>
    </row>
    <row r="444">
      <c r="H444" s="426"/>
      <c r="O444" s="427"/>
    </row>
    <row r="445">
      <c r="H445" s="426"/>
      <c r="O445" s="427"/>
    </row>
    <row r="446">
      <c r="H446" s="426"/>
      <c r="O446" s="427"/>
    </row>
    <row r="447">
      <c r="H447" s="426"/>
      <c r="O447" s="427"/>
    </row>
    <row r="448">
      <c r="H448" s="426"/>
      <c r="O448" s="427"/>
    </row>
    <row r="449">
      <c r="H449" s="426"/>
      <c r="O449" s="427"/>
    </row>
    <row r="450">
      <c r="H450" s="426"/>
      <c r="O450" s="427"/>
    </row>
    <row r="451">
      <c r="H451" s="426"/>
      <c r="O451" s="427"/>
    </row>
    <row r="452">
      <c r="H452" s="426"/>
      <c r="O452" s="427"/>
    </row>
    <row r="453">
      <c r="H453" s="426"/>
      <c r="O453" s="427"/>
    </row>
    <row r="454">
      <c r="H454" s="426"/>
      <c r="O454" s="427"/>
    </row>
    <row r="455">
      <c r="H455" s="426"/>
      <c r="O455" s="427"/>
    </row>
    <row r="456">
      <c r="H456" s="426"/>
      <c r="O456" s="427"/>
    </row>
    <row r="457">
      <c r="H457" s="426"/>
      <c r="O457" s="427"/>
    </row>
    <row r="458">
      <c r="H458" s="426"/>
      <c r="O458" s="427"/>
    </row>
    <row r="459">
      <c r="H459" s="426"/>
      <c r="O459" s="427"/>
    </row>
    <row r="460">
      <c r="H460" s="426"/>
      <c r="O460" s="427"/>
    </row>
    <row r="461">
      <c r="H461" s="426"/>
      <c r="O461" s="427"/>
    </row>
    <row r="462">
      <c r="H462" s="426"/>
      <c r="O462" s="427"/>
    </row>
    <row r="463">
      <c r="H463" s="426"/>
      <c r="O463" s="427"/>
    </row>
    <row r="464">
      <c r="H464" s="426"/>
      <c r="O464" s="427"/>
    </row>
    <row r="465">
      <c r="H465" s="426"/>
      <c r="O465" s="427"/>
    </row>
    <row r="466">
      <c r="H466" s="426"/>
      <c r="O466" s="427"/>
    </row>
    <row r="467">
      <c r="H467" s="426"/>
      <c r="O467" s="427"/>
    </row>
    <row r="468">
      <c r="H468" s="426"/>
      <c r="O468" s="427"/>
    </row>
    <row r="469">
      <c r="H469" s="426"/>
      <c r="O469" s="427"/>
    </row>
    <row r="470">
      <c r="H470" s="426"/>
      <c r="O470" s="427"/>
    </row>
    <row r="471">
      <c r="H471" s="426"/>
      <c r="O471" s="427"/>
    </row>
    <row r="472">
      <c r="H472" s="426"/>
      <c r="O472" s="427"/>
    </row>
    <row r="473">
      <c r="H473" s="426"/>
      <c r="O473" s="427"/>
    </row>
    <row r="474">
      <c r="H474" s="426"/>
      <c r="O474" s="427"/>
    </row>
    <row r="475">
      <c r="H475" s="426"/>
      <c r="O475" s="427"/>
    </row>
    <row r="476">
      <c r="H476" s="426"/>
      <c r="O476" s="427"/>
    </row>
    <row r="477">
      <c r="H477" s="426"/>
      <c r="O477" s="427"/>
    </row>
    <row r="478">
      <c r="H478" s="426"/>
      <c r="O478" s="427"/>
    </row>
    <row r="479">
      <c r="H479" s="426"/>
      <c r="O479" s="427"/>
    </row>
    <row r="480">
      <c r="H480" s="426"/>
      <c r="O480" s="427"/>
    </row>
    <row r="481">
      <c r="H481" s="426"/>
      <c r="O481" s="427"/>
    </row>
    <row r="482">
      <c r="H482" s="426"/>
      <c r="O482" s="427"/>
    </row>
    <row r="483">
      <c r="H483" s="426"/>
      <c r="O483" s="427"/>
    </row>
    <row r="484">
      <c r="H484" s="426"/>
      <c r="O484" s="427"/>
    </row>
    <row r="485">
      <c r="H485" s="426"/>
      <c r="O485" s="427"/>
    </row>
    <row r="486">
      <c r="H486" s="426"/>
      <c r="O486" s="427"/>
    </row>
    <row r="487">
      <c r="H487" s="426"/>
      <c r="O487" s="427"/>
    </row>
    <row r="488">
      <c r="H488" s="426"/>
      <c r="O488" s="427"/>
    </row>
    <row r="489">
      <c r="H489" s="426"/>
      <c r="O489" s="427"/>
    </row>
    <row r="490">
      <c r="H490" s="426"/>
      <c r="O490" s="427"/>
    </row>
    <row r="491">
      <c r="H491" s="426"/>
      <c r="O491" s="427"/>
    </row>
    <row r="492">
      <c r="H492" s="426"/>
      <c r="O492" s="427"/>
    </row>
    <row r="493">
      <c r="H493" s="426"/>
      <c r="O493" s="427"/>
    </row>
    <row r="494">
      <c r="H494" s="426"/>
      <c r="O494" s="427"/>
    </row>
    <row r="495">
      <c r="H495" s="426"/>
      <c r="O495" s="427"/>
    </row>
    <row r="496">
      <c r="H496" s="426"/>
      <c r="O496" s="427"/>
    </row>
    <row r="497">
      <c r="H497" s="426"/>
      <c r="O497" s="427"/>
    </row>
    <row r="498">
      <c r="H498" s="426"/>
      <c r="O498" s="427"/>
    </row>
    <row r="499">
      <c r="H499" s="426"/>
      <c r="O499" s="427"/>
    </row>
    <row r="500">
      <c r="H500" s="426"/>
      <c r="O500" s="427"/>
    </row>
    <row r="501">
      <c r="H501" s="426"/>
      <c r="O501" s="427"/>
    </row>
    <row r="502">
      <c r="H502" s="426"/>
      <c r="O502" s="427"/>
    </row>
    <row r="503">
      <c r="H503" s="426"/>
      <c r="O503" s="427"/>
    </row>
    <row r="504">
      <c r="H504" s="426"/>
      <c r="O504" s="427"/>
    </row>
    <row r="505">
      <c r="H505" s="426"/>
      <c r="O505" s="427"/>
    </row>
    <row r="506">
      <c r="H506" s="426"/>
      <c r="O506" s="427"/>
    </row>
    <row r="507">
      <c r="H507" s="426"/>
      <c r="O507" s="427"/>
    </row>
    <row r="508">
      <c r="H508" s="426"/>
      <c r="O508" s="427"/>
    </row>
    <row r="509">
      <c r="H509" s="426"/>
      <c r="O509" s="427"/>
    </row>
    <row r="510">
      <c r="H510" s="426"/>
      <c r="O510" s="427"/>
    </row>
    <row r="511">
      <c r="H511" s="426"/>
      <c r="O511" s="427"/>
    </row>
    <row r="512">
      <c r="H512" s="426"/>
      <c r="O512" s="427"/>
    </row>
    <row r="513">
      <c r="H513" s="426"/>
      <c r="O513" s="427"/>
    </row>
    <row r="514">
      <c r="H514" s="426"/>
      <c r="O514" s="427"/>
    </row>
    <row r="515">
      <c r="H515" s="426"/>
      <c r="O515" s="427"/>
    </row>
    <row r="516">
      <c r="H516" s="426"/>
      <c r="O516" s="427"/>
    </row>
    <row r="517">
      <c r="H517" s="426"/>
      <c r="O517" s="427"/>
    </row>
    <row r="518">
      <c r="H518" s="426"/>
      <c r="O518" s="427"/>
    </row>
    <row r="519">
      <c r="H519" s="426"/>
      <c r="O519" s="427"/>
    </row>
    <row r="520">
      <c r="H520" s="426"/>
      <c r="O520" s="427"/>
    </row>
    <row r="521">
      <c r="H521" s="426"/>
      <c r="O521" s="427"/>
    </row>
    <row r="522">
      <c r="H522" s="426"/>
      <c r="O522" s="427"/>
    </row>
    <row r="523">
      <c r="H523" s="426"/>
      <c r="O523" s="427"/>
    </row>
    <row r="524">
      <c r="H524" s="426"/>
      <c r="O524" s="427"/>
    </row>
    <row r="525">
      <c r="H525" s="426"/>
      <c r="O525" s="427"/>
    </row>
    <row r="526">
      <c r="H526" s="426"/>
      <c r="O526" s="427"/>
    </row>
    <row r="527">
      <c r="H527" s="426"/>
      <c r="O527" s="427"/>
    </row>
    <row r="528">
      <c r="H528" s="426"/>
      <c r="O528" s="427"/>
    </row>
    <row r="529">
      <c r="H529" s="426"/>
      <c r="O529" s="427"/>
    </row>
    <row r="530">
      <c r="H530" s="426"/>
      <c r="O530" s="427"/>
    </row>
    <row r="531">
      <c r="H531" s="426"/>
      <c r="O531" s="427"/>
    </row>
    <row r="532">
      <c r="H532" s="426"/>
      <c r="O532" s="427"/>
    </row>
    <row r="533">
      <c r="H533" s="426"/>
      <c r="O533" s="427"/>
    </row>
    <row r="534">
      <c r="H534" s="426"/>
      <c r="O534" s="427"/>
    </row>
    <row r="535">
      <c r="H535" s="426"/>
      <c r="O535" s="427"/>
    </row>
    <row r="536">
      <c r="H536" s="426"/>
      <c r="O536" s="427"/>
    </row>
    <row r="537">
      <c r="H537" s="426"/>
      <c r="O537" s="427"/>
    </row>
    <row r="538">
      <c r="H538" s="426"/>
      <c r="O538" s="427"/>
    </row>
    <row r="539">
      <c r="H539" s="426"/>
      <c r="O539" s="427"/>
    </row>
    <row r="540">
      <c r="H540" s="426"/>
      <c r="O540" s="427"/>
    </row>
    <row r="541">
      <c r="H541" s="426"/>
      <c r="O541" s="427"/>
    </row>
    <row r="542">
      <c r="H542" s="426"/>
      <c r="O542" s="427"/>
    </row>
    <row r="543">
      <c r="H543" s="426"/>
      <c r="O543" s="427"/>
    </row>
    <row r="544">
      <c r="H544" s="426"/>
      <c r="O544" s="427"/>
    </row>
    <row r="545">
      <c r="H545" s="426"/>
      <c r="O545" s="427"/>
    </row>
    <row r="546">
      <c r="H546" s="426"/>
      <c r="O546" s="427"/>
    </row>
    <row r="547">
      <c r="H547" s="426"/>
      <c r="O547" s="427"/>
    </row>
    <row r="548">
      <c r="H548" s="426"/>
      <c r="O548" s="427"/>
    </row>
    <row r="549">
      <c r="H549" s="426"/>
      <c r="O549" s="427"/>
    </row>
    <row r="550">
      <c r="H550" s="426"/>
      <c r="O550" s="427"/>
    </row>
    <row r="551">
      <c r="H551" s="426"/>
      <c r="O551" s="427"/>
    </row>
    <row r="552">
      <c r="H552" s="426"/>
      <c r="O552" s="427"/>
    </row>
    <row r="553">
      <c r="H553" s="426"/>
      <c r="O553" s="427"/>
    </row>
    <row r="554">
      <c r="H554" s="426"/>
      <c r="O554" s="427"/>
    </row>
    <row r="555">
      <c r="H555" s="426"/>
      <c r="O555" s="427"/>
    </row>
    <row r="556">
      <c r="H556" s="426"/>
      <c r="O556" s="427"/>
    </row>
    <row r="557">
      <c r="H557" s="426"/>
      <c r="O557" s="427"/>
    </row>
    <row r="558">
      <c r="H558" s="426"/>
      <c r="O558" s="427"/>
    </row>
    <row r="559">
      <c r="H559" s="426"/>
      <c r="O559" s="427"/>
    </row>
    <row r="560">
      <c r="H560" s="426"/>
      <c r="O560" s="427"/>
    </row>
    <row r="561">
      <c r="H561" s="426"/>
      <c r="O561" s="427"/>
    </row>
    <row r="562">
      <c r="H562" s="426"/>
      <c r="O562" s="427"/>
    </row>
    <row r="563">
      <c r="H563" s="426"/>
      <c r="O563" s="427"/>
    </row>
    <row r="564">
      <c r="H564" s="426"/>
      <c r="O564" s="427"/>
    </row>
    <row r="565">
      <c r="H565" s="426"/>
      <c r="O565" s="427"/>
    </row>
    <row r="566">
      <c r="H566" s="426"/>
      <c r="O566" s="427"/>
    </row>
    <row r="567">
      <c r="H567" s="426"/>
      <c r="O567" s="427"/>
    </row>
    <row r="568">
      <c r="H568" s="426"/>
      <c r="O568" s="427"/>
    </row>
    <row r="569">
      <c r="H569" s="426"/>
      <c r="O569" s="427"/>
    </row>
    <row r="570">
      <c r="H570" s="426"/>
      <c r="O570" s="427"/>
    </row>
    <row r="571">
      <c r="H571" s="426"/>
      <c r="O571" s="427"/>
    </row>
    <row r="572">
      <c r="H572" s="426"/>
      <c r="O572" s="427"/>
    </row>
    <row r="573">
      <c r="H573" s="426"/>
      <c r="O573" s="427"/>
    </row>
    <row r="574">
      <c r="H574" s="426"/>
      <c r="O574" s="427"/>
    </row>
    <row r="575">
      <c r="H575" s="426"/>
      <c r="O575" s="427"/>
    </row>
    <row r="576">
      <c r="H576" s="426"/>
      <c r="O576" s="427"/>
    </row>
    <row r="577">
      <c r="H577" s="426"/>
      <c r="O577" s="427"/>
    </row>
    <row r="578">
      <c r="H578" s="426"/>
      <c r="O578" s="427"/>
    </row>
    <row r="579">
      <c r="H579" s="426"/>
      <c r="O579" s="427"/>
    </row>
    <row r="580">
      <c r="H580" s="426"/>
      <c r="O580" s="427"/>
    </row>
    <row r="581">
      <c r="H581" s="426"/>
      <c r="O581" s="427"/>
    </row>
    <row r="582">
      <c r="H582" s="426"/>
      <c r="O582" s="427"/>
    </row>
    <row r="583">
      <c r="H583" s="426"/>
      <c r="O583" s="427"/>
    </row>
    <row r="584">
      <c r="H584" s="426"/>
      <c r="O584" s="427"/>
    </row>
    <row r="585">
      <c r="H585" s="426"/>
      <c r="O585" s="427"/>
    </row>
    <row r="586">
      <c r="H586" s="426"/>
      <c r="O586" s="427"/>
    </row>
    <row r="587">
      <c r="H587" s="426"/>
      <c r="O587" s="427"/>
    </row>
    <row r="588">
      <c r="H588" s="426"/>
      <c r="O588" s="427"/>
    </row>
    <row r="589">
      <c r="H589" s="426"/>
      <c r="O589" s="427"/>
    </row>
    <row r="590">
      <c r="H590" s="426"/>
      <c r="O590" s="427"/>
    </row>
    <row r="591">
      <c r="H591" s="426"/>
      <c r="O591" s="427"/>
    </row>
    <row r="592">
      <c r="H592" s="426"/>
      <c r="O592" s="427"/>
    </row>
    <row r="593">
      <c r="H593" s="426"/>
      <c r="O593" s="427"/>
    </row>
    <row r="594">
      <c r="H594" s="426"/>
      <c r="O594" s="427"/>
    </row>
    <row r="595">
      <c r="H595" s="426"/>
      <c r="O595" s="427"/>
    </row>
    <row r="596">
      <c r="H596" s="426"/>
      <c r="O596" s="427"/>
    </row>
    <row r="597">
      <c r="H597" s="426"/>
      <c r="O597" s="427"/>
    </row>
    <row r="598">
      <c r="H598" s="426"/>
      <c r="O598" s="427"/>
    </row>
    <row r="599">
      <c r="H599" s="426"/>
      <c r="O599" s="427"/>
    </row>
    <row r="600">
      <c r="H600" s="426"/>
      <c r="O600" s="427"/>
    </row>
    <row r="601">
      <c r="H601" s="426"/>
      <c r="O601" s="427"/>
    </row>
    <row r="602">
      <c r="H602" s="426"/>
      <c r="O602" s="427"/>
    </row>
    <row r="603">
      <c r="H603" s="426"/>
      <c r="O603" s="427"/>
    </row>
    <row r="604">
      <c r="H604" s="426"/>
      <c r="O604" s="427"/>
    </row>
    <row r="605">
      <c r="H605" s="426"/>
      <c r="O605" s="427"/>
    </row>
    <row r="606">
      <c r="H606" s="426"/>
      <c r="O606" s="427"/>
    </row>
    <row r="607">
      <c r="H607" s="426"/>
      <c r="O607" s="427"/>
    </row>
    <row r="608">
      <c r="H608" s="426"/>
      <c r="O608" s="427"/>
    </row>
    <row r="609">
      <c r="H609" s="426"/>
      <c r="O609" s="427"/>
    </row>
    <row r="610">
      <c r="H610" s="426"/>
      <c r="O610" s="427"/>
    </row>
    <row r="611">
      <c r="H611" s="426"/>
      <c r="O611" s="427"/>
    </row>
    <row r="612">
      <c r="H612" s="426"/>
      <c r="O612" s="427"/>
    </row>
    <row r="613">
      <c r="H613" s="426"/>
      <c r="O613" s="427"/>
    </row>
    <row r="614">
      <c r="H614" s="426"/>
      <c r="O614" s="427"/>
    </row>
    <row r="615">
      <c r="H615" s="426"/>
      <c r="O615" s="427"/>
    </row>
    <row r="616">
      <c r="H616" s="426"/>
      <c r="O616" s="427"/>
    </row>
    <row r="617">
      <c r="H617" s="426"/>
      <c r="O617" s="427"/>
    </row>
    <row r="618">
      <c r="H618" s="426"/>
      <c r="O618" s="427"/>
    </row>
    <row r="619">
      <c r="H619" s="426"/>
      <c r="O619" s="427"/>
    </row>
    <row r="620">
      <c r="H620" s="426"/>
      <c r="O620" s="427"/>
    </row>
    <row r="621">
      <c r="H621" s="426"/>
      <c r="O621" s="427"/>
    </row>
    <row r="622">
      <c r="H622" s="426"/>
      <c r="O622" s="427"/>
    </row>
    <row r="623">
      <c r="H623" s="426"/>
      <c r="O623" s="427"/>
    </row>
    <row r="624">
      <c r="H624" s="426"/>
      <c r="O624" s="427"/>
    </row>
    <row r="625">
      <c r="H625" s="426"/>
      <c r="O625" s="427"/>
    </row>
    <row r="626">
      <c r="H626" s="426"/>
      <c r="O626" s="427"/>
    </row>
    <row r="627">
      <c r="H627" s="426"/>
      <c r="O627" s="427"/>
    </row>
    <row r="628">
      <c r="H628" s="426"/>
      <c r="O628" s="427"/>
    </row>
    <row r="629">
      <c r="H629" s="426"/>
      <c r="O629" s="427"/>
    </row>
    <row r="630">
      <c r="H630" s="426"/>
      <c r="O630" s="427"/>
    </row>
    <row r="631">
      <c r="H631" s="426"/>
      <c r="O631" s="427"/>
    </row>
    <row r="632">
      <c r="H632" s="426"/>
      <c r="O632" s="427"/>
    </row>
    <row r="633">
      <c r="H633" s="426"/>
      <c r="O633" s="427"/>
    </row>
    <row r="634">
      <c r="H634" s="426"/>
      <c r="O634" s="427"/>
    </row>
    <row r="635">
      <c r="H635" s="426"/>
      <c r="O635" s="427"/>
    </row>
    <row r="636">
      <c r="H636" s="426"/>
      <c r="O636" s="427"/>
    </row>
    <row r="637">
      <c r="H637" s="426"/>
      <c r="O637" s="427"/>
    </row>
    <row r="638">
      <c r="H638" s="426"/>
      <c r="O638" s="427"/>
    </row>
    <row r="639">
      <c r="H639" s="426"/>
      <c r="O639" s="427"/>
    </row>
    <row r="640">
      <c r="H640" s="426"/>
      <c r="O640" s="427"/>
    </row>
    <row r="641">
      <c r="H641" s="426"/>
      <c r="O641" s="427"/>
    </row>
    <row r="642">
      <c r="H642" s="426"/>
      <c r="O642" s="427"/>
    </row>
    <row r="643">
      <c r="H643" s="426"/>
      <c r="O643" s="427"/>
    </row>
    <row r="644">
      <c r="H644" s="426"/>
      <c r="O644" s="427"/>
    </row>
    <row r="645">
      <c r="H645" s="426"/>
      <c r="O645" s="427"/>
    </row>
    <row r="646">
      <c r="H646" s="426"/>
      <c r="O646" s="427"/>
    </row>
    <row r="647">
      <c r="H647" s="426"/>
      <c r="O647" s="427"/>
    </row>
    <row r="648">
      <c r="H648" s="426"/>
      <c r="O648" s="427"/>
    </row>
    <row r="649">
      <c r="H649" s="426"/>
      <c r="O649" s="427"/>
    </row>
    <row r="650">
      <c r="H650" s="426"/>
      <c r="O650" s="427"/>
    </row>
    <row r="651">
      <c r="H651" s="426"/>
      <c r="O651" s="427"/>
    </row>
    <row r="652">
      <c r="H652" s="426"/>
      <c r="O652" s="427"/>
    </row>
    <row r="653">
      <c r="H653" s="426"/>
      <c r="O653" s="427"/>
    </row>
    <row r="654">
      <c r="H654" s="426"/>
      <c r="O654" s="427"/>
    </row>
    <row r="655">
      <c r="H655" s="426"/>
      <c r="O655" s="427"/>
    </row>
    <row r="656">
      <c r="H656" s="426"/>
      <c r="O656" s="427"/>
    </row>
    <row r="657">
      <c r="H657" s="426"/>
      <c r="O657" s="427"/>
    </row>
    <row r="658">
      <c r="H658" s="426"/>
      <c r="O658" s="427"/>
    </row>
    <row r="659">
      <c r="H659" s="426"/>
      <c r="O659" s="427"/>
    </row>
    <row r="660">
      <c r="H660" s="426"/>
      <c r="O660" s="427"/>
    </row>
    <row r="661">
      <c r="H661" s="426"/>
      <c r="O661" s="427"/>
    </row>
    <row r="662">
      <c r="H662" s="426"/>
      <c r="O662" s="427"/>
    </row>
    <row r="663">
      <c r="H663" s="426"/>
      <c r="O663" s="427"/>
    </row>
    <row r="664">
      <c r="H664" s="426"/>
      <c r="O664" s="427"/>
    </row>
    <row r="665">
      <c r="H665" s="426"/>
      <c r="O665" s="427"/>
    </row>
    <row r="666">
      <c r="H666" s="426"/>
      <c r="O666" s="427"/>
    </row>
    <row r="667">
      <c r="H667" s="426"/>
      <c r="O667" s="427"/>
    </row>
    <row r="668">
      <c r="H668" s="426"/>
      <c r="O668" s="427"/>
    </row>
    <row r="669">
      <c r="H669" s="426"/>
      <c r="O669" s="427"/>
    </row>
    <row r="670">
      <c r="H670" s="426"/>
      <c r="O670" s="427"/>
    </row>
    <row r="671">
      <c r="H671" s="426"/>
      <c r="O671" s="427"/>
    </row>
    <row r="672">
      <c r="H672" s="426"/>
      <c r="O672" s="427"/>
    </row>
    <row r="673">
      <c r="H673" s="426"/>
      <c r="O673" s="427"/>
    </row>
    <row r="674">
      <c r="H674" s="426"/>
      <c r="O674" s="427"/>
    </row>
    <row r="675">
      <c r="H675" s="426"/>
      <c r="O675" s="427"/>
    </row>
    <row r="676">
      <c r="H676" s="426"/>
      <c r="O676" s="427"/>
    </row>
    <row r="677">
      <c r="H677" s="426"/>
      <c r="O677" s="427"/>
    </row>
    <row r="678">
      <c r="H678" s="426"/>
      <c r="O678" s="427"/>
    </row>
    <row r="679">
      <c r="H679" s="426"/>
      <c r="O679" s="427"/>
    </row>
    <row r="680">
      <c r="H680" s="426"/>
      <c r="O680" s="427"/>
    </row>
    <row r="681">
      <c r="H681" s="426"/>
      <c r="O681" s="427"/>
    </row>
    <row r="682">
      <c r="H682" s="426"/>
      <c r="O682" s="427"/>
    </row>
    <row r="683">
      <c r="H683" s="426"/>
      <c r="O683" s="427"/>
    </row>
    <row r="684">
      <c r="H684" s="426"/>
      <c r="O684" s="427"/>
    </row>
    <row r="685">
      <c r="H685" s="426"/>
      <c r="O685" s="427"/>
    </row>
    <row r="686">
      <c r="H686" s="426"/>
      <c r="O686" s="427"/>
    </row>
    <row r="687">
      <c r="H687" s="426"/>
      <c r="O687" s="427"/>
    </row>
    <row r="688">
      <c r="H688" s="426"/>
      <c r="O688" s="427"/>
    </row>
    <row r="689">
      <c r="H689" s="426"/>
      <c r="O689" s="427"/>
    </row>
    <row r="690">
      <c r="H690" s="426"/>
      <c r="O690" s="427"/>
    </row>
    <row r="691">
      <c r="H691" s="426"/>
      <c r="O691" s="427"/>
    </row>
    <row r="692">
      <c r="H692" s="426"/>
      <c r="O692" s="427"/>
    </row>
    <row r="693">
      <c r="H693" s="426"/>
      <c r="O693" s="427"/>
    </row>
    <row r="694">
      <c r="H694" s="426"/>
      <c r="O694" s="427"/>
    </row>
    <row r="695">
      <c r="H695" s="426"/>
      <c r="O695" s="427"/>
    </row>
    <row r="696">
      <c r="H696" s="426"/>
      <c r="O696" s="427"/>
    </row>
    <row r="697">
      <c r="H697" s="426"/>
      <c r="O697" s="427"/>
    </row>
    <row r="698">
      <c r="H698" s="426"/>
      <c r="O698" s="427"/>
    </row>
    <row r="699">
      <c r="H699" s="426"/>
      <c r="O699" s="427"/>
    </row>
    <row r="700">
      <c r="H700" s="426"/>
      <c r="O700" s="427"/>
    </row>
    <row r="701">
      <c r="H701" s="426"/>
      <c r="O701" s="427"/>
    </row>
    <row r="702">
      <c r="H702" s="426"/>
      <c r="O702" s="427"/>
    </row>
    <row r="703">
      <c r="H703" s="426"/>
      <c r="O703" s="427"/>
    </row>
    <row r="704">
      <c r="H704" s="426"/>
      <c r="O704" s="427"/>
    </row>
    <row r="705">
      <c r="H705" s="426"/>
      <c r="O705" s="427"/>
    </row>
    <row r="706">
      <c r="H706" s="426"/>
      <c r="O706" s="427"/>
    </row>
    <row r="707">
      <c r="H707" s="426"/>
      <c r="O707" s="427"/>
    </row>
    <row r="708">
      <c r="H708" s="426"/>
      <c r="O708" s="427"/>
    </row>
    <row r="709">
      <c r="H709" s="426"/>
      <c r="O709" s="427"/>
    </row>
    <row r="710">
      <c r="H710" s="426"/>
      <c r="O710" s="427"/>
    </row>
    <row r="711">
      <c r="H711" s="426"/>
      <c r="O711" s="427"/>
    </row>
    <row r="712">
      <c r="H712" s="426"/>
      <c r="O712" s="427"/>
    </row>
    <row r="713">
      <c r="H713" s="426"/>
      <c r="O713" s="427"/>
    </row>
    <row r="714">
      <c r="H714" s="426"/>
      <c r="O714" s="427"/>
    </row>
    <row r="715">
      <c r="H715" s="426"/>
      <c r="O715" s="427"/>
    </row>
    <row r="716">
      <c r="H716" s="426"/>
      <c r="O716" s="427"/>
    </row>
    <row r="717">
      <c r="H717" s="426"/>
      <c r="O717" s="427"/>
    </row>
    <row r="718">
      <c r="H718" s="426"/>
      <c r="O718" s="427"/>
    </row>
    <row r="719">
      <c r="H719" s="426"/>
      <c r="O719" s="427"/>
    </row>
    <row r="720">
      <c r="H720" s="426"/>
      <c r="O720" s="427"/>
    </row>
    <row r="721">
      <c r="H721" s="426"/>
      <c r="O721" s="427"/>
    </row>
    <row r="722">
      <c r="H722" s="426"/>
      <c r="O722" s="427"/>
    </row>
    <row r="723">
      <c r="H723" s="426"/>
      <c r="O723" s="427"/>
    </row>
    <row r="724">
      <c r="H724" s="426"/>
      <c r="O724" s="427"/>
    </row>
    <row r="725">
      <c r="H725" s="426"/>
      <c r="O725" s="427"/>
    </row>
    <row r="726">
      <c r="H726" s="426"/>
      <c r="O726" s="427"/>
    </row>
    <row r="727">
      <c r="H727" s="426"/>
      <c r="O727" s="427"/>
    </row>
    <row r="728">
      <c r="H728" s="426"/>
      <c r="O728" s="427"/>
    </row>
    <row r="729">
      <c r="H729" s="426"/>
      <c r="O729" s="427"/>
    </row>
    <row r="730">
      <c r="H730" s="426"/>
      <c r="O730" s="427"/>
    </row>
    <row r="731">
      <c r="H731" s="426"/>
      <c r="O731" s="427"/>
    </row>
    <row r="732">
      <c r="H732" s="426"/>
      <c r="O732" s="427"/>
    </row>
    <row r="733">
      <c r="H733" s="426"/>
      <c r="O733" s="427"/>
    </row>
    <row r="734">
      <c r="H734" s="426"/>
      <c r="O734" s="427"/>
    </row>
    <row r="735">
      <c r="H735" s="426"/>
      <c r="O735" s="427"/>
    </row>
    <row r="736">
      <c r="H736" s="426"/>
      <c r="O736" s="427"/>
    </row>
    <row r="737">
      <c r="H737" s="426"/>
      <c r="O737" s="427"/>
    </row>
    <row r="738">
      <c r="H738" s="426"/>
      <c r="O738" s="427"/>
    </row>
    <row r="739">
      <c r="H739" s="426"/>
      <c r="O739" s="427"/>
    </row>
    <row r="740">
      <c r="H740" s="426"/>
      <c r="O740" s="427"/>
    </row>
    <row r="741">
      <c r="H741" s="426"/>
      <c r="O741" s="427"/>
    </row>
    <row r="742">
      <c r="H742" s="426"/>
      <c r="O742" s="427"/>
    </row>
    <row r="743">
      <c r="H743" s="426"/>
      <c r="O743" s="427"/>
    </row>
    <row r="744">
      <c r="H744" s="426"/>
      <c r="O744" s="427"/>
    </row>
    <row r="745">
      <c r="H745" s="426"/>
      <c r="O745" s="427"/>
    </row>
    <row r="746">
      <c r="H746" s="426"/>
      <c r="O746" s="427"/>
    </row>
    <row r="747">
      <c r="H747" s="426"/>
      <c r="O747" s="427"/>
    </row>
    <row r="748">
      <c r="H748" s="426"/>
      <c r="O748" s="427"/>
    </row>
    <row r="749">
      <c r="H749" s="426"/>
      <c r="O749" s="427"/>
    </row>
    <row r="750">
      <c r="H750" s="426"/>
      <c r="O750" s="427"/>
    </row>
    <row r="751">
      <c r="H751" s="426"/>
      <c r="O751" s="427"/>
    </row>
    <row r="752">
      <c r="H752" s="426"/>
      <c r="O752" s="427"/>
    </row>
    <row r="753">
      <c r="H753" s="426"/>
      <c r="O753" s="427"/>
    </row>
    <row r="754">
      <c r="H754" s="426"/>
      <c r="O754" s="427"/>
    </row>
    <row r="755">
      <c r="H755" s="426"/>
      <c r="O755" s="427"/>
    </row>
    <row r="756">
      <c r="H756" s="426"/>
      <c r="O756" s="427"/>
    </row>
    <row r="757">
      <c r="H757" s="426"/>
      <c r="O757" s="427"/>
    </row>
    <row r="758">
      <c r="H758" s="426"/>
      <c r="O758" s="427"/>
    </row>
    <row r="759">
      <c r="H759" s="426"/>
      <c r="O759" s="427"/>
    </row>
    <row r="760">
      <c r="H760" s="426"/>
      <c r="O760" s="427"/>
    </row>
    <row r="761">
      <c r="H761" s="426"/>
      <c r="O761" s="427"/>
    </row>
    <row r="762">
      <c r="H762" s="426"/>
      <c r="O762" s="427"/>
    </row>
    <row r="763">
      <c r="H763" s="426"/>
      <c r="O763" s="427"/>
    </row>
    <row r="764">
      <c r="H764" s="426"/>
      <c r="O764" s="427"/>
    </row>
    <row r="765">
      <c r="H765" s="426"/>
      <c r="O765" s="427"/>
    </row>
    <row r="766">
      <c r="H766" s="426"/>
      <c r="O766" s="427"/>
    </row>
    <row r="767">
      <c r="H767" s="426"/>
      <c r="O767" s="427"/>
    </row>
    <row r="768">
      <c r="H768" s="426"/>
      <c r="O768" s="427"/>
    </row>
    <row r="769">
      <c r="H769" s="426"/>
      <c r="O769" s="427"/>
    </row>
    <row r="770">
      <c r="H770" s="426"/>
      <c r="O770" s="427"/>
    </row>
    <row r="771">
      <c r="H771" s="426"/>
      <c r="O771" s="427"/>
    </row>
    <row r="772">
      <c r="H772" s="426"/>
      <c r="O772" s="427"/>
    </row>
    <row r="773">
      <c r="H773" s="426"/>
      <c r="O773" s="427"/>
    </row>
    <row r="774">
      <c r="H774" s="426"/>
      <c r="O774" s="427"/>
    </row>
    <row r="775">
      <c r="H775" s="426"/>
      <c r="O775" s="427"/>
    </row>
    <row r="776">
      <c r="H776" s="426"/>
      <c r="O776" s="427"/>
    </row>
    <row r="777">
      <c r="H777" s="426"/>
      <c r="O777" s="427"/>
    </row>
    <row r="778">
      <c r="H778" s="426"/>
      <c r="O778" s="427"/>
    </row>
    <row r="779">
      <c r="H779" s="426"/>
      <c r="O779" s="427"/>
    </row>
    <row r="780">
      <c r="H780" s="426"/>
      <c r="O780" s="427"/>
    </row>
    <row r="781">
      <c r="H781" s="426"/>
      <c r="O781" s="427"/>
    </row>
    <row r="782">
      <c r="H782" s="426"/>
      <c r="O782" s="427"/>
    </row>
    <row r="783">
      <c r="H783" s="426"/>
      <c r="O783" s="427"/>
    </row>
    <row r="784">
      <c r="H784" s="426"/>
      <c r="O784" s="427"/>
    </row>
    <row r="785">
      <c r="H785" s="426"/>
      <c r="O785" s="427"/>
    </row>
    <row r="786">
      <c r="H786" s="426"/>
      <c r="O786" s="427"/>
    </row>
    <row r="787">
      <c r="H787" s="426"/>
      <c r="O787" s="427"/>
    </row>
    <row r="788">
      <c r="H788" s="426"/>
      <c r="O788" s="427"/>
    </row>
    <row r="789">
      <c r="H789" s="426"/>
      <c r="O789" s="427"/>
    </row>
    <row r="790">
      <c r="H790" s="426"/>
      <c r="O790" s="427"/>
    </row>
    <row r="791">
      <c r="H791" s="426"/>
      <c r="O791" s="427"/>
    </row>
    <row r="792">
      <c r="H792" s="426"/>
      <c r="O792" s="427"/>
    </row>
    <row r="793">
      <c r="H793" s="426"/>
      <c r="O793" s="427"/>
    </row>
    <row r="794">
      <c r="H794" s="426"/>
      <c r="O794" s="427"/>
    </row>
    <row r="795">
      <c r="H795" s="426"/>
      <c r="O795" s="427"/>
    </row>
    <row r="796">
      <c r="H796" s="426"/>
      <c r="O796" s="427"/>
    </row>
    <row r="797">
      <c r="H797" s="426"/>
      <c r="O797" s="427"/>
    </row>
    <row r="798">
      <c r="H798" s="426"/>
      <c r="O798" s="427"/>
    </row>
    <row r="799">
      <c r="H799" s="426"/>
      <c r="O799" s="427"/>
    </row>
    <row r="800">
      <c r="H800" s="426"/>
      <c r="O800" s="427"/>
    </row>
    <row r="801">
      <c r="H801" s="426"/>
      <c r="O801" s="427"/>
    </row>
    <row r="802">
      <c r="H802" s="426"/>
      <c r="O802" s="427"/>
    </row>
    <row r="803">
      <c r="H803" s="426"/>
      <c r="O803" s="427"/>
    </row>
    <row r="804">
      <c r="H804" s="426"/>
      <c r="O804" s="427"/>
    </row>
    <row r="805">
      <c r="H805" s="426"/>
      <c r="O805" s="427"/>
    </row>
    <row r="806">
      <c r="H806" s="426"/>
      <c r="O806" s="427"/>
    </row>
    <row r="807">
      <c r="H807" s="426"/>
      <c r="O807" s="427"/>
    </row>
    <row r="808">
      <c r="H808" s="426"/>
      <c r="O808" s="427"/>
    </row>
    <row r="809">
      <c r="H809" s="426"/>
      <c r="O809" s="427"/>
    </row>
    <row r="810">
      <c r="H810" s="426"/>
      <c r="O810" s="427"/>
    </row>
    <row r="811">
      <c r="H811" s="426"/>
      <c r="O811" s="427"/>
    </row>
    <row r="812">
      <c r="H812" s="426"/>
      <c r="O812" s="427"/>
    </row>
    <row r="813">
      <c r="H813" s="426"/>
      <c r="O813" s="427"/>
    </row>
    <row r="814">
      <c r="H814" s="426"/>
      <c r="O814" s="427"/>
    </row>
    <row r="815">
      <c r="H815" s="426"/>
      <c r="O815" s="427"/>
    </row>
    <row r="816">
      <c r="H816" s="426"/>
      <c r="O816" s="427"/>
    </row>
    <row r="817">
      <c r="H817" s="426"/>
      <c r="O817" s="427"/>
    </row>
    <row r="818">
      <c r="H818" s="426"/>
      <c r="O818" s="427"/>
    </row>
    <row r="819">
      <c r="H819" s="426"/>
      <c r="O819" s="427"/>
    </row>
    <row r="820">
      <c r="H820" s="426"/>
      <c r="O820" s="427"/>
    </row>
    <row r="821">
      <c r="H821" s="426"/>
      <c r="O821" s="427"/>
    </row>
    <row r="822">
      <c r="H822" s="426"/>
      <c r="O822" s="427"/>
    </row>
    <row r="823">
      <c r="H823" s="426"/>
      <c r="O823" s="427"/>
    </row>
    <row r="824">
      <c r="H824" s="426"/>
      <c r="O824" s="427"/>
    </row>
    <row r="825">
      <c r="H825" s="426"/>
      <c r="O825" s="427"/>
    </row>
    <row r="826">
      <c r="H826" s="426"/>
      <c r="O826" s="427"/>
    </row>
    <row r="827">
      <c r="H827" s="426"/>
      <c r="O827" s="427"/>
    </row>
    <row r="828">
      <c r="H828" s="426"/>
      <c r="O828" s="427"/>
    </row>
    <row r="829">
      <c r="H829" s="426"/>
      <c r="O829" s="427"/>
    </row>
    <row r="830">
      <c r="H830" s="426"/>
      <c r="O830" s="427"/>
    </row>
    <row r="831">
      <c r="H831" s="426"/>
      <c r="O831" s="427"/>
    </row>
    <row r="832">
      <c r="H832" s="426"/>
      <c r="O832" s="427"/>
    </row>
    <row r="833">
      <c r="H833" s="426"/>
      <c r="O833" s="427"/>
    </row>
    <row r="834">
      <c r="H834" s="426"/>
      <c r="O834" s="427"/>
    </row>
    <row r="835">
      <c r="H835" s="426"/>
      <c r="O835" s="427"/>
    </row>
    <row r="836">
      <c r="H836" s="426"/>
      <c r="O836" s="427"/>
    </row>
    <row r="837">
      <c r="H837" s="426"/>
      <c r="O837" s="427"/>
    </row>
    <row r="838">
      <c r="H838" s="426"/>
      <c r="O838" s="427"/>
    </row>
    <row r="839">
      <c r="H839" s="426"/>
      <c r="O839" s="427"/>
    </row>
    <row r="840">
      <c r="H840" s="426"/>
      <c r="O840" s="427"/>
    </row>
    <row r="841">
      <c r="H841" s="426"/>
      <c r="O841" s="427"/>
    </row>
    <row r="842">
      <c r="H842" s="426"/>
      <c r="O842" s="427"/>
    </row>
    <row r="843">
      <c r="H843" s="426"/>
      <c r="O843" s="427"/>
    </row>
    <row r="844">
      <c r="H844" s="426"/>
      <c r="O844" s="427"/>
    </row>
    <row r="845">
      <c r="H845" s="426"/>
      <c r="O845" s="427"/>
    </row>
    <row r="846">
      <c r="H846" s="426"/>
      <c r="O846" s="427"/>
    </row>
    <row r="847">
      <c r="H847" s="426"/>
      <c r="O847" s="427"/>
    </row>
    <row r="848">
      <c r="H848" s="426"/>
      <c r="O848" s="427"/>
    </row>
    <row r="849">
      <c r="H849" s="426"/>
      <c r="O849" s="427"/>
    </row>
    <row r="850">
      <c r="H850" s="426"/>
      <c r="O850" s="427"/>
    </row>
    <row r="851">
      <c r="H851" s="426"/>
      <c r="O851" s="427"/>
    </row>
    <row r="852">
      <c r="H852" s="426"/>
      <c r="O852" s="427"/>
    </row>
    <row r="853">
      <c r="H853" s="426"/>
      <c r="O853" s="427"/>
    </row>
    <row r="854">
      <c r="H854" s="426"/>
      <c r="O854" s="427"/>
    </row>
    <row r="855">
      <c r="H855" s="426"/>
      <c r="O855" s="427"/>
    </row>
    <row r="856">
      <c r="H856" s="426"/>
      <c r="O856" s="427"/>
    </row>
    <row r="857">
      <c r="H857" s="426"/>
      <c r="O857" s="427"/>
    </row>
    <row r="858">
      <c r="H858" s="426"/>
      <c r="O858" s="427"/>
    </row>
    <row r="859">
      <c r="H859" s="426"/>
      <c r="O859" s="427"/>
    </row>
    <row r="860">
      <c r="H860" s="426"/>
      <c r="O860" s="427"/>
    </row>
    <row r="861">
      <c r="H861" s="426"/>
      <c r="O861" s="427"/>
    </row>
    <row r="862">
      <c r="H862" s="426"/>
      <c r="O862" s="427"/>
    </row>
    <row r="863">
      <c r="H863" s="426"/>
      <c r="O863" s="427"/>
    </row>
    <row r="864">
      <c r="H864" s="426"/>
      <c r="O864" s="427"/>
    </row>
    <row r="865">
      <c r="H865" s="426"/>
      <c r="O865" s="427"/>
    </row>
    <row r="866">
      <c r="H866" s="426"/>
      <c r="O866" s="427"/>
    </row>
    <row r="867">
      <c r="H867" s="426"/>
      <c r="O867" s="427"/>
    </row>
    <row r="868">
      <c r="H868" s="426"/>
      <c r="O868" s="427"/>
    </row>
    <row r="869">
      <c r="H869" s="426"/>
      <c r="O869" s="427"/>
    </row>
    <row r="870">
      <c r="H870" s="426"/>
      <c r="O870" s="427"/>
    </row>
    <row r="871">
      <c r="H871" s="426"/>
      <c r="O871" s="427"/>
    </row>
    <row r="872">
      <c r="H872" s="426"/>
      <c r="O872" s="427"/>
    </row>
    <row r="873">
      <c r="H873" s="426"/>
      <c r="O873" s="427"/>
    </row>
    <row r="874">
      <c r="H874" s="426"/>
      <c r="O874" s="427"/>
    </row>
    <row r="875">
      <c r="H875" s="426"/>
      <c r="O875" s="427"/>
    </row>
    <row r="876">
      <c r="H876" s="426"/>
      <c r="O876" s="427"/>
    </row>
    <row r="877">
      <c r="H877" s="426"/>
      <c r="O877" s="427"/>
    </row>
    <row r="878">
      <c r="H878" s="426"/>
      <c r="O878" s="427"/>
    </row>
    <row r="879">
      <c r="H879" s="426"/>
      <c r="O879" s="427"/>
    </row>
    <row r="880">
      <c r="H880" s="426"/>
      <c r="O880" s="427"/>
    </row>
    <row r="881">
      <c r="H881" s="426"/>
      <c r="O881" s="427"/>
    </row>
    <row r="882">
      <c r="H882" s="426"/>
      <c r="O882" s="427"/>
    </row>
    <row r="883">
      <c r="H883" s="426"/>
      <c r="O883" s="427"/>
    </row>
    <row r="884">
      <c r="H884" s="426"/>
      <c r="O884" s="427"/>
    </row>
    <row r="885">
      <c r="H885" s="426"/>
      <c r="O885" s="427"/>
    </row>
    <row r="886">
      <c r="H886" s="426"/>
      <c r="O886" s="427"/>
    </row>
    <row r="887">
      <c r="H887" s="426"/>
      <c r="O887" s="427"/>
    </row>
    <row r="888">
      <c r="H888" s="426"/>
      <c r="O888" s="427"/>
    </row>
    <row r="889">
      <c r="H889" s="426"/>
      <c r="O889" s="427"/>
    </row>
    <row r="890">
      <c r="H890" s="426"/>
      <c r="O890" s="427"/>
    </row>
    <row r="891">
      <c r="H891" s="426"/>
      <c r="O891" s="427"/>
    </row>
    <row r="892">
      <c r="H892" s="426"/>
      <c r="O892" s="427"/>
    </row>
    <row r="893">
      <c r="H893" s="426"/>
      <c r="O893" s="427"/>
    </row>
    <row r="894">
      <c r="H894" s="426"/>
      <c r="O894" s="427"/>
    </row>
    <row r="895">
      <c r="H895" s="426"/>
      <c r="O895" s="427"/>
    </row>
    <row r="896">
      <c r="H896" s="426"/>
      <c r="O896" s="427"/>
    </row>
    <row r="897">
      <c r="H897" s="426"/>
      <c r="O897" s="427"/>
    </row>
    <row r="898">
      <c r="H898" s="426"/>
      <c r="O898" s="427"/>
    </row>
    <row r="899">
      <c r="H899" s="426"/>
      <c r="O899" s="427"/>
    </row>
    <row r="900">
      <c r="H900" s="426"/>
      <c r="O900" s="427"/>
    </row>
    <row r="901">
      <c r="H901" s="426"/>
      <c r="O901" s="427"/>
    </row>
    <row r="902">
      <c r="H902" s="426"/>
      <c r="O902" s="427"/>
    </row>
    <row r="903">
      <c r="H903" s="426"/>
      <c r="O903" s="427"/>
    </row>
    <row r="904">
      <c r="H904" s="426"/>
      <c r="O904" s="427"/>
    </row>
    <row r="905">
      <c r="H905" s="426"/>
      <c r="O905" s="427"/>
    </row>
    <row r="906">
      <c r="H906" s="426"/>
      <c r="O906" s="427"/>
    </row>
    <row r="907">
      <c r="H907" s="426"/>
      <c r="O907" s="427"/>
    </row>
    <row r="908">
      <c r="H908" s="426"/>
      <c r="O908" s="427"/>
    </row>
    <row r="909">
      <c r="H909" s="426"/>
      <c r="O909" s="427"/>
    </row>
    <row r="910">
      <c r="H910" s="426"/>
      <c r="O910" s="427"/>
    </row>
    <row r="911">
      <c r="H911" s="426"/>
      <c r="O911" s="427"/>
    </row>
    <row r="912">
      <c r="H912" s="426"/>
      <c r="O912" s="427"/>
    </row>
    <row r="913">
      <c r="H913" s="426"/>
      <c r="O913" s="427"/>
    </row>
    <row r="914">
      <c r="H914" s="426"/>
      <c r="O914" s="427"/>
    </row>
    <row r="915">
      <c r="H915" s="426"/>
      <c r="O915" s="427"/>
    </row>
    <row r="916">
      <c r="H916" s="426"/>
      <c r="O916" s="427"/>
    </row>
    <row r="917">
      <c r="H917" s="426"/>
      <c r="O917" s="427"/>
    </row>
    <row r="918">
      <c r="H918" s="426"/>
      <c r="O918" s="427"/>
    </row>
    <row r="919">
      <c r="H919" s="426"/>
      <c r="O919" s="427"/>
    </row>
    <row r="920">
      <c r="H920" s="426"/>
      <c r="O920" s="427"/>
    </row>
    <row r="921">
      <c r="H921" s="426"/>
      <c r="O921" s="427"/>
    </row>
    <row r="922">
      <c r="H922" s="426"/>
      <c r="O922" s="427"/>
    </row>
    <row r="923">
      <c r="H923" s="426"/>
      <c r="O923" s="427"/>
    </row>
    <row r="924">
      <c r="H924" s="426"/>
      <c r="O924" s="427"/>
    </row>
    <row r="925">
      <c r="H925" s="426"/>
      <c r="O925" s="427"/>
    </row>
    <row r="926">
      <c r="H926" s="426"/>
      <c r="O926" s="427"/>
    </row>
    <row r="927">
      <c r="H927" s="426"/>
      <c r="O927" s="427"/>
    </row>
    <row r="928">
      <c r="H928" s="426"/>
      <c r="O928" s="427"/>
    </row>
    <row r="929">
      <c r="H929" s="426"/>
      <c r="O929" s="427"/>
    </row>
    <row r="930">
      <c r="H930" s="426"/>
      <c r="O930" s="427"/>
    </row>
    <row r="931">
      <c r="H931" s="426"/>
      <c r="O931" s="427"/>
    </row>
    <row r="932">
      <c r="H932" s="426"/>
      <c r="O932" s="427"/>
    </row>
    <row r="933">
      <c r="H933" s="426"/>
      <c r="O933" s="427"/>
    </row>
    <row r="934">
      <c r="H934" s="426"/>
      <c r="O934" s="427"/>
    </row>
    <row r="935">
      <c r="H935" s="426"/>
      <c r="O935" s="427"/>
    </row>
    <row r="936">
      <c r="H936" s="426"/>
      <c r="O936" s="427"/>
    </row>
    <row r="937">
      <c r="H937" s="426"/>
      <c r="O937" s="427"/>
    </row>
    <row r="938">
      <c r="H938" s="426"/>
      <c r="O938" s="427"/>
    </row>
    <row r="939">
      <c r="H939" s="426"/>
      <c r="O939" s="427"/>
    </row>
    <row r="940">
      <c r="H940" s="426"/>
      <c r="O940" s="427"/>
    </row>
    <row r="941">
      <c r="H941" s="426"/>
      <c r="O941" s="427"/>
    </row>
    <row r="942">
      <c r="H942" s="426"/>
      <c r="O942" s="427"/>
    </row>
    <row r="943">
      <c r="H943" s="426"/>
      <c r="O943" s="427"/>
    </row>
    <row r="944">
      <c r="H944" s="426"/>
      <c r="O944" s="427"/>
    </row>
    <row r="945">
      <c r="H945" s="426"/>
      <c r="O945" s="427"/>
    </row>
    <row r="946">
      <c r="H946" s="426"/>
      <c r="O946" s="427"/>
    </row>
    <row r="947">
      <c r="H947" s="426"/>
      <c r="O947" s="427"/>
    </row>
    <row r="948">
      <c r="H948" s="426"/>
      <c r="O948" s="427"/>
    </row>
    <row r="949">
      <c r="H949" s="426"/>
      <c r="O949" s="427"/>
    </row>
    <row r="950">
      <c r="H950" s="426"/>
      <c r="O950" s="427"/>
    </row>
    <row r="951">
      <c r="H951" s="426"/>
      <c r="O951" s="427"/>
    </row>
    <row r="952">
      <c r="H952" s="426"/>
      <c r="O952" s="427"/>
    </row>
    <row r="953">
      <c r="H953" s="426"/>
      <c r="O953" s="427"/>
    </row>
    <row r="954">
      <c r="H954" s="426"/>
      <c r="O954" s="427"/>
    </row>
    <row r="955">
      <c r="H955" s="426"/>
      <c r="O955" s="427"/>
    </row>
    <row r="956">
      <c r="H956" s="426"/>
      <c r="O956" s="427"/>
    </row>
    <row r="957">
      <c r="H957" s="426"/>
      <c r="O957" s="427"/>
    </row>
    <row r="958">
      <c r="H958" s="426"/>
      <c r="O958" s="427"/>
    </row>
    <row r="959">
      <c r="H959" s="426"/>
      <c r="O959" s="427"/>
    </row>
    <row r="960">
      <c r="H960" s="426"/>
      <c r="O960" s="427"/>
    </row>
    <row r="961">
      <c r="H961" s="426"/>
      <c r="O961" s="427"/>
    </row>
    <row r="962">
      <c r="H962" s="426"/>
      <c r="O962" s="427"/>
    </row>
    <row r="963">
      <c r="H963" s="426"/>
      <c r="O963" s="427"/>
    </row>
    <row r="964">
      <c r="H964" s="426"/>
      <c r="O964" s="427"/>
    </row>
    <row r="965">
      <c r="H965" s="426"/>
      <c r="O965" s="427"/>
    </row>
    <row r="966">
      <c r="H966" s="426"/>
      <c r="O966" s="427"/>
    </row>
    <row r="967">
      <c r="H967" s="426"/>
      <c r="O967" s="427"/>
    </row>
    <row r="968">
      <c r="H968" s="426"/>
      <c r="O968" s="427"/>
    </row>
    <row r="969">
      <c r="H969" s="426"/>
      <c r="O969" s="427"/>
    </row>
    <row r="970">
      <c r="H970" s="426"/>
      <c r="O970" s="427"/>
    </row>
    <row r="971">
      <c r="H971" s="426"/>
      <c r="O971" s="427"/>
    </row>
    <row r="972">
      <c r="H972" s="426"/>
      <c r="O972" s="427"/>
    </row>
    <row r="973">
      <c r="H973" s="426"/>
      <c r="O973" s="427"/>
    </row>
    <row r="974">
      <c r="H974" s="426"/>
      <c r="O974" s="427"/>
    </row>
    <row r="975">
      <c r="H975" s="426"/>
      <c r="O975" s="427"/>
    </row>
    <row r="976">
      <c r="H976" s="426"/>
      <c r="O976" s="427"/>
    </row>
    <row r="977">
      <c r="H977" s="426"/>
      <c r="O977" s="427"/>
    </row>
    <row r="978">
      <c r="H978" s="426"/>
      <c r="O978" s="427"/>
    </row>
    <row r="979">
      <c r="H979" s="426"/>
      <c r="O979" s="427"/>
    </row>
    <row r="980">
      <c r="H980" s="426"/>
      <c r="O980" s="427"/>
    </row>
    <row r="981">
      <c r="H981" s="426"/>
      <c r="O981" s="427"/>
    </row>
    <row r="982">
      <c r="H982" s="426"/>
      <c r="O982" s="427"/>
    </row>
    <row r="983">
      <c r="H983" s="426"/>
      <c r="O983" s="427"/>
    </row>
    <row r="984">
      <c r="H984" s="426"/>
      <c r="O984" s="427"/>
    </row>
    <row r="985">
      <c r="H985" s="426"/>
      <c r="O985" s="427"/>
    </row>
    <row r="986">
      <c r="H986" s="426"/>
      <c r="O986" s="427"/>
    </row>
    <row r="987">
      <c r="H987" s="426"/>
      <c r="O987" s="427"/>
    </row>
    <row r="988">
      <c r="H988" s="426"/>
      <c r="O988" s="427"/>
    </row>
    <row r="989">
      <c r="H989" s="426"/>
      <c r="O989" s="427"/>
    </row>
    <row r="990">
      <c r="H990" s="426"/>
      <c r="O990" s="427"/>
    </row>
    <row r="991">
      <c r="H991" s="426"/>
      <c r="O991" s="427"/>
    </row>
    <row r="992">
      <c r="H992" s="426"/>
      <c r="O992" s="427"/>
    </row>
    <row r="993">
      <c r="H993" s="426"/>
      <c r="O993" s="427"/>
    </row>
    <row r="994">
      <c r="H994" s="426"/>
      <c r="O994" s="427"/>
    </row>
    <row r="995">
      <c r="H995" s="426"/>
      <c r="O995" s="427"/>
    </row>
    <row r="996">
      <c r="F996" s="323"/>
      <c r="N996" s="457"/>
      <c r="O996" s="405"/>
      <c r="P996" s="458"/>
    </row>
    <row r="997">
      <c r="F997" s="323"/>
      <c r="N997" s="457"/>
      <c r="O997" s="405"/>
      <c r="P997" s="458"/>
    </row>
    <row r="998">
      <c r="F998" s="323"/>
      <c r="N998" s="457"/>
      <c r="O998" s="405"/>
      <c r="P998" s="458"/>
    </row>
    <row r="999">
      <c r="F999" s="323"/>
      <c r="N999" s="457"/>
      <c r="O999" s="405"/>
      <c r="P999" s="458"/>
    </row>
    <row r="1000">
      <c r="F1000" s="323"/>
      <c r="N1000" s="457"/>
      <c r="O1000" s="405"/>
      <c r="P1000" s="458"/>
    </row>
    <row r="1001">
      <c r="F1001" s="323"/>
      <c r="N1001" s="457"/>
      <c r="O1001" s="405"/>
      <c r="P1001" s="458"/>
    </row>
  </sheetData>
  <autoFilter ref="$A$1:$AA$60">
    <sortState ref="A1:AA60">
      <sortCondition ref="A1:A60"/>
    </sortState>
  </autoFilter>
  <mergeCells count="5">
    <mergeCell ref="N2:N10"/>
    <mergeCell ref="N15:N24"/>
    <mergeCell ref="E62:F62"/>
    <mergeCell ref="C63:D63"/>
    <mergeCell ref="C70:F70"/>
  </mergeCells>
  <conditionalFormatting sqref="B2:E2 F2:G58 H2:H55 I2 O2:O18 J4:J6 P4:P6 J9:J13 P9:P13 B12:E12 I12 K12:L12 B15:E15 J15:J16 P15:P16 B18:E18 I18:L18 P18 O20:O58 J21 P21 J23 P23 J25:J26 P25:P26 J28 P28 B30:E30 I30 J31:J32 P31:P32 J34 P34 J40 P40 B42:E42 I42:L42 P42 B46:E46 I46:L46 P46 L56 H57:H58">
    <cfRule type="cellIs" dxfId="4" priority="1" operator="equal">
      <formula>"Not Found"</formula>
    </cfRule>
  </conditionalFormatting>
  <hyperlinks>
    <hyperlink r:id="rId1" ref="M2"/>
    <hyperlink r:id="rId2" ref="M3"/>
    <hyperlink r:id="rId3" location="slide=id.g2edd551b383_0_809" ref="C70"/>
    <hyperlink r:id="rId4" ref="A172"/>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1.13"/>
    <col customWidth="1" min="3" max="3" width="50.13"/>
    <col customWidth="1" min="4" max="4" width="12.88"/>
    <col customWidth="1" min="5" max="5" width="42.88"/>
  </cols>
  <sheetData>
    <row r="1">
      <c r="A1" s="428" t="s">
        <v>161</v>
      </c>
      <c r="B1" s="429" t="s">
        <v>447</v>
      </c>
      <c r="C1" s="430" t="s">
        <v>448</v>
      </c>
      <c r="D1" s="431" t="s">
        <v>307</v>
      </c>
      <c r="E1" s="430" t="s">
        <v>377</v>
      </c>
      <c r="F1" s="432"/>
      <c r="G1" s="163"/>
      <c r="H1" s="163"/>
      <c r="I1" s="163"/>
      <c r="J1" s="163"/>
      <c r="K1" s="163"/>
      <c r="L1" s="163"/>
      <c r="M1" s="163"/>
      <c r="N1" s="163"/>
      <c r="O1" s="163"/>
      <c r="P1" s="163"/>
      <c r="Q1" s="163"/>
      <c r="R1" s="163"/>
      <c r="S1" s="163"/>
      <c r="T1" s="163"/>
    </row>
    <row r="2">
      <c r="A2" s="433" t="s">
        <v>207</v>
      </c>
      <c r="B2" s="434">
        <v>140.6243682</v>
      </c>
      <c r="C2" s="385" t="str">
        <f t="shared" ref="C2:C55" si="1">IF(B2&lt;100, "Low motorization rate", IF(B2&lt;200, "Medium motorization rate", "High motorization rate"))</f>
        <v>Medium motorization rate</v>
      </c>
      <c r="D2" s="435">
        <f t="shared" ref="D2:D55" si="2">IF(B2&lt;100, (1/3), IF(B2&lt;200, (2/3), 1))</f>
        <v>0.6666666667</v>
      </c>
      <c r="E2" s="16" t="s">
        <v>449</v>
      </c>
      <c r="F2" s="274"/>
    </row>
    <row r="3">
      <c r="A3" s="433" t="s">
        <v>240</v>
      </c>
      <c r="B3" s="434">
        <v>30.18376493</v>
      </c>
      <c r="C3" s="385" t="str">
        <f t="shared" si="1"/>
        <v>Low motorization rate</v>
      </c>
      <c r="D3" s="436">
        <f t="shared" si="2"/>
        <v>0.3333333333</v>
      </c>
      <c r="E3" s="16"/>
      <c r="F3" s="274"/>
    </row>
    <row r="4">
      <c r="A4" s="433" t="s">
        <v>268</v>
      </c>
      <c r="B4" s="434">
        <v>20.10730825</v>
      </c>
      <c r="C4" s="385" t="str">
        <f t="shared" si="1"/>
        <v>Low motorization rate</v>
      </c>
      <c r="D4" s="435">
        <f t="shared" si="2"/>
        <v>0.3333333333</v>
      </c>
      <c r="F4" s="274"/>
    </row>
    <row r="5">
      <c r="A5" s="433" t="s">
        <v>329</v>
      </c>
      <c r="B5" s="434">
        <v>198.1992131</v>
      </c>
      <c r="C5" s="385" t="str">
        <f t="shared" si="1"/>
        <v>Medium motorization rate</v>
      </c>
      <c r="D5" s="436">
        <f t="shared" si="2"/>
        <v>0.6666666667</v>
      </c>
      <c r="F5" s="274"/>
    </row>
    <row r="6">
      <c r="A6" s="433" t="s">
        <v>331</v>
      </c>
      <c r="B6" s="434">
        <v>16.81850191</v>
      </c>
      <c r="C6" s="385" t="str">
        <f t="shared" si="1"/>
        <v>Low motorization rate</v>
      </c>
      <c r="D6" s="435">
        <f t="shared" si="2"/>
        <v>0.3333333333</v>
      </c>
      <c r="F6" s="274"/>
    </row>
    <row r="7">
      <c r="A7" s="433" t="s">
        <v>333</v>
      </c>
      <c r="B7" s="434">
        <v>4.000613758</v>
      </c>
      <c r="C7" s="385" t="str">
        <f t="shared" si="1"/>
        <v>Low motorization rate</v>
      </c>
      <c r="D7" s="436">
        <f t="shared" si="2"/>
        <v>0.3333333333</v>
      </c>
      <c r="F7" s="274"/>
    </row>
    <row r="8">
      <c r="A8" s="433" t="s">
        <v>225</v>
      </c>
      <c r="B8" s="434">
        <v>4.289667138</v>
      </c>
      <c r="C8" s="385" t="str">
        <f t="shared" si="1"/>
        <v>Low motorization rate</v>
      </c>
      <c r="D8" s="436">
        <f t="shared" si="2"/>
        <v>0.3333333333</v>
      </c>
      <c r="F8" s="274"/>
    </row>
    <row r="9">
      <c r="A9" s="433" t="s">
        <v>338</v>
      </c>
      <c r="B9" s="434">
        <v>116.324674</v>
      </c>
      <c r="C9" s="385" t="str">
        <f t="shared" si="1"/>
        <v>Medium motorization rate</v>
      </c>
      <c r="D9" s="435">
        <f t="shared" si="2"/>
        <v>0.6666666667</v>
      </c>
      <c r="F9" s="274"/>
    </row>
    <row r="10">
      <c r="A10" s="433" t="s">
        <v>340</v>
      </c>
      <c r="B10" s="434">
        <v>7.641445241</v>
      </c>
      <c r="C10" s="385" t="str">
        <f t="shared" si="1"/>
        <v>Low motorization rate</v>
      </c>
      <c r="D10" s="435">
        <f t="shared" si="2"/>
        <v>0.3333333333</v>
      </c>
      <c r="F10" s="274"/>
    </row>
    <row r="11">
      <c r="A11" s="433" t="s">
        <v>342</v>
      </c>
      <c r="B11" s="434">
        <v>77.02542079</v>
      </c>
      <c r="C11" s="385" t="str">
        <f t="shared" si="1"/>
        <v>Low motorization rate</v>
      </c>
      <c r="D11" s="436">
        <f t="shared" si="2"/>
        <v>0.3333333333</v>
      </c>
      <c r="F11" s="274"/>
    </row>
    <row r="12">
      <c r="A12" s="433" t="s">
        <v>346</v>
      </c>
      <c r="B12" s="434">
        <v>46.76561713</v>
      </c>
      <c r="C12" s="385" t="str">
        <f t="shared" si="1"/>
        <v>Low motorization rate</v>
      </c>
      <c r="D12" s="435">
        <f t="shared" si="2"/>
        <v>0.3333333333</v>
      </c>
      <c r="F12" s="274"/>
    </row>
    <row r="13">
      <c r="A13" s="433" t="s">
        <v>351</v>
      </c>
      <c r="B13" s="434">
        <v>4.345626534</v>
      </c>
      <c r="C13" s="385" t="str">
        <f t="shared" si="1"/>
        <v>Low motorization rate</v>
      </c>
      <c r="D13" s="436">
        <f t="shared" si="2"/>
        <v>0.3333333333</v>
      </c>
      <c r="F13" s="274"/>
    </row>
    <row r="14">
      <c r="A14" s="433" t="s">
        <v>356</v>
      </c>
      <c r="B14" s="434">
        <v>3.065960144</v>
      </c>
      <c r="C14" s="385" t="str">
        <f t="shared" si="1"/>
        <v>Low motorization rate</v>
      </c>
      <c r="D14" s="436">
        <f t="shared" si="2"/>
        <v>0.3333333333</v>
      </c>
      <c r="F14" s="274"/>
    </row>
    <row r="15">
      <c r="A15" s="433" t="s">
        <v>357</v>
      </c>
      <c r="B15" s="434">
        <v>39.09071097</v>
      </c>
      <c r="C15" s="385" t="str">
        <f t="shared" si="1"/>
        <v>Low motorization rate</v>
      </c>
      <c r="D15" s="435">
        <f t="shared" si="2"/>
        <v>0.3333333333</v>
      </c>
      <c r="F15" s="274"/>
    </row>
    <row r="16">
      <c r="A16" s="433" t="s">
        <v>276</v>
      </c>
      <c r="B16" s="434">
        <v>0.7268364225</v>
      </c>
      <c r="C16" s="385" t="str">
        <f t="shared" si="1"/>
        <v>Low motorization rate</v>
      </c>
      <c r="D16" s="435">
        <f t="shared" si="2"/>
        <v>0.3333333333</v>
      </c>
      <c r="F16" s="274"/>
    </row>
    <row r="17">
      <c r="A17" s="433" t="s">
        <v>285</v>
      </c>
      <c r="B17" s="434">
        <v>61.86659328</v>
      </c>
      <c r="C17" s="385" t="str">
        <f t="shared" si="1"/>
        <v>Low motorization rate</v>
      </c>
      <c r="D17" s="436">
        <f t="shared" si="2"/>
        <v>0.3333333333</v>
      </c>
      <c r="F17" s="274"/>
    </row>
    <row r="18">
      <c r="A18" s="433" t="s">
        <v>360</v>
      </c>
      <c r="B18" s="434">
        <v>102.2212024</v>
      </c>
      <c r="C18" s="385" t="str">
        <f t="shared" si="1"/>
        <v>Medium motorization rate</v>
      </c>
      <c r="D18" s="435">
        <f t="shared" si="2"/>
        <v>0.6666666667</v>
      </c>
      <c r="F18" s="274"/>
    </row>
    <row r="19">
      <c r="A19" s="433" t="s">
        <v>362</v>
      </c>
      <c r="B19" s="434">
        <v>21.51525264</v>
      </c>
      <c r="C19" s="385" t="str">
        <f t="shared" si="1"/>
        <v>Low motorization rate</v>
      </c>
      <c r="D19" s="436">
        <f t="shared" si="2"/>
        <v>0.3333333333</v>
      </c>
      <c r="F19" s="274"/>
    </row>
    <row r="20">
      <c r="A20" s="433" t="s">
        <v>363</v>
      </c>
      <c r="B20" s="434">
        <v>87.37672031</v>
      </c>
      <c r="C20" s="385" t="str">
        <f t="shared" si="1"/>
        <v>Low motorization rate</v>
      </c>
      <c r="D20" s="435">
        <f t="shared" si="2"/>
        <v>0.3333333333</v>
      </c>
      <c r="F20" s="274"/>
    </row>
    <row r="21">
      <c r="A21" s="433" t="s">
        <v>255</v>
      </c>
      <c r="B21" s="434">
        <v>6.728093929</v>
      </c>
      <c r="C21" s="385" t="str">
        <f t="shared" si="1"/>
        <v>Low motorization rate</v>
      </c>
      <c r="D21" s="436">
        <f t="shared" si="2"/>
        <v>0.3333333333</v>
      </c>
      <c r="F21" s="274"/>
    </row>
    <row r="22">
      <c r="A22" s="433" t="s">
        <v>374</v>
      </c>
      <c r="B22" s="434">
        <v>27.13059017</v>
      </c>
      <c r="C22" s="385" t="str">
        <f t="shared" si="1"/>
        <v>Low motorization rate</v>
      </c>
      <c r="D22" s="435">
        <f t="shared" si="2"/>
        <v>0.3333333333</v>
      </c>
      <c r="F22" s="274"/>
    </row>
    <row r="23">
      <c r="A23" s="433" t="s">
        <v>263</v>
      </c>
      <c r="B23" s="434">
        <v>36.66614017</v>
      </c>
      <c r="C23" s="385" t="str">
        <f t="shared" si="1"/>
        <v>Low motorization rate</v>
      </c>
      <c r="D23" s="436">
        <f t="shared" si="2"/>
        <v>0.3333333333</v>
      </c>
      <c r="F23" s="274"/>
    </row>
    <row r="24">
      <c r="A24" s="433" t="s">
        <v>266</v>
      </c>
      <c r="B24" s="434">
        <v>69.41784416</v>
      </c>
      <c r="C24" s="385" t="str">
        <f t="shared" si="1"/>
        <v>Low motorization rate</v>
      </c>
      <c r="D24" s="435">
        <f t="shared" si="2"/>
        <v>0.3333333333</v>
      </c>
      <c r="F24" s="274"/>
    </row>
    <row r="25">
      <c r="A25" s="433" t="s">
        <v>385</v>
      </c>
      <c r="B25" s="434">
        <v>26.75839421</v>
      </c>
      <c r="C25" s="385" t="str">
        <f t="shared" si="1"/>
        <v>Low motorization rate</v>
      </c>
      <c r="D25" s="436">
        <f t="shared" si="2"/>
        <v>0.3333333333</v>
      </c>
      <c r="F25" s="274"/>
    </row>
    <row r="26">
      <c r="A26" s="433" t="s">
        <v>386</v>
      </c>
      <c r="B26" s="434">
        <v>33.92599392</v>
      </c>
      <c r="C26" s="385" t="str">
        <f t="shared" si="1"/>
        <v>Low motorization rate</v>
      </c>
      <c r="D26" s="435">
        <f t="shared" si="2"/>
        <v>0.3333333333</v>
      </c>
      <c r="F26" s="274"/>
    </row>
    <row r="27">
      <c r="A27" s="433" t="s">
        <v>280</v>
      </c>
      <c r="B27" s="434">
        <v>53.90677084</v>
      </c>
      <c r="C27" s="385" t="str">
        <f t="shared" si="1"/>
        <v>Low motorization rate</v>
      </c>
      <c r="D27" s="436">
        <f t="shared" si="2"/>
        <v>0.3333333333</v>
      </c>
      <c r="F27" s="274"/>
    </row>
    <row r="28">
      <c r="A28" s="433" t="s">
        <v>392</v>
      </c>
      <c r="B28" s="434">
        <v>390.2868268</v>
      </c>
      <c r="C28" s="385" t="str">
        <f t="shared" si="1"/>
        <v>High motorization rate</v>
      </c>
      <c r="D28" s="435">
        <f t="shared" si="2"/>
        <v>1</v>
      </c>
      <c r="F28" s="274"/>
    </row>
    <row r="29">
      <c r="A29" s="433" t="s">
        <v>394</v>
      </c>
      <c r="B29" s="434">
        <v>13.38688939</v>
      </c>
      <c r="C29" s="385" t="str">
        <f t="shared" si="1"/>
        <v>Low motorization rate</v>
      </c>
      <c r="D29" s="436">
        <f t="shared" si="2"/>
        <v>0.3333333333</v>
      </c>
      <c r="F29" s="274"/>
    </row>
    <row r="30">
      <c r="A30" s="433" t="s">
        <v>396</v>
      </c>
      <c r="B30" s="434">
        <v>436.1532178</v>
      </c>
      <c r="C30" s="385" t="str">
        <f t="shared" si="1"/>
        <v>High motorization rate</v>
      </c>
      <c r="D30" s="435">
        <f t="shared" si="2"/>
        <v>1</v>
      </c>
      <c r="F30" s="274"/>
    </row>
    <row r="31">
      <c r="A31" s="433" t="s">
        <v>336</v>
      </c>
      <c r="B31" s="434">
        <v>9.292586788</v>
      </c>
      <c r="C31" s="385" t="str">
        <f t="shared" si="1"/>
        <v>Low motorization rate</v>
      </c>
      <c r="D31" s="436">
        <f t="shared" si="2"/>
        <v>0.3333333333</v>
      </c>
      <c r="F31" s="274"/>
    </row>
    <row r="32">
      <c r="A32" s="433" t="s">
        <v>343</v>
      </c>
      <c r="B32" s="434">
        <v>16.7149997</v>
      </c>
      <c r="C32" s="385" t="str">
        <f t="shared" si="1"/>
        <v>Low motorization rate</v>
      </c>
      <c r="D32" s="435">
        <f t="shared" si="2"/>
        <v>0.3333333333</v>
      </c>
      <c r="F32" s="274"/>
    </row>
    <row r="33">
      <c r="A33" s="433" t="s">
        <v>399</v>
      </c>
      <c r="B33" s="434">
        <v>18.41406674</v>
      </c>
      <c r="C33" s="385" t="str">
        <f t="shared" si="1"/>
        <v>Low motorization rate</v>
      </c>
      <c r="D33" s="436">
        <f t="shared" si="2"/>
        <v>0.3333333333</v>
      </c>
      <c r="F33" s="274"/>
    </row>
    <row r="34">
      <c r="A34" s="433" t="s">
        <v>401</v>
      </c>
      <c r="B34" s="434">
        <v>10.11873471</v>
      </c>
      <c r="C34" s="385" t="str">
        <f t="shared" si="1"/>
        <v>Low motorization rate</v>
      </c>
      <c r="D34" s="435">
        <f t="shared" si="2"/>
        <v>0.3333333333</v>
      </c>
      <c r="F34" s="274"/>
    </row>
    <row r="35">
      <c r="A35" s="433" t="s">
        <v>354</v>
      </c>
      <c r="B35" s="434">
        <v>401.7228132</v>
      </c>
      <c r="C35" s="385" t="str">
        <f t="shared" si="1"/>
        <v>High motorization rate</v>
      </c>
      <c r="D35" s="436">
        <f t="shared" si="2"/>
        <v>1</v>
      </c>
      <c r="F35" s="274"/>
    </row>
    <row r="36">
      <c r="A36" s="433" t="s">
        <v>290</v>
      </c>
      <c r="B36" s="434">
        <v>104.7900514</v>
      </c>
      <c r="C36" s="385" t="str">
        <f t="shared" si="1"/>
        <v>Medium motorization rate</v>
      </c>
      <c r="D36" s="435">
        <f t="shared" si="2"/>
        <v>0.6666666667</v>
      </c>
      <c r="F36" s="274"/>
    </row>
    <row r="37">
      <c r="A37" s="433" t="s">
        <v>291</v>
      </c>
      <c r="B37" s="434">
        <v>25.23294195</v>
      </c>
      <c r="C37" s="385" t="str">
        <f t="shared" si="1"/>
        <v>Low motorization rate</v>
      </c>
      <c r="D37" s="436">
        <f t="shared" si="2"/>
        <v>0.3333333333</v>
      </c>
      <c r="F37" s="274"/>
    </row>
    <row r="38">
      <c r="A38" s="433" t="s">
        <v>296</v>
      </c>
      <c r="B38" s="434">
        <v>152.9402346</v>
      </c>
      <c r="C38" s="385" t="str">
        <f t="shared" si="1"/>
        <v>Medium motorization rate</v>
      </c>
      <c r="D38" s="435">
        <f t="shared" si="2"/>
        <v>0.6666666667</v>
      </c>
      <c r="F38" s="274"/>
    </row>
    <row r="39">
      <c r="A39" s="433" t="s">
        <v>407</v>
      </c>
      <c r="B39" s="434">
        <v>20.86441842</v>
      </c>
      <c r="C39" s="385" t="str">
        <f t="shared" si="1"/>
        <v>Low motorization rate</v>
      </c>
      <c r="D39" s="436">
        <f t="shared" si="2"/>
        <v>0.3333333333</v>
      </c>
      <c r="F39" s="274"/>
    </row>
    <row r="40">
      <c r="A40" s="433" t="s">
        <v>299</v>
      </c>
      <c r="B40" s="434">
        <v>62.19121145</v>
      </c>
      <c r="C40" s="385" t="str">
        <f t="shared" si="1"/>
        <v>Low motorization rate</v>
      </c>
      <c r="D40" s="435">
        <f t="shared" si="2"/>
        <v>0.3333333333</v>
      </c>
      <c r="F40" s="274"/>
    </row>
    <row r="41">
      <c r="A41" s="433" t="s">
        <v>302</v>
      </c>
      <c r="B41" s="434">
        <v>15.2162884</v>
      </c>
      <c r="C41" s="385" t="str">
        <f t="shared" si="1"/>
        <v>Low motorization rate</v>
      </c>
      <c r="D41" s="436">
        <f t="shared" si="2"/>
        <v>0.3333333333</v>
      </c>
      <c r="F41" s="274"/>
    </row>
    <row r="42">
      <c r="A42" s="433" t="s">
        <v>410</v>
      </c>
      <c r="B42" s="434">
        <v>166.3962626</v>
      </c>
      <c r="C42" s="385" t="str">
        <f t="shared" si="1"/>
        <v>Medium motorization rate</v>
      </c>
      <c r="D42" s="435">
        <f t="shared" si="2"/>
        <v>0.6666666667</v>
      </c>
      <c r="F42" s="274"/>
    </row>
    <row r="43">
      <c r="A43" s="433" t="s">
        <v>411</v>
      </c>
      <c r="B43" s="434">
        <v>34.38768612</v>
      </c>
      <c r="C43" s="385" t="str">
        <f t="shared" si="1"/>
        <v>Low motorization rate</v>
      </c>
      <c r="D43" s="436">
        <f t="shared" si="2"/>
        <v>0.3333333333</v>
      </c>
      <c r="F43" s="274"/>
    </row>
    <row r="44">
      <c r="A44" s="433" t="s">
        <v>309</v>
      </c>
      <c r="B44" s="434">
        <v>243.7339586</v>
      </c>
      <c r="C44" s="385" t="str">
        <f t="shared" si="1"/>
        <v>High motorization rate</v>
      </c>
      <c r="D44" s="435">
        <f t="shared" si="2"/>
        <v>1</v>
      </c>
      <c r="F44" s="274"/>
    </row>
    <row r="45">
      <c r="A45" s="433" t="s">
        <v>412</v>
      </c>
      <c r="B45" s="434">
        <v>6.156463252</v>
      </c>
      <c r="C45" s="385" t="str">
        <f t="shared" si="1"/>
        <v>Low motorization rate</v>
      </c>
      <c r="D45" s="436">
        <f t="shared" si="2"/>
        <v>0.3333333333</v>
      </c>
      <c r="F45" s="274"/>
    </row>
    <row r="46">
      <c r="A46" s="433" t="s">
        <v>415</v>
      </c>
      <c r="B46" s="434">
        <v>4.159912997</v>
      </c>
      <c r="C46" s="385" t="str">
        <f t="shared" si="1"/>
        <v>Low motorization rate</v>
      </c>
      <c r="D46" s="435">
        <f t="shared" si="2"/>
        <v>0.3333333333</v>
      </c>
      <c r="F46" s="274"/>
    </row>
    <row r="47">
      <c r="A47" s="433" t="s">
        <v>313</v>
      </c>
      <c r="B47" s="434">
        <v>186.7205704</v>
      </c>
      <c r="C47" s="385" t="str">
        <f t="shared" si="1"/>
        <v>Medium motorization rate</v>
      </c>
      <c r="D47" s="436">
        <f t="shared" si="2"/>
        <v>0.6666666667</v>
      </c>
      <c r="F47" s="274"/>
    </row>
    <row r="48">
      <c r="A48" s="433" t="s">
        <v>416</v>
      </c>
      <c r="B48" s="434">
        <v>6.29372304</v>
      </c>
      <c r="C48" s="385" t="str">
        <f t="shared" si="1"/>
        <v>Low motorization rate</v>
      </c>
      <c r="D48" s="435">
        <f t="shared" si="2"/>
        <v>0.3333333333</v>
      </c>
      <c r="F48" s="274"/>
    </row>
    <row r="49">
      <c r="A49" s="433" t="s">
        <v>417</v>
      </c>
      <c r="B49" s="434">
        <v>31.81386656</v>
      </c>
      <c r="C49" s="385" t="str">
        <f t="shared" si="1"/>
        <v>Low motorization rate</v>
      </c>
      <c r="D49" s="436">
        <f t="shared" si="2"/>
        <v>0.3333333333</v>
      </c>
      <c r="F49" s="274"/>
    </row>
    <row r="50">
      <c r="A50" s="433" t="s">
        <v>418</v>
      </c>
      <c r="B50" s="434">
        <v>37.99868615</v>
      </c>
      <c r="C50" s="385" t="str">
        <f t="shared" si="1"/>
        <v>Low motorization rate</v>
      </c>
      <c r="D50" s="435">
        <f t="shared" si="2"/>
        <v>0.3333333333</v>
      </c>
      <c r="F50" s="274"/>
    </row>
    <row r="51">
      <c r="A51" s="433" t="s">
        <v>398</v>
      </c>
      <c r="B51" s="434">
        <v>7.550884609</v>
      </c>
      <c r="C51" s="385" t="str">
        <f t="shared" si="1"/>
        <v>Low motorization rate</v>
      </c>
      <c r="D51" s="436">
        <f t="shared" si="2"/>
        <v>0.3333333333</v>
      </c>
      <c r="F51" s="274"/>
    </row>
    <row r="52">
      <c r="A52" s="433" t="s">
        <v>318</v>
      </c>
      <c r="B52" s="434">
        <v>149.0518256</v>
      </c>
      <c r="C52" s="385" t="str">
        <f t="shared" si="1"/>
        <v>Medium motorization rate</v>
      </c>
      <c r="D52" s="435">
        <f t="shared" si="2"/>
        <v>0.6666666667</v>
      </c>
      <c r="F52" s="274"/>
    </row>
    <row r="53">
      <c r="A53" s="433" t="s">
        <v>405</v>
      </c>
      <c r="B53" s="434">
        <v>24.50252074</v>
      </c>
      <c r="C53" s="385" t="str">
        <f t="shared" si="1"/>
        <v>Low motorization rate</v>
      </c>
      <c r="D53" s="436">
        <f t="shared" si="2"/>
        <v>0.3333333333</v>
      </c>
      <c r="F53" s="274"/>
    </row>
    <row r="54">
      <c r="A54" s="433" t="s">
        <v>408</v>
      </c>
      <c r="B54" s="434">
        <v>41.53649375</v>
      </c>
      <c r="C54" s="385" t="str">
        <f t="shared" si="1"/>
        <v>Low motorization rate</v>
      </c>
      <c r="D54" s="435">
        <f t="shared" si="2"/>
        <v>0.3333333333</v>
      </c>
      <c r="F54" s="274"/>
    </row>
    <row r="55">
      <c r="A55" s="444" t="s">
        <v>320</v>
      </c>
      <c r="B55" s="445">
        <v>71.79576915</v>
      </c>
      <c r="C55" s="248" t="str">
        <f t="shared" si="1"/>
        <v>Low motorization rate</v>
      </c>
      <c r="D55" s="446">
        <f t="shared" si="2"/>
        <v>0.3333333333</v>
      </c>
      <c r="F55" s="274"/>
    </row>
    <row r="56">
      <c r="F56" s="274"/>
    </row>
    <row r="57">
      <c r="C57" s="357" t="s">
        <v>457</v>
      </c>
      <c r="D57" s="62"/>
      <c r="E57" s="418" t="s">
        <v>421</v>
      </c>
      <c r="F57" s="274"/>
    </row>
    <row r="58">
      <c r="C58" s="360" t="s">
        <v>422</v>
      </c>
      <c r="D58" s="423">
        <f>MAX(B2:B55)</f>
        <v>436.1532178</v>
      </c>
      <c r="E58" s="449" t="s">
        <v>396</v>
      </c>
      <c r="F58" s="274"/>
    </row>
    <row r="59">
      <c r="C59" s="360" t="s">
        <v>423</v>
      </c>
      <c r="D59" s="423">
        <f>MIN(B2:B55)</f>
        <v>0.7268364225</v>
      </c>
      <c r="E59" s="450" t="s">
        <v>357</v>
      </c>
      <c r="F59" s="274"/>
    </row>
    <row r="60">
      <c r="C60" s="360" t="s">
        <v>424</v>
      </c>
      <c r="D60" s="423">
        <f>AVERAGE(B2:B55)</f>
        <v>72.70643018</v>
      </c>
      <c r="F60" s="274"/>
    </row>
    <row r="61">
      <c r="C61" s="360" t="s">
        <v>425</v>
      </c>
      <c r="D61" s="423">
        <f>MEDIAN(B2:B55)</f>
        <v>32.86993024</v>
      </c>
      <c r="F61" s="274"/>
    </row>
    <row r="62">
      <c r="C62" s="367" t="s">
        <v>446</v>
      </c>
      <c r="D62" s="451">
        <f>STDEV(B2:B55)</f>
        <v>100.2358271</v>
      </c>
      <c r="F62" s="274"/>
    </row>
    <row r="63">
      <c r="C63" s="258"/>
      <c r="D63" s="258"/>
      <c r="E63" s="258"/>
      <c r="F63" s="274"/>
    </row>
    <row r="64">
      <c r="C64" s="181" t="s">
        <v>325</v>
      </c>
      <c r="F64" s="274"/>
    </row>
    <row r="65">
      <c r="C65" s="437" t="str">
        <f t="array" ref="C65:C82">{"INDICATOR INFORMATION";
  "Index Category: "&amp;CHAR(10)&amp;
  "EV Readiness Index - Measures country preparedness to adopt EVs at large scale";
  "";
  "Sub-Category: "&amp;CHAR(10)&amp;
  "Market";
  "";
  "Indicator Name: "&amp;CHAR(10)&amp;
  "Current Rate of Motorization";
  "";
  "Description: "&amp;CHAR(10)&amp;
  "Measures vehicle ownership per 1,000 people, including all registered motor vehicles";
  "";
  "Calculation Method: "&amp;CHAR(10)&amp;
  "Motorization Rate = (Number of registered motor vehicles / Total population) × 1,000"&amp;CHAR(10)&amp;
  "• Base year: 2016";
  "";
  "Summary Statistics: "&amp;CHAR(10)&amp;
  "• Maximum: 436.15 (Libya)"&amp;CHAR(10)&amp;
  "• Minimum: 0.73 (Djibouti)"&amp;CHAR(10)&amp;
  "• Average: 72.71"&amp;CHAR(10)&amp;
  "• Median: 32.87"&amp;CHAR(10)&amp;
  "• Standard Deviation: 100.24";
  "";
  "Scoring Categories: "&amp;CHAR(10)&amp;
  "• Low (&lt;100 vehicles/1000 people)"&amp;CHAR(10)&amp;
  "• Medium (100-200 vehicles/1000 people)"&amp;CHAR(10)&amp;
  "• High (&gt;200 vehicles/1000 people)";
  "";
  "Reference Points: "&amp;CHAR(10)&amp;
  "• EU Average: 560"&amp;CHAR(10)&amp;
  "• India: 159"&amp;CHAR(10)&amp;
  "• China: 210"&amp;CHAR(10)&amp;
  "• Vietnam: 544";
  "";
  "Data Sources: "&amp;CHAR(10)&amp;
  "• Vehicle Data: Climate Compatible Growth Transport Starter Data Kits"&amp;CHAR(10)&amp;
  "• Population Data: World Bank (2016)"&amp;CHAR(10)&amp;
  "• Additional Sources: World Bank Global Road Safety Facility, CEIC Data, WHO"}</f>
        <v>INDICATOR INFORMATION</v>
      </c>
      <c r="D65" s="438"/>
      <c r="E65" s="439"/>
      <c r="F65" s="274"/>
    </row>
    <row r="66">
      <c r="C66" s="275" t="s">
        <v>339</v>
      </c>
      <c r="E66" s="373"/>
      <c r="F66" s="274"/>
    </row>
    <row r="67">
      <c r="C67" s="275" t="s">
        <v>126</v>
      </c>
      <c r="E67" s="373"/>
      <c r="F67" s="274"/>
    </row>
    <row r="68">
      <c r="C68" s="275" t="s">
        <v>458</v>
      </c>
      <c r="E68" s="373"/>
      <c r="F68" s="274"/>
    </row>
    <row r="69">
      <c r="C69" s="275" t="s">
        <v>126</v>
      </c>
      <c r="E69" s="373"/>
      <c r="F69" s="274"/>
    </row>
    <row r="70">
      <c r="C70" s="275" t="s">
        <v>459</v>
      </c>
      <c r="E70" s="373"/>
      <c r="F70" s="274"/>
    </row>
    <row r="71">
      <c r="C71" s="275" t="s">
        <v>126</v>
      </c>
      <c r="E71" s="373"/>
      <c r="F71" s="274"/>
    </row>
    <row r="72">
      <c r="C72" s="275" t="s">
        <v>460</v>
      </c>
      <c r="E72" s="373"/>
      <c r="F72" s="274"/>
    </row>
    <row r="73">
      <c r="C73" s="275" t="s">
        <v>126</v>
      </c>
      <c r="E73" s="373"/>
      <c r="F73" s="274"/>
    </row>
    <row r="74">
      <c r="C74" s="275" t="s">
        <v>461</v>
      </c>
      <c r="E74" s="373"/>
      <c r="F74" s="274"/>
    </row>
    <row r="75">
      <c r="C75" s="275" t="s">
        <v>126</v>
      </c>
      <c r="E75" s="373"/>
      <c r="F75" s="274"/>
    </row>
    <row r="76">
      <c r="C76" s="275" t="s">
        <v>462</v>
      </c>
      <c r="E76" s="373"/>
      <c r="F76" s="274"/>
    </row>
    <row r="77">
      <c r="C77" s="275" t="s">
        <v>126</v>
      </c>
      <c r="E77" s="373"/>
      <c r="F77" s="274"/>
    </row>
    <row r="78">
      <c r="C78" s="275" t="s">
        <v>463</v>
      </c>
      <c r="E78" s="373"/>
      <c r="F78" s="274"/>
    </row>
    <row r="79">
      <c r="C79" s="275" t="s">
        <v>126</v>
      </c>
      <c r="E79" s="373"/>
      <c r="F79" s="274"/>
    </row>
    <row r="80">
      <c r="C80" s="275" t="s">
        <v>464</v>
      </c>
      <c r="E80" s="373"/>
      <c r="F80" s="274"/>
    </row>
    <row r="81">
      <c r="C81" s="275" t="s">
        <v>126</v>
      </c>
      <c r="E81" s="373"/>
      <c r="F81" s="274"/>
    </row>
    <row r="82">
      <c r="C82" s="275" t="s">
        <v>465</v>
      </c>
      <c r="E82" s="373"/>
      <c r="F82" s="274"/>
    </row>
    <row r="83">
      <c r="C83" s="282"/>
      <c r="D83" s="283"/>
      <c r="E83" s="374"/>
      <c r="F83" s="274"/>
    </row>
    <row r="84">
      <c r="F84" s="274"/>
    </row>
    <row r="85">
      <c r="F85" s="274"/>
    </row>
    <row r="86">
      <c r="F86" s="274"/>
    </row>
    <row r="87">
      <c r="F87" s="274"/>
    </row>
    <row r="88">
      <c r="F88" s="274"/>
    </row>
    <row r="89">
      <c r="F89" s="274"/>
    </row>
    <row r="90">
      <c r="F90" s="274"/>
    </row>
    <row r="91">
      <c r="F91" s="274"/>
    </row>
    <row r="92">
      <c r="F92" s="274"/>
    </row>
    <row r="93">
      <c r="F93" s="274"/>
    </row>
    <row r="94">
      <c r="F94" s="274"/>
    </row>
    <row r="95">
      <c r="F95" s="274"/>
    </row>
    <row r="96">
      <c r="F96" s="274"/>
    </row>
    <row r="97">
      <c r="F97" s="274"/>
    </row>
    <row r="98">
      <c r="F98" s="274"/>
    </row>
    <row r="99">
      <c r="F99" s="274"/>
    </row>
    <row r="100">
      <c r="F100" s="274"/>
    </row>
    <row r="101">
      <c r="F101" s="274"/>
    </row>
    <row r="102">
      <c r="F102" s="274"/>
    </row>
    <row r="103">
      <c r="F103" s="274"/>
    </row>
    <row r="104">
      <c r="F104" s="274"/>
    </row>
    <row r="105">
      <c r="F105" s="274"/>
    </row>
    <row r="106">
      <c r="F106" s="274"/>
    </row>
    <row r="107">
      <c r="F107" s="274"/>
    </row>
    <row r="108">
      <c r="F108" s="274"/>
    </row>
    <row r="109">
      <c r="F109" s="274"/>
    </row>
    <row r="110">
      <c r="F110" s="274"/>
    </row>
    <row r="111">
      <c r="F111" s="274"/>
    </row>
    <row r="112">
      <c r="F112" s="274"/>
    </row>
    <row r="113">
      <c r="F113" s="274"/>
    </row>
    <row r="114">
      <c r="F114" s="274"/>
    </row>
    <row r="115">
      <c r="F115" s="274"/>
    </row>
    <row r="116">
      <c r="F116" s="274"/>
    </row>
    <row r="117">
      <c r="F117" s="274"/>
    </row>
    <row r="118">
      <c r="F118" s="274"/>
    </row>
    <row r="119">
      <c r="F119" s="274"/>
    </row>
    <row r="120">
      <c r="F120" s="274"/>
    </row>
    <row r="121">
      <c r="F121" s="274"/>
    </row>
    <row r="122">
      <c r="F122" s="274"/>
    </row>
    <row r="123">
      <c r="F123" s="274"/>
    </row>
    <row r="124">
      <c r="F124" s="274"/>
    </row>
    <row r="125">
      <c r="F125" s="274"/>
    </row>
    <row r="126">
      <c r="F126" s="274"/>
    </row>
    <row r="127">
      <c r="F127" s="274"/>
    </row>
    <row r="128">
      <c r="F128" s="274"/>
    </row>
    <row r="129">
      <c r="F129" s="274"/>
    </row>
    <row r="130">
      <c r="F130" s="274"/>
    </row>
    <row r="131">
      <c r="F131" s="274"/>
    </row>
    <row r="132">
      <c r="F132" s="274"/>
    </row>
    <row r="133">
      <c r="F133" s="274"/>
    </row>
    <row r="134">
      <c r="F134" s="274"/>
    </row>
    <row r="135">
      <c r="F135" s="274"/>
    </row>
    <row r="136">
      <c r="F136" s="274"/>
    </row>
    <row r="137">
      <c r="F137" s="274"/>
    </row>
    <row r="138">
      <c r="F138" s="274"/>
    </row>
    <row r="139">
      <c r="F139" s="274"/>
    </row>
    <row r="140">
      <c r="F140" s="274"/>
    </row>
    <row r="141">
      <c r="F141" s="274"/>
    </row>
    <row r="142">
      <c r="F142" s="274"/>
    </row>
    <row r="143">
      <c r="F143" s="274"/>
    </row>
    <row r="144">
      <c r="F144" s="274"/>
    </row>
    <row r="145">
      <c r="F145" s="274"/>
    </row>
    <row r="146">
      <c r="F146" s="274"/>
    </row>
    <row r="147">
      <c r="F147" s="274"/>
    </row>
    <row r="148">
      <c r="F148" s="274"/>
    </row>
    <row r="149">
      <c r="F149" s="274"/>
    </row>
    <row r="150">
      <c r="F150" s="274"/>
    </row>
    <row r="151">
      <c r="F151" s="274"/>
    </row>
    <row r="152">
      <c r="F152" s="274"/>
    </row>
    <row r="153">
      <c r="F153" s="274"/>
    </row>
    <row r="154">
      <c r="F154" s="274"/>
    </row>
    <row r="155">
      <c r="F155" s="274"/>
    </row>
    <row r="156">
      <c r="F156" s="274"/>
    </row>
    <row r="157">
      <c r="F157" s="274"/>
    </row>
    <row r="158">
      <c r="F158" s="274"/>
    </row>
    <row r="159">
      <c r="F159" s="274"/>
    </row>
    <row r="160">
      <c r="F160" s="274"/>
    </row>
    <row r="161">
      <c r="F161" s="274"/>
    </row>
    <row r="162">
      <c r="F162" s="274"/>
    </row>
    <row r="163">
      <c r="F163" s="274"/>
    </row>
    <row r="164">
      <c r="F164" s="274"/>
    </row>
    <row r="165">
      <c r="F165" s="274"/>
    </row>
    <row r="166">
      <c r="F166" s="274"/>
    </row>
    <row r="167">
      <c r="F167" s="274"/>
    </row>
    <row r="168">
      <c r="F168" s="274"/>
    </row>
    <row r="169">
      <c r="F169" s="274"/>
    </row>
    <row r="170">
      <c r="F170" s="274"/>
    </row>
    <row r="171">
      <c r="F171" s="274"/>
    </row>
    <row r="172">
      <c r="F172" s="274"/>
    </row>
    <row r="173">
      <c r="F173" s="274"/>
    </row>
    <row r="174">
      <c r="F174" s="274"/>
    </row>
    <row r="175">
      <c r="F175" s="274"/>
    </row>
    <row r="176">
      <c r="F176" s="274"/>
    </row>
    <row r="177">
      <c r="F177" s="274"/>
    </row>
    <row r="178">
      <c r="F178" s="274"/>
    </row>
    <row r="179">
      <c r="F179" s="274"/>
    </row>
    <row r="180">
      <c r="F180" s="274"/>
    </row>
    <row r="181">
      <c r="F181" s="274"/>
    </row>
    <row r="182">
      <c r="F182" s="274"/>
    </row>
    <row r="183">
      <c r="F183" s="274"/>
    </row>
    <row r="184">
      <c r="F184" s="274"/>
    </row>
    <row r="185">
      <c r="F185" s="274"/>
    </row>
    <row r="186">
      <c r="F186" s="274"/>
    </row>
    <row r="187">
      <c r="F187" s="274"/>
    </row>
    <row r="188">
      <c r="F188" s="274"/>
    </row>
    <row r="189">
      <c r="F189" s="274"/>
    </row>
    <row r="190">
      <c r="F190" s="274"/>
    </row>
    <row r="191">
      <c r="F191" s="274"/>
    </row>
    <row r="192">
      <c r="F192" s="274"/>
    </row>
    <row r="193">
      <c r="F193" s="274"/>
    </row>
    <row r="194">
      <c r="F194" s="274"/>
    </row>
    <row r="195">
      <c r="F195" s="274"/>
    </row>
    <row r="196">
      <c r="F196" s="274"/>
    </row>
    <row r="197">
      <c r="F197" s="274"/>
    </row>
    <row r="198">
      <c r="F198" s="274"/>
    </row>
    <row r="199">
      <c r="F199" s="274"/>
    </row>
    <row r="200">
      <c r="F200" s="274"/>
    </row>
    <row r="201">
      <c r="F201" s="274"/>
    </row>
    <row r="202">
      <c r="F202" s="274"/>
    </row>
    <row r="203">
      <c r="F203" s="274"/>
    </row>
    <row r="204">
      <c r="F204" s="274"/>
    </row>
    <row r="205">
      <c r="F205" s="274"/>
    </row>
    <row r="206">
      <c r="F206" s="274"/>
    </row>
    <row r="207">
      <c r="F207" s="274"/>
    </row>
    <row r="208">
      <c r="F208" s="274"/>
    </row>
    <row r="209">
      <c r="F209" s="274"/>
    </row>
    <row r="210">
      <c r="F210" s="274"/>
    </row>
    <row r="211">
      <c r="F211" s="274"/>
    </row>
    <row r="212">
      <c r="F212" s="274"/>
    </row>
    <row r="213">
      <c r="F213" s="274"/>
    </row>
    <row r="214">
      <c r="F214" s="274"/>
    </row>
    <row r="215">
      <c r="F215" s="274"/>
    </row>
    <row r="216">
      <c r="F216" s="274"/>
    </row>
    <row r="217">
      <c r="F217" s="274"/>
    </row>
    <row r="218">
      <c r="F218" s="274"/>
    </row>
    <row r="219">
      <c r="F219" s="274"/>
    </row>
    <row r="220">
      <c r="F220" s="274"/>
    </row>
    <row r="221">
      <c r="F221" s="274"/>
    </row>
    <row r="222">
      <c r="F222" s="274"/>
    </row>
    <row r="223">
      <c r="F223" s="274"/>
    </row>
    <row r="224">
      <c r="F224" s="274"/>
    </row>
    <row r="225">
      <c r="F225" s="274"/>
    </row>
    <row r="226">
      <c r="F226" s="274"/>
    </row>
    <row r="227">
      <c r="F227" s="274"/>
    </row>
    <row r="228">
      <c r="F228" s="274"/>
    </row>
    <row r="229">
      <c r="F229" s="274"/>
    </row>
    <row r="230">
      <c r="F230" s="274"/>
    </row>
    <row r="231">
      <c r="F231" s="274"/>
    </row>
    <row r="232">
      <c r="F232" s="274"/>
    </row>
    <row r="233">
      <c r="F233" s="274"/>
    </row>
    <row r="234">
      <c r="F234" s="274"/>
    </row>
    <row r="235">
      <c r="F235" s="274"/>
    </row>
    <row r="236">
      <c r="F236" s="274"/>
    </row>
    <row r="237">
      <c r="F237" s="274"/>
    </row>
    <row r="238">
      <c r="F238" s="274"/>
    </row>
    <row r="239">
      <c r="F239" s="274"/>
    </row>
    <row r="240">
      <c r="F240" s="274"/>
    </row>
    <row r="241">
      <c r="F241" s="274"/>
    </row>
    <row r="242">
      <c r="F242" s="274"/>
    </row>
    <row r="243">
      <c r="F243" s="274"/>
    </row>
    <row r="244">
      <c r="F244" s="274"/>
    </row>
    <row r="245">
      <c r="F245" s="274"/>
    </row>
    <row r="246">
      <c r="F246" s="274"/>
    </row>
    <row r="247">
      <c r="F247" s="274"/>
    </row>
    <row r="248">
      <c r="F248" s="274"/>
    </row>
    <row r="249">
      <c r="F249" s="274"/>
    </row>
    <row r="250">
      <c r="F250" s="274"/>
    </row>
    <row r="251">
      <c r="F251" s="274"/>
    </row>
    <row r="252">
      <c r="F252" s="274"/>
    </row>
    <row r="253">
      <c r="F253" s="274"/>
    </row>
    <row r="254">
      <c r="F254" s="274"/>
    </row>
    <row r="255">
      <c r="F255" s="274"/>
    </row>
    <row r="256">
      <c r="F256" s="274"/>
    </row>
    <row r="257">
      <c r="F257" s="274"/>
    </row>
    <row r="258">
      <c r="F258" s="274"/>
    </row>
    <row r="259">
      <c r="F259" s="274"/>
    </row>
    <row r="260">
      <c r="F260" s="274"/>
    </row>
    <row r="261">
      <c r="F261" s="274"/>
    </row>
    <row r="262">
      <c r="F262" s="274"/>
    </row>
    <row r="263">
      <c r="F263" s="274"/>
    </row>
    <row r="264">
      <c r="F264" s="274"/>
    </row>
    <row r="265">
      <c r="F265" s="274"/>
    </row>
    <row r="266">
      <c r="F266" s="274"/>
    </row>
    <row r="267">
      <c r="F267" s="274"/>
    </row>
    <row r="268">
      <c r="F268" s="274"/>
    </row>
    <row r="269">
      <c r="F269" s="274"/>
    </row>
    <row r="270">
      <c r="F270" s="274"/>
    </row>
    <row r="271">
      <c r="F271" s="274"/>
    </row>
    <row r="272">
      <c r="F272" s="274"/>
    </row>
    <row r="273">
      <c r="F273" s="274"/>
    </row>
    <row r="274">
      <c r="F274" s="274"/>
    </row>
    <row r="275">
      <c r="F275" s="274"/>
    </row>
    <row r="276">
      <c r="F276" s="274"/>
    </row>
    <row r="277">
      <c r="F277" s="274"/>
    </row>
    <row r="278">
      <c r="F278" s="274"/>
    </row>
    <row r="279">
      <c r="F279" s="274"/>
    </row>
    <row r="280">
      <c r="F280" s="274"/>
    </row>
    <row r="281">
      <c r="F281" s="274"/>
    </row>
    <row r="282">
      <c r="F282" s="274"/>
    </row>
    <row r="283">
      <c r="F283" s="274"/>
    </row>
    <row r="284">
      <c r="F284" s="274"/>
    </row>
    <row r="285">
      <c r="F285" s="274"/>
    </row>
    <row r="286">
      <c r="F286" s="274"/>
    </row>
    <row r="287">
      <c r="F287" s="274"/>
    </row>
    <row r="288">
      <c r="F288" s="274"/>
    </row>
    <row r="289">
      <c r="F289" s="274"/>
    </row>
    <row r="290">
      <c r="F290" s="274"/>
    </row>
    <row r="291">
      <c r="F291" s="274"/>
    </row>
    <row r="292">
      <c r="F292" s="274"/>
    </row>
    <row r="293">
      <c r="F293" s="274"/>
    </row>
    <row r="294">
      <c r="F294" s="274"/>
    </row>
    <row r="295">
      <c r="F295" s="274"/>
    </row>
    <row r="296">
      <c r="F296" s="274"/>
    </row>
    <row r="297">
      <c r="F297" s="274"/>
    </row>
    <row r="298">
      <c r="F298" s="274"/>
    </row>
    <row r="299">
      <c r="F299" s="274"/>
    </row>
    <row r="300">
      <c r="F300" s="274"/>
    </row>
    <row r="301">
      <c r="F301" s="274"/>
    </row>
    <row r="302">
      <c r="F302" s="274"/>
    </row>
    <row r="303">
      <c r="F303" s="274"/>
    </row>
    <row r="304">
      <c r="F304" s="274"/>
    </row>
    <row r="305">
      <c r="F305" s="274"/>
    </row>
    <row r="306">
      <c r="F306" s="274"/>
    </row>
    <row r="307">
      <c r="F307" s="274"/>
    </row>
    <row r="308">
      <c r="F308" s="274"/>
    </row>
    <row r="309">
      <c r="F309" s="274"/>
    </row>
    <row r="310">
      <c r="F310" s="274"/>
    </row>
    <row r="311">
      <c r="F311" s="274"/>
    </row>
    <row r="312">
      <c r="F312" s="274"/>
    </row>
    <row r="313">
      <c r="F313" s="274"/>
    </row>
    <row r="314">
      <c r="F314" s="274"/>
    </row>
    <row r="315">
      <c r="F315" s="274"/>
    </row>
    <row r="316">
      <c r="F316" s="274"/>
    </row>
    <row r="317">
      <c r="F317" s="274"/>
    </row>
    <row r="318">
      <c r="F318" s="274"/>
    </row>
    <row r="319">
      <c r="F319" s="274"/>
    </row>
    <row r="320">
      <c r="F320" s="274"/>
    </row>
    <row r="321">
      <c r="F321" s="274"/>
    </row>
    <row r="322">
      <c r="F322" s="274"/>
    </row>
    <row r="323">
      <c r="F323" s="274"/>
    </row>
    <row r="324">
      <c r="F324" s="274"/>
    </row>
    <row r="325">
      <c r="F325" s="274"/>
    </row>
    <row r="326">
      <c r="F326" s="274"/>
    </row>
    <row r="327">
      <c r="F327" s="274"/>
    </row>
    <row r="328">
      <c r="F328" s="274"/>
    </row>
    <row r="329">
      <c r="F329" s="274"/>
    </row>
    <row r="330">
      <c r="F330" s="274"/>
    </row>
    <row r="331">
      <c r="F331" s="274"/>
    </row>
    <row r="332">
      <c r="F332" s="274"/>
    </row>
    <row r="333">
      <c r="F333" s="274"/>
    </row>
    <row r="334">
      <c r="F334" s="274"/>
    </row>
    <row r="335">
      <c r="F335" s="274"/>
    </row>
    <row r="336">
      <c r="F336" s="274"/>
    </row>
    <row r="337">
      <c r="F337" s="274"/>
    </row>
    <row r="338">
      <c r="F338" s="274"/>
    </row>
    <row r="339">
      <c r="F339" s="274"/>
    </row>
    <row r="340">
      <c r="F340" s="274"/>
    </row>
    <row r="341">
      <c r="F341" s="274"/>
    </row>
    <row r="342">
      <c r="F342" s="274"/>
    </row>
    <row r="343">
      <c r="F343" s="274"/>
    </row>
    <row r="344">
      <c r="F344" s="274"/>
    </row>
    <row r="345">
      <c r="F345" s="274"/>
    </row>
    <row r="346">
      <c r="F346" s="274"/>
    </row>
    <row r="347">
      <c r="F347" s="274"/>
    </row>
    <row r="348">
      <c r="F348" s="274"/>
    </row>
    <row r="349">
      <c r="F349" s="274"/>
    </row>
    <row r="350">
      <c r="F350" s="274"/>
    </row>
    <row r="351">
      <c r="F351" s="274"/>
    </row>
    <row r="352">
      <c r="F352" s="274"/>
    </row>
    <row r="353">
      <c r="F353" s="274"/>
    </row>
    <row r="354">
      <c r="F354" s="274"/>
    </row>
    <row r="355">
      <c r="F355" s="274"/>
    </row>
    <row r="356">
      <c r="F356" s="274"/>
    </row>
    <row r="357">
      <c r="F357" s="274"/>
    </row>
    <row r="358">
      <c r="F358" s="274"/>
    </row>
    <row r="359">
      <c r="F359" s="274"/>
    </row>
    <row r="360">
      <c r="F360" s="274"/>
    </row>
    <row r="361">
      <c r="F361" s="274"/>
    </row>
    <row r="362">
      <c r="F362" s="274"/>
    </row>
    <row r="363">
      <c r="F363" s="274"/>
    </row>
    <row r="364">
      <c r="F364" s="274"/>
    </row>
    <row r="365">
      <c r="F365" s="274"/>
    </row>
    <row r="366">
      <c r="F366" s="274"/>
    </row>
    <row r="367">
      <c r="F367" s="274"/>
    </row>
    <row r="368">
      <c r="F368" s="274"/>
    </row>
    <row r="369">
      <c r="F369" s="274"/>
    </row>
    <row r="370">
      <c r="F370" s="274"/>
    </row>
    <row r="371">
      <c r="F371" s="274"/>
    </row>
    <row r="372">
      <c r="F372" s="274"/>
    </row>
    <row r="373">
      <c r="F373" s="274"/>
    </row>
    <row r="374">
      <c r="F374" s="274"/>
    </row>
    <row r="375">
      <c r="F375" s="274"/>
    </row>
    <row r="376">
      <c r="F376" s="274"/>
    </row>
    <row r="377">
      <c r="F377" s="274"/>
    </row>
    <row r="378">
      <c r="F378" s="274"/>
    </row>
    <row r="379">
      <c r="F379" s="274"/>
    </row>
    <row r="380">
      <c r="F380" s="274"/>
    </row>
    <row r="381">
      <c r="F381" s="274"/>
    </row>
    <row r="382">
      <c r="F382" s="274"/>
    </row>
    <row r="383">
      <c r="F383" s="274"/>
    </row>
    <row r="384">
      <c r="F384" s="274"/>
    </row>
    <row r="385">
      <c r="F385" s="274"/>
    </row>
    <row r="386">
      <c r="F386" s="274"/>
    </row>
    <row r="387">
      <c r="F387" s="274"/>
    </row>
    <row r="388">
      <c r="F388" s="274"/>
    </row>
    <row r="389">
      <c r="F389" s="274"/>
    </row>
    <row r="390">
      <c r="F390" s="274"/>
    </row>
    <row r="391">
      <c r="F391" s="274"/>
    </row>
    <row r="392">
      <c r="F392" s="274"/>
    </row>
    <row r="393">
      <c r="F393" s="274"/>
    </row>
    <row r="394">
      <c r="F394" s="274"/>
    </row>
    <row r="395">
      <c r="F395" s="274"/>
    </row>
    <row r="396">
      <c r="F396" s="274"/>
    </row>
    <row r="397">
      <c r="F397" s="274"/>
    </row>
    <row r="398">
      <c r="F398" s="274"/>
    </row>
    <row r="399">
      <c r="F399" s="274"/>
    </row>
    <row r="400">
      <c r="F400" s="274"/>
    </row>
    <row r="401">
      <c r="F401" s="274"/>
    </row>
    <row r="402">
      <c r="F402" s="274"/>
    </row>
    <row r="403">
      <c r="F403" s="274"/>
    </row>
    <row r="404">
      <c r="F404" s="274"/>
    </row>
    <row r="405">
      <c r="F405" s="274"/>
    </row>
    <row r="406">
      <c r="F406" s="274"/>
    </row>
    <row r="407">
      <c r="F407" s="274"/>
    </row>
    <row r="408">
      <c r="F408" s="274"/>
    </row>
    <row r="409">
      <c r="F409" s="274"/>
    </row>
    <row r="410">
      <c r="F410" s="274"/>
    </row>
    <row r="411">
      <c r="F411" s="274"/>
    </row>
    <row r="412">
      <c r="F412" s="274"/>
    </row>
    <row r="413">
      <c r="F413" s="274"/>
    </row>
    <row r="414">
      <c r="F414" s="274"/>
    </row>
    <row r="415">
      <c r="F415" s="274"/>
    </row>
    <row r="416">
      <c r="F416" s="274"/>
    </row>
    <row r="417">
      <c r="F417" s="274"/>
    </row>
    <row r="418">
      <c r="F418" s="274"/>
    </row>
    <row r="419">
      <c r="F419" s="274"/>
    </row>
    <row r="420">
      <c r="F420" s="274"/>
    </row>
    <row r="421">
      <c r="F421" s="274"/>
    </row>
    <row r="422">
      <c r="F422" s="274"/>
    </row>
    <row r="423">
      <c r="F423" s="274"/>
    </row>
    <row r="424">
      <c r="F424" s="274"/>
    </row>
    <row r="425">
      <c r="F425" s="274"/>
    </row>
    <row r="426">
      <c r="F426" s="274"/>
    </row>
    <row r="427">
      <c r="F427" s="274"/>
    </row>
    <row r="428">
      <c r="F428" s="274"/>
    </row>
    <row r="429">
      <c r="F429" s="274"/>
    </row>
    <row r="430">
      <c r="F430" s="274"/>
    </row>
    <row r="431">
      <c r="F431" s="274"/>
    </row>
    <row r="432">
      <c r="F432" s="274"/>
    </row>
    <row r="433">
      <c r="F433" s="274"/>
    </row>
    <row r="434">
      <c r="F434" s="274"/>
    </row>
    <row r="435">
      <c r="F435" s="274"/>
    </row>
    <row r="436">
      <c r="F436" s="274"/>
    </row>
    <row r="437">
      <c r="F437" s="274"/>
    </row>
    <row r="438">
      <c r="F438" s="274"/>
    </row>
    <row r="439">
      <c r="F439" s="274"/>
    </row>
    <row r="440">
      <c r="F440" s="274"/>
    </row>
    <row r="441">
      <c r="F441" s="274"/>
    </row>
    <row r="442">
      <c r="F442" s="274"/>
    </row>
    <row r="443">
      <c r="F443" s="274"/>
    </row>
    <row r="444">
      <c r="F444" s="274"/>
    </row>
    <row r="445">
      <c r="F445" s="274"/>
    </row>
    <row r="446">
      <c r="F446" s="274"/>
    </row>
    <row r="447">
      <c r="F447" s="274"/>
    </row>
    <row r="448">
      <c r="F448" s="274"/>
    </row>
    <row r="449">
      <c r="F449" s="274"/>
    </row>
    <row r="450">
      <c r="F450" s="274"/>
    </row>
    <row r="451">
      <c r="F451" s="274"/>
    </row>
    <row r="452">
      <c r="F452" s="274"/>
    </row>
    <row r="453">
      <c r="F453" s="274"/>
    </row>
    <row r="454">
      <c r="F454" s="274"/>
    </row>
    <row r="455">
      <c r="F455" s="274"/>
    </row>
    <row r="456">
      <c r="F456" s="274"/>
    </row>
    <row r="457">
      <c r="F457" s="274"/>
    </row>
    <row r="458">
      <c r="F458" s="274"/>
    </row>
    <row r="459">
      <c r="F459" s="274"/>
    </row>
    <row r="460">
      <c r="F460" s="274"/>
    </row>
    <row r="461">
      <c r="F461" s="274"/>
    </row>
    <row r="462">
      <c r="F462" s="274"/>
    </row>
    <row r="463">
      <c r="F463" s="274"/>
    </row>
    <row r="464">
      <c r="F464" s="274"/>
    </row>
    <row r="465">
      <c r="F465" s="274"/>
    </row>
    <row r="466">
      <c r="F466" s="274"/>
    </row>
    <row r="467">
      <c r="F467" s="274"/>
    </row>
    <row r="468">
      <c r="F468" s="274"/>
    </row>
    <row r="469">
      <c r="F469" s="274"/>
    </row>
    <row r="470">
      <c r="F470" s="274"/>
    </row>
    <row r="471">
      <c r="F471" s="274"/>
    </row>
    <row r="472">
      <c r="F472" s="274"/>
    </row>
    <row r="473">
      <c r="F473" s="274"/>
    </row>
    <row r="474">
      <c r="F474" s="274"/>
    </row>
    <row r="475">
      <c r="F475" s="274"/>
    </row>
    <row r="476">
      <c r="F476" s="274"/>
    </row>
    <row r="477">
      <c r="F477" s="274"/>
    </row>
    <row r="478">
      <c r="F478" s="274"/>
    </row>
    <row r="479">
      <c r="F479" s="274"/>
    </row>
    <row r="480">
      <c r="F480" s="274"/>
    </row>
    <row r="481">
      <c r="F481" s="274"/>
    </row>
    <row r="482">
      <c r="F482" s="274"/>
    </row>
    <row r="483">
      <c r="F483" s="274"/>
    </row>
    <row r="484">
      <c r="F484" s="274"/>
    </row>
    <row r="485">
      <c r="F485" s="274"/>
    </row>
    <row r="486">
      <c r="F486" s="274"/>
    </row>
    <row r="487">
      <c r="F487" s="274"/>
    </row>
    <row r="488">
      <c r="F488" s="274"/>
    </row>
    <row r="489">
      <c r="F489" s="274"/>
    </row>
    <row r="490">
      <c r="F490" s="274"/>
    </row>
    <row r="491">
      <c r="F491" s="274"/>
    </row>
    <row r="492">
      <c r="F492" s="274"/>
    </row>
    <row r="493">
      <c r="F493" s="274"/>
    </row>
    <row r="494">
      <c r="F494" s="274"/>
    </row>
    <row r="495">
      <c r="F495" s="274"/>
    </row>
    <row r="496">
      <c r="F496" s="274"/>
    </row>
    <row r="497">
      <c r="F497" s="274"/>
    </row>
    <row r="498">
      <c r="F498" s="274"/>
    </row>
    <row r="499">
      <c r="F499" s="274"/>
    </row>
    <row r="500">
      <c r="F500" s="274"/>
    </row>
    <row r="501">
      <c r="F501" s="274"/>
    </row>
    <row r="502">
      <c r="F502" s="274"/>
    </row>
    <row r="503">
      <c r="F503" s="274"/>
    </row>
    <row r="504">
      <c r="F504" s="274"/>
    </row>
    <row r="505">
      <c r="F505" s="274"/>
    </row>
    <row r="506">
      <c r="F506" s="274"/>
    </row>
    <row r="507">
      <c r="F507" s="274"/>
    </row>
    <row r="508">
      <c r="F508" s="274"/>
    </row>
    <row r="509">
      <c r="F509" s="274"/>
    </row>
    <row r="510">
      <c r="F510" s="274"/>
    </row>
    <row r="511">
      <c r="F511" s="274"/>
    </row>
    <row r="512">
      <c r="F512" s="274"/>
    </row>
    <row r="513">
      <c r="F513" s="274"/>
    </row>
    <row r="514">
      <c r="F514" s="274"/>
    </row>
    <row r="515">
      <c r="F515" s="274"/>
    </row>
    <row r="516">
      <c r="F516" s="274"/>
    </row>
    <row r="517">
      <c r="F517" s="274"/>
    </row>
    <row r="518">
      <c r="F518" s="274"/>
    </row>
    <row r="519">
      <c r="F519" s="274"/>
    </row>
    <row r="520">
      <c r="F520" s="274"/>
    </row>
    <row r="521">
      <c r="F521" s="274"/>
    </row>
    <row r="522">
      <c r="F522" s="274"/>
    </row>
    <row r="523">
      <c r="F523" s="274"/>
    </row>
    <row r="524">
      <c r="F524" s="274"/>
    </row>
    <row r="525">
      <c r="F525" s="274"/>
    </row>
    <row r="526">
      <c r="F526" s="274"/>
    </row>
    <row r="527">
      <c r="F527" s="274"/>
    </row>
    <row r="528">
      <c r="F528" s="274"/>
    </row>
    <row r="529">
      <c r="F529" s="274"/>
    </row>
    <row r="530">
      <c r="F530" s="274"/>
    </row>
    <row r="531">
      <c r="F531" s="274"/>
    </row>
    <row r="532">
      <c r="F532" s="274"/>
    </row>
    <row r="533">
      <c r="F533" s="274"/>
    </row>
    <row r="534">
      <c r="F534" s="274"/>
    </row>
    <row r="535">
      <c r="F535" s="274"/>
    </row>
    <row r="536">
      <c r="F536" s="274"/>
    </row>
    <row r="537">
      <c r="F537" s="274"/>
    </row>
    <row r="538">
      <c r="F538" s="274"/>
    </row>
    <row r="539">
      <c r="F539" s="274"/>
    </row>
    <row r="540">
      <c r="F540" s="274"/>
    </row>
    <row r="541">
      <c r="F541" s="274"/>
    </row>
    <row r="542">
      <c r="F542" s="274"/>
    </row>
    <row r="543">
      <c r="F543" s="274"/>
    </row>
    <row r="544">
      <c r="F544" s="274"/>
    </row>
    <row r="545">
      <c r="F545" s="274"/>
    </row>
    <row r="546">
      <c r="F546" s="274"/>
    </row>
    <row r="547">
      <c r="F547" s="274"/>
    </row>
    <row r="548">
      <c r="F548" s="274"/>
    </row>
    <row r="549">
      <c r="F549" s="274"/>
    </row>
    <row r="550">
      <c r="F550" s="274"/>
    </row>
    <row r="551">
      <c r="F551" s="274"/>
    </row>
    <row r="552">
      <c r="F552" s="274"/>
    </row>
    <row r="553">
      <c r="F553" s="274"/>
    </row>
    <row r="554">
      <c r="F554" s="274"/>
    </row>
    <row r="555">
      <c r="F555" s="274"/>
    </row>
    <row r="556">
      <c r="F556" s="274"/>
    </row>
    <row r="557">
      <c r="F557" s="274"/>
    </row>
    <row r="558">
      <c r="F558" s="274"/>
    </row>
    <row r="559">
      <c r="F559" s="274"/>
    </row>
    <row r="560">
      <c r="F560" s="274"/>
    </row>
    <row r="561">
      <c r="F561" s="274"/>
    </row>
    <row r="562">
      <c r="F562" s="274"/>
    </row>
    <row r="563">
      <c r="F563" s="274"/>
    </row>
    <row r="564">
      <c r="F564" s="274"/>
    </row>
    <row r="565">
      <c r="F565" s="274"/>
    </row>
    <row r="566">
      <c r="F566" s="274"/>
    </row>
    <row r="567">
      <c r="F567" s="274"/>
    </row>
    <row r="568">
      <c r="F568" s="274"/>
    </row>
    <row r="569">
      <c r="F569" s="274"/>
    </row>
    <row r="570">
      <c r="F570" s="274"/>
    </row>
    <row r="571">
      <c r="F571" s="274"/>
    </row>
    <row r="572">
      <c r="F572" s="274"/>
    </row>
    <row r="573">
      <c r="F573" s="274"/>
    </row>
    <row r="574">
      <c r="F574" s="274"/>
    </row>
    <row r="575">
      <c r="F575" s="274"/>
    </row>
    <row r="576">
      <c r="F576" s="274"/>
    </row>
    <row r="577">
      <c r="F577" s="274"/>
    </row>
    <row r="578">
      <c r="F578" s="274"/>
    </row>
    <row r="579">
      <c r="F579" s="274"/>
    </row>
    <row r="580">
      <c r="F580" s="274"/>
    </row>
    <row r="581">
      <c r="F581" s="274"/>
    </row>
    <row r="582">
      <c r="F582" s="274"/>
    </row>
    <row r="583">
      <c r="F583" s="274"/>
    </row>
    <row r="584">
      <c r="F584" s="274"/>
    </row>
    <row r="585">
      <c r="F585" s="274"/>
    </row>
    <row r="586">
      <c r="F586" s="274"/>
    </row>
    <row r="587">
      <c r="F587" s="274"/>
    </row>
    <row r="588">
      <c r="F588" s="274"/>
    </row>
    <row r="589">
      <c r="F589" s="274"/>
    </row>
    <row r="590">
      <c r="F590" s="274"/>
    </row>
    <row r="591">
      <c r="F591" s="274"/>
    </row>
    <row r="592">
      <c r="F592" s="274"/>
    </row>
    <row r="593">
      <c r="F593" s="274"/>
    </row>
    <row r="594">
      <c r="F594" s="274"/>
    </row>
    <row r="595">
      <c r="F595" s="274"/>
    </row>
    <row r="596">
      <c r="F596" s="274"/>
    </row>
    <row r="597">
      <c r="F597" s="274"/>
    </row>
    <row r="598">
      <c r="F598" s="274"/>
    </row>
    <row r="599">
      <c r="F599" s="274"/>
    </row>
    <row r="600">
      <c r="F600" s="274"/>
    </row>
    <row r="601">
      <c r="F601" s="274"/>
    </row>
    <row r="602">
      <c r="F602" s="274"/>
    </row>
    <row r="603">
      <c r="F603" s="274"/>
    </row>
    <row r="604">
      <c r="F604" s="274"/>
    </row>
    <row r="605">
      <c r="F605" s="274"/>
    </row>
    <row r="606">
      <c r="F606" s="274"/>
    </row>
    <row r="607">
      <c r="F607" s="274"/>
    </row>
    <row r="608">
      <c r="F608" s="274"/>
    </row>
    <row r="609">
      <c r="F609" s="274"/>
    </row>
    <row r="610">
      <c r="F610" s="274"/>
    </row>
    <row r="611">
      <c r="F611" s="274"/>
    </row>
    <row r="612">
      <c r="F612" s="274"/>
    </row>
    <row r="613">
      <c r="F613" s="274"/>
    </row>
    <row r="614">
      <c r="F614" s="274"/>
    </row>
    <row r="615">
      <c r="F615" s="274"/>
    </row>
    <row r="616">
      <c r="F616" s="274"/>
    </row>
    <row r="617">
      <c r="F617" s="274"/>
    </row>
    <row r="618">
      <c r="F618" s="274"/>
    </row>
    <row r="619">
      <c r="F619" s="274"/>
    </row>
    <row r="620">
      <c r="F620" s="274"/>
    </row>
    <row r="621">
      <c r="F621" s="274"/>
    </row>
    <row r="622">
      <c r="F622" s="274"/>
    </row>
    <row r="623">
      <c r="F623" s="274"/>
    </row>
    <row r="624">
      <c r="F624" s="274"/>
    </row>
    <row r="625">
      <c r="F625" s="274"/>
    </row>
    <row r="626">
      <c r="F626" s="274"/>
    </row>
    <row r="627">
      <c r="F627" s="274"/>
    </row>
    <row r="628">
      <c r="F628" s="274"/>
    </row>
    <row r="629">
      <c r="F629" s="274"/>
    </row>
    <row r="630">
      <c r="F630" s="274"/>
    </row>
    <row r="631">
      <c r="F631" s="274"/>
    </row>
    <row r="632">
      <c r="F632" s="274"/>
    </row>
    <row r="633">
      <c r="F633" s="274"/>
    </row>
    <row r="634">
      <c r="F634" s="274"/>
    </row>
    <row r="635">
      <c r="F635" s="274"/>
    </row>
    <row r="636">
      <c r="F636" s="274"/>
    </row>
    <row r="637">
      <c r="F637" s="274"/>
    </row>
    <row r="638">
      <c r="F638" s="274"/>
    </row>
    <row r="639">
      <c r="F639" s="274"/>
    </row>
    <row r="640">
      <c r="F640" s="274"/>
    </row>
    <row r="641">
      <c r="F641" s="274"/>
    </row>
    <row r="642">
      <c r="F642" s="274"/>
    </row>
    <row r="643">
      <c r="F643" s="274"/>
    </row>
    <row r="644">
      <c r="F644" s="274"/>
    </row>
    <row r="645">
      <c r="F645" s="274"/>
    </row>
    <row r="646">
      <c r="F646" s="274"/>
    </row>
    <row r="647">
      <c r="F647" s="274"/>
    </row>
    <row r="648">
      <c r="F648" s="274"/>
    </row>
    <row r="649">
      <c r="F649" s="274"/>
    </row>
    <row r="650">
      <c r="F650" s="274"/>
    </row>
    <row r="651">
      <c r="F651" s="274"/>
    </row>
    <row r="652">
      <c r="F652" s="274"/>
    </row>
    <row r="653">
      <c r="F653" s="274"/>
    </row>
    <row r="654">
      <c r="F654" s="274"/>
    </row>
    <row r="655">
      <c r="F655" s="274"/>
    </row>
    <row r="656">
      <c r="F656" s="274"/>
    </row>
    <row r="657">
      <c r="F657" s="274"/>
    </row>
    <row r="658">
      <c r="F658" s="274"/>
    </row>
    <row r="659">
      <c r="F659" s="274"/>
    </row>
    <row r="660">
      <c r="F660" s="274"/>
    </row>
    <row r="661">
      <c r="F661" s="274"/>
    </row>
    <row r="662">
      <c r="F662" s="274"/>
    </row>
    <row r="663">
      <c r="F663" s="274"/>
    </row>
    <row r="664">
      <c r="F664" s="274"/>
    </row>
    <row r="665">
      <c r="F665" s="274"/>
    </row>
    <row r="666">
      <c r="F666" s="274"/>
    </row>
    <row r="667">
      <c r="F667" s="274"/>
    </row>
    <row r="668">
      <c r="F668" s="274"/>
    </row>
    <row r="669">
      <c r="F669" s="274"/>
    </row>
    <row r="670">
      <c r="F670" s="274"/>
    </row>
    <row r="671">
      <c r="F671" s="274"/>
    </row>
    <row r="672">
      <c r="F672" s="274"/>
    </row>
    <row r="673">
      <c r="F673" s="274"/>
    </row>
    <row r="674">
      <c r="F674" s="274"/>
    </row>
    <row r="675">
      <c r="F675" s="274"/>
    </row>
    <row r="676">
      <c r="F676" s="274"/>
    </row>
    <row r="677">
      <c r="F677" s="274"/>
    </row>
    <row r="678">
      <c r="F678" s="274"/>
    </row>
    <row r="679">
      <c r="F679" s="274"/>
    </row>
    <row r="680">
      <c r="F680" s="274"/>
    </row>
    <row r="681">
      <c r="F681" s="274"/>
    </row>
    <row r="682">
      <c r="F682" s="274"/>
    </row>
    <row r="683">
      <c r="F683" s="274"/>
    </row>
    <row r="684">
      <c r="F684" s="274"/>
    </row>
    <row r="685">
      <c r="F685" s="274"/>
    </row>
    <row r="686">
      <c r="F686" s="274"/>
    </row>
    <row r="687">
      <c r="F687" s="274"/>
    </row>
    <row r="688">
      <c r="F688" s="274"/>
    </row>
    <row r="689">
      <c r="F689" s="274"/>
    </row>
    <row r="690">
      <c r="F690" s="274"/>
    </row>
    <row r="691">
      <c r="F691" s="274"/>
    </row>
    <row r="692">
      <c r="F692" s="274"/>
    </row>
    <row r="693">
      <c r="F693" s="274"/>
    </row>
    <row r="694">
      <c r="F694" s="274"/>
    </row>
    <row r="695">
      <c r="F695" s="274"/>
    </row>
    <row r="696">
      <c r="F696" s="274"/>
    </row>
    <row r="697">
      <c r="F697" s="274"/>
    </row>
    <row r="698">
      <c r="F698" s="274"/>
    </row>
    <row r="699">
      <c r="F699" s="274"/>
    </row>
    <row r="700">
      <c r="F700" s="274"/>
    </row>
    <row r="701">
      <c r="F701" s="274"/>
    </row>
    <row r="702">
      <c r="F702" s="274"/>
    </row>
    <row r="703">
      <c r="F703" s="274"/>
    </row>
    <row r="704">
      <c r="F704" s="274"/>
    </row>
    <row r="705">
      <c r="F705" s="274"/>
    </row>
    <row r="706">
      <c r="F706" s="274"/>
    </row>
    <row r="707">
      <c r="F707" s="274"/>
    </row>
    <row r="708">
      <c r="F708" s="274"/>
    </row>
    <row r="709">
      <c r="F709" s="274"/>
    </row>
    <row r="710">
      <c r="F710" s="274"/>
    </row>
    <row r="711">
      <c r="F711" s="274"/>
    </row>
    <row r="712">
      <c r="F712" s="274"/>
    </row>
    <row r="713">
      <c r="F713" s="274"/>
    </row>
    <row r="714">
      <c r="F714" s="274"/>
    </row>
    <row r="715">
      <c r="F715" s="274"/>
    </row>
    <row r="716">
      <c r="F716" s="274"/>
    </row>
    <row r="717">
      <c r="F717" s="274"/>
    </row>
    <row r="718">
      <c r="F718" s="274"/>
    </row>
    <row r="719">
      <c r="F719" s="274"/>
    </row>
    <row r="720">
      <c r="F720" s="274"/>
    </row>
    <row r="721">
      <c r="F721" s="274"/>
    </row>
    <row r="722">
      <c r="F722" s="274"/>
    </row>
    <row r="723">
      <c r="F723" s="274"/>
    </row>
    <row r="724">
      <c r="F724" s="274"/>
    </row>
    <row r="725">
      <c r="F725" s="274"/>
    </row>
    <row r="726">
      <c r="F726" s="274"/>
    </row>
    <row r="727">
      <c r="F727" s="274"/>
    </row>
    <row r="728">
      <c r="F728" s="274"/>
    </row>
    <row r="729">
      <c r="F729" s="274"/>
    </row>
    <row r="730">
      <c r="F730" s="274"/>
    </row>
    <row r="731">
      <c r="F731" s="274"/>
    </row>
    <row r="732">
      <c r="F732" s="274"/>
    </row>
    <row r="733">
      <c r="F733" s="274"/>
    </row>
    <row r="734">
      <c r="F734" s="274"/>
    </row>
    <row r="735">
      <c r="F735" s="274"/>
    </row>
    <row r="736">
      <c r="F736" s="274"/>
    </row>
    <row r="737">
      <c r="F737" s="274"/>
    </row>
    <row r="738">
      <c r="F738" s="274"/>
    </row>
    <row r="739">
      <c r="F739" s="274"/>
    </row>
    <row r="740">
      <c r="F740" s="274"/>
    </row>
    <row r="741">
      <c r="F741" s="274"/>
    </row>
    <row r="742">
      <c r="F742" s="274"/>
    </row>
    <row r="743">
      <c r="F743" s="274"/>
    </row>
    <row r="744">
      <c r="F744" s="274"/>
    </row>
    <row r="745">
      <c r="F745" s="274"/>
    </row>
    <row r="746">
      <c r="F746" s="274"/>
    </row>
    <row r="747">
      <c r="F747" s="274"/>
    </row>
    <row r="748">
      <c r="F748" s="274"/>
    </row>
    <row r="749">
      <c r="F749" s="274"/>
    </row>
    <row r="750">
      <c r="F750" s="274"/>
    </row>
    <row r="751">
      <c r="F751" s="274"/>
    </row>
    <row r="752">
      <c r="F752" s="274"/>
    </row>
    <row r="753">
      <c r="F753" s="274"/>
    </row>
    <row r="754">
      <c r="F754" s="274"/>
    </row>
    <row r="755">
      <c r="F755" s="274"/>
    </row>
    <row r="756">
      <c r="F756" s="274"/>
    </row>
    <row r="757">
      <c r="F757" s="274"/>
    </row>
    <row r="758">
      <c r="F758" s="274"/>
    </row>
    <row r="759">
      <c r="F759" s="274"/>
    </row>
    <row r="760">
      <c r="F760" s="274"/>
    </row>
    <row r="761">
      <c r="F761" s="274"/>
    </row>
    <row r="762">
      <c r="F762" s="274"/>
    </row>
    <row r="763">
      <c r="F763" s="274"/>
    </row>
    <row r="764">
      <c r="F764" s="274"/>
    </row>
    <row r="765">
      <c r="F765" s="274"/>
    </row>
    <row r="766">
      <c r="F766" s="274"/>
    </row>
    <row r="767">
      <c r="F767" s="274"/>
    </row>
    <row r="768">
      <c r="F768" s="274"/>
    </row>
    <row r="769">
      <c r="F769" s="274"/>
    </row>
    <row r="770">
      <c r="F770" s="274"/>
    </row>
    <row r="771">
      <c r="F771" s="274"/>
    </row>
    <row r="772">
      <c r="F772" s="274"/>
    </row>
    <row r="773">
      <c r="F773" s="274"/>
    </row>
    <row r="774">
      <c r="F774" s="274"/>
    </row>
    <row r="775">
      <c r="F775" s="274"/>
    </row>
    <row r="776">
      <c r="F776" s="274"/>
    </row>
    <row r="777">
      <c r="F777" s="274"/>
    </row>
    <row r="778">
      <c r="F778" s="274"/>
    </row>
    <row r="779">
      <c r="F779" s="274"/>
    </row>
    <row r="780">
      <c r="F780" s="274"/>
    </row>
    <row r="781">
      <c r="F781" s="274"/>
    </row>
    <row r="782">
      <c r="F782" s="274"/>
    </row>
    <row r="783">
      <c r="F783" s="274"/>
    </row>
    <row r="784">
      <c r="F784" s="274"/>
    </row>
    <row r="785">
      <c r="F785" s="274"/>
    </row>
    <row r="786">
      <c r="F786" s="274"/>
    </row>
    <row r="787">
      <c r="F787" s="274"/>
    </row>
    <row r="788">
      <c r="F788" s="274"/>
    </row>
    <row r="789">
      <c r="F789" s="274"/>
    </row>
    <row r="790">
      <c r="F790" s="274"/>
    </row>
    <row r="791">
      <c r="F791" s="274"/>
    </row>
    <row r="792">
      <c r="F792" s="274"/>
    </row>
    <row r="793">
      <c r="F793" s="274"/>
    </row>
    <row r="794">
      <c r="F794" s="274"/>
    </row>
    <row r="795">
      <c r="F795" s="274"/>
    </row>
    <row r="796">
      <c r="F796" s="274"/>
    </row>
    <row r="797">
      <c r="F797" s="274"/>
    </row>
    <row r="798">
      <c r="F798" s="274"/>
    </row>
    <row r="799">
      <c r="F799" s="274"/>
    </row>
    <row r="800">
      <c r="F800" s="274"/>
    </row>
    <row r="801">
      <c r="F801" s="274"/>
    </row>
    <row r="802">
      <c r="F802" s="274"/>
    </row>
    <row r="803">
      <c r="F803" s="274"/>
    </row>
    <row r="804">
      <c r="F804" s="274"/>
    </row>
    <row r="805">
      <c r="F805" s="274"/>
    </row>
    <row r="806">
      <c r="F806" s="274"/>
    </row>
    <row r="807">
      <c r="F807" s="274"/>
    </row>
    <row r="808">
      <c r="F808" s="274"/>
    </row>
    <row r="809">
      <c r="F809" s="274"/>
    </row>
    <row r="810">
      <c r="F810" s="274"/>
    </row>
    <row r="811">
      <c r="F811" s="274"/>
    </row>
    <row r="812">
      <c r="F812" s="274"/>
    </row>
    <row r="813">
      <c r="F813" s="274"/>
    </row>
    <row r="814">
      <c r="F814" s="274"/>
    </row>
    <row r="815">
      <c r="F815" s="274"/>
    </row>
    <row r="816">
      <c r="F816" s="274"/>
    </row>
    <row r="817">
      <c r="F817" s="274"/>
    </row>
    <row r="818">
      <c r="F818" s="274"/>
    </row>
    <row r="819">
      <c r="F819" s="274"/>
    </row>
    <row r="820">
      <c r="F820" s="274"/>
    </row>
    <row r="821">
      <c r="F821" s="274"/>
    </row>
    <row r="822">
      <c r="F822" s="274"/>
    </row>
    <row r="823">
      <c r="F823" s="274"/>
    </row>
    <row r="824">
      <c r="F824" s="274"/>
    </row>
    <row r="825">
      <c r="F825" s="274"/>
    </row>
    <row r="826">
      <c r="F826" s="274"/>
    </row>
    <row r="827">
      <c r="F827" s="274"/>
    </row>
    <row r="828">
      <c r="F828" s="274"/>
    </row>
    <row r="829">
      <c r="F829" s="274"/>
    </row>
    <row r="830">
      <c r="F830" s="274"/>
    </row>
    <row r="831">
      <c r="F831" s="274"/>
    </row>
    <row r="832">
      <c r="F832" s="274"/>
    </row>
    <row r="833">
      <c r="F833" s="274"/>
    </row>
    <row r="834">
      <c r="F834" s="274"/>
    </row>
    <row r="835">
      <c r="F835" s="274"/>
    </row>
    <row r="836">
      <c r="F836" s="274"/>
    </row>
    <row r="837">
      <c r="F837" s="274"/>
    </row>
    <row r="838">
      <c r="F838" s="274"/>
    </row>
    <row r="839">
      <c r="F839" s="274"/>
    </row>
    <row r="840">
      <c r="F840" s="274"/>
    </row>
    <row r="841">
      <c r="F841" s="274"/>
    </row>
    <row r="842">
      <c r="F842" s="274"/>
    </row>
    <row r="843">
      <c r="F843" s="274"/>
    </row>
    <row r="844">
      <c r="F844" s="274"/>
    </row>
    <row r="845">
      <c r="F845" s="274"/>
    </row>
    <row r="846">
      <c r="F846" s="274"/>
    </row>
    <row r="847">
      <c r="F847" s="274"/>
    </row>
    <row r="848">
      <c r="F848" s="274"/>
    </row>
    <row r="849">
      <c r="F849" s="274"/>
    </row>
    <row r="850">
      <c r="F850" s="274"/>
    </row>
    <row r="851">
      <c r="F851" s="274"/>
    </row>
    <row r="852">
      <c r="F852" s="274"/>
    </row>
    <row r="853">
      <c r="F853" s="274"/>
    </row>
    <row r="854">
      <c r="F854" s="274"/>
    </row>
    <row r="855">
      <c r="F855" s="274"/>
    </row>
    <row r="856">
      <c r="F856" s="274"/>
    </row>
    <row r="857">
      <c r="F857" s="274"/>
    </row>
    <row r="858">
      <c r="F858" s="274"/>
    </row>
    <row r="859">
      <c r="F859" s="274"/>
    </row>
    <row r="860">
      <c r="F860" s="274"/>
    </row>
    <row r="861">
      <c r="F861" s="274"/>
    </row>
    <row r="862">
      <c r="F862" s="274"/>
    </row>
    <row r="863">
      <c r="F863" s="274"/>
    </row>
    <row r="864">
      <c r="F864" s="274"/>
    </row>
    <row r="865">
      <c r="F865" s="274"/>
    </row>
    <row r="866">
      <c r="F866" s="274"/>
    </row>
    <row r="867">
      <c r="F867" s="274"/>
    </row>
    <row r="868">
      <c r="F868" s="274"/>
    </row>
    <row r="869">
      <c r="F869" s="274"/>
    </row>
    <row r="870">
      <c r="F870" s="274"/>
    </row>
    <row r="871">
      <c r="F871" s="274"/>
    </row>
    <row r="872">
      <c r="F872" s="274"/>
    </row>
    <row r="873">
      <c r="F873" s="274"/>
    </row>
    <row r="874">
      <c r="F874" s="274"/>
    </row>
    <row r="875">
      <c r="F875" s="274"/>
    </row>
    <row r="876">
      <c r="F876" s="274"/>
    </row>
    <row r="877">
      <c r="F877" s="274"/>
    </row>
    <row r="878">
      <c r="F878" s="274"/>
    </row>
    <row r="879">
      <c r="F879" s="274"/>
    </row>
    <row r="880">
      <c r="F880" s="274"/>
    </row>
    <row r="881">
      <c r="F881" s="274"/>
    </row>
    <row r="882">
      <c r="F882" s="274"/>
    </row>
    <row r="883">
      <c r="F883" s="274"/>
    </row>
    <row r="884">
      <c r="F884" s="274"/>
    </row>
    <row r="885">
      <c r="F885" s="274"/>
    </row>
    <row r="886">
      <c r="F886" s="274"/>
    </row>
    <row r="887">
      <c r="F887" s="274"/>
    </row>
    <row r="888">
      <c r="F888" s="274"/>
    </row>
    <row r="889">
      <c r="F889" s="274"/>
    </row>
    <row r="890">
      <c r="F890" s="274"/>
    </row>
    <row r="891">
      <c r="F891" s="274"/>
    </row>
    <row r="892">
      <c r="F892" s="274"/>
    </row>
    <row r="893">
      <c r="F893" s="274"/>
    </row>
    <row r="894">
      <c r="F894" s="274"/>
    </row>
    <row r="895">
      <c r="F895" s="274"/>
    </row>
    <row r="896">
      <c r="F896" s="274"/>
    </row>
    <row r="897">
      <c r="F897" s="274"/>
    </row>
    <row r="898">
      <c r="F898" s="274"/>
    </row>
    <row r="899">
      <c r="F899" s="274"/>
    </row>
    <row r="900">
      <c r="F900" s="274"/>
    </row>
    <row r="901">
      <c r="F901" s="274"/>
    </row>
    <row r="902">
      <c r="F902" s="274"/>
    </row>
    <row r="903">
      <c r="F903" s="274"/>
    </row>
    <row r="904">
      <c r="F904" s="274"/>
    </row>
    <row r="905">
      <c r="F905" s="274"/>
    </row>
    <row r="906">
      <c r="F906" s="274"/>
    </row>
    <row r="907">
      <c r="F907" s="274"/>
    </row>
    <row r="908">
      <c r="F908" s="274"/>
    </row>
    <row r="909">
      <c r="F909" s="274"/>
    </row>
    <row r="910">
      <c r="F910" s="274"/>
    </row>
    <row r="911">
      <c r="F911" s="274"/>
    </row>
    <row r="912">
      <c r="F912" s="274"/>
    </row>
    <row r="913">
      <c r="F913" s="274"/>
    </row>
    <row r="914">
      <c r="F914" s="274"/>
    </row>
    <row r="915">
      <c r="F915" s="274"/>
    </row>
    <row r="916">
      <c r="F916" s="274"/>
    </row>
    <row r="917">
      <c r="F917" s="274"/>
    </row>
    <row r="918">
      <c r="F918" s="274"/>
    </row>
    <row r="919">
      <c r="F919" s="274"/>
    </row>
    <row r="920">
      <c r="F920" s="274"/>
    </row>
    <row r="921">
      <c r="F921" s="274"/>
    </row>
    <row r="922">
      <c r="F922" s="274"/>
    </row>
    <row r="923">
      <c r="F923" s="274"/>
    </row>
    <row r="924">
      <c r="F924" s="274"/>
    </row>
    <row r="925">
      <c r="F925" s="274"/>
    </row>
    <row r="926">
      <c r="F926" s="274"/>
    </row>
    <row r="927">
      <c r="F927" s="274"/>
    </row>
    <row r="928">
      <c r="F928" s="274"/>
    </row>
    <row r="929">
      <c r="F929" s="274"/>
    </row>
    <row r="930">
      <c r="F930" s="274"/>
    </row>
    <row r="931">
      <c r="F931" s="274"/>
    </row>
    <row r="932">
      <c r="F932" s="274"/>
    </row>
    <row r="933">
      <c r="F933" s="274"/>
    </row>
    <row r="934">
      <c r="F934" s="274"/>
    </row>
    <row r="935">
      <c r="F935" s="274"/>
    </row>
    <row r="936">
      <c r="F936" s="274"/>
    </row>
    <row r="937">
      <c r="F937" s="274"/>
    </row>
    <row r="938">
      <c r="F938" s="274"/>
    </row>
    <row r="939">
      <c r="F939" s="274"/>
    </row>
    <row r="940">
      <c r="F940" s="274"/>
    </row>
    <row r="941">
      <c r="F941" s="274"/>
    </row>
    <row r="942">
      <c r="F942" s="274"/>
    </row>
    <row r="943">
      <c r="F943" s="274"/>
    </row>
    <row r="944">
      <c r="F944" s="274"/>
    </row>
    <row r="945">
      <c r="F945" s="274"/>
    </row>
    <row r="946">
      <c r="F946" s="274"/>
    </row>
    <row r="947">
      <c r="F947" s="274"/>
    </row>
    <row r="948">
      <c r="F948" s="274"/>
    </row>
    <row r="949">
      <c r="F949" s="274"/>
    </row>
    <row r="950">
      <c r="F950" s="274"/>
    </row>
    <row r="951">
      <c r="F951" s="274"/>
    </row>
    <row r="952">
      <c r="F952" s="274"/>
    </row>
    <row r="953">
      <c r="F953" s="274"/>
    </row>
    <row r="954">
      <c r="F954" s="274"/>
    </row>
    <row r="955">
      <c r="F955" s="274"/>
    </row>
    <row r="956">
      <c r="F956" s="274"/>
    </row>
    <row r="957">
      <c r="F957" s="274"/>
    </row>
    <row r="958">
      <c r="F958" s="274"/>
    </row>
    <row r="959">
      <c r="F959" s="274"/>
    </row>
    <row r="960">
      <c r="F960" s="274"/>
    </row>
    <row r="961">
      <c r="F961" s="274"/>
    </row>
    <row r="962">
      <c r="F962" s="274"/>
    </row>
    <row r="963">
      <c r="F963" s="274"/>
    </row>
    <row r="964">
      <c r="F964" s="274"/>
    </row>
    <row r="965">
      <c r="F965" s="274"/>
    </row>
    <row r="966">
      <c r="F966" s="274"/>
    </row>
    <row r="967">
      <c r="F967" s="274"/>
    </row>
    <row r="968">
      <c r="F968" s="274"/>
    </row>
    <row r="969">
      <c r="F969" s="274"/>
    </row>
    <row r="970">
      <c r="F970" s="274"/>
    </row>
    <row r="971">
      <c r="F971" s="274"/>
    </row>
    <row r="972">
      <c r="F972" s="274"/>
    </row>
    <row r="973">
      <c r="F973" s="274"/>
    </row>
    <row r="974">
      <c r="F974" s="274"/>
    </row>
    <row r="975">
      <c r="F975" s="274"/>
    </row>
    <row r="976">
      <c r="F976" s="274"/>
    </row>
    <row r="977">
      <c r="F977" s="274"/>
    </row>
    <row r="978">
      <c r="F978" s="274"/>
    </row>
    <row r="979">
      <c r="F979" s="274"/>
    </row>
    <row r="980">
      <c r="F980" s="274"/>
    </row>
    <row r="981">
      <c r="F981" s="274"/>
    </row>
    <row r="982">
      <c r="F982" s="274"/>
    </row>
    <row r="983">
      <c r="F983" s="274"/>
    </row>
    <row r="984">
      <c r="F984" s="274"/>
    </row>
    <row r="985">
      <c r="F985" s="274"/>
    </row>
    <row r="986">
      <c r="F986" s="274"/>
    </row>
    <row r="987">
      <c r="F987" s="274"/>
    </row>
    <row r="988">
      <c r="F988" s="274"/>
    </row>
    <row r="989">
      <c r="F989" s="274"/>
    </row>
    <row r="990">
      <c r="F990" s="274"/>
    </row>
  </sheetData>
  <autoFilter ref="$A$1:$T$55">
    <sortState ref="A1:T55">
      <sortCondition ref="A1:A55"/>
    </sortState>
  </autoFilter>
  <mergeCells count="2">
    <mergeCell ref="C57:D57"/>
    <mergeCell ref="C64:E64"/>
  </mergeCells>
  <conditionalFormatting sqref="B2:B55">
    <cfRule type="containsText" dxfId="3" priority="1" operator="containsText" text="Yes">
      <formula>NOT(ISERROR(SEARCH(("Yes"),(B2))))</formula>
    </cfRule>
  </conditionalFormatting>
  <conditionalFormatting sqref="B1:B55">
    <cfRule type="containsText" dxfId="5" priority="2" operator="containsText" text="No">
      <formula>NOT(ISERROR(SEARCH(("No"),(B1))))</formula>
    </cfRule>
  </conditionalFormatting>
  <conditionalFormatting sqref="B1:B55">
    <cfRule type="cellIs" dxfId="4" priority="3" operator="equal">
      <formula>"Not Found"</formula>
    </cfRule>
  </conditionalFormatting>
  <hyperlinks>
    <hyperlink r:id="rId1" location="slide=id.g2edd551b383_0_743" ref="C64"/>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0"/>
    <col customWidth="1" min="2" max="2" width="22.88"/>
    <col customWidth="1" min="3" max="3" width="63.75"/>
    <col customWidth="1" min="4" max="4" width="26.88"/>
    <col customWidth="1" min="5" max="5" width="12.88"/>
    <col customWidth="1" min="6" max="15" width="26.88"/>
  </cols>
  <sheetData>
    <row r="1">
      <c r="A1" s="430" t="s">
        <v>161</v>
      </c>
      <c r="B1" s="460" t="s">
        <v>469</v>
      </c>
      <c r="C1" s="462" t="s">
        <v>470</v>
      </c>
      <c r="D1" s="431" t="s">
        <v>307</v>
      </c>
      <c r="E1" s="430" t="s">
        <v>377</v>
      </c>
      <c r="F1" s="463"/>
      <c r="G1" s="463"/>
      <c r="H1" s="463"/>
      <c r="I1" s="463"/>
      <c r="J1" s="463"/>
      <c r="K1" s="463"/>
      <c r="L1" s="463"/>
      <c r="M1" s="463"/>
      <c r="N1" s="463"/>
      <c r="O1" s="463"/>
    </row>
    <row r="2">
      <c r="A2" s="464" t="s">
        <v>207</v>
      </c>
      <c r="B2" s="465">
        <v>6.0</v>
      </c>
      <c r="C2" s="467" t="str">
        <f t="shared" ref="C2:C3" si="1">IF(B2&lt;10, "Low", IF(B2&lt;=30, "Medium", "High"))</f>
        <v>Low</v>
      </c>
      <c r="D2" s="468">
        <f t="shared" ref="D2:D3" si="2">IF(B2&lt;=9, 0.33, IF(B2&lt;=30, 0.67, 1))</f>
        <v>0.33</v>
      </c>
      <c r="E2" s="469" t="s">
        <v>472</v>
      </c>
      <c r="F2" s="463"/>
      <c r="G2" s="463"/>
      <c r="H2" s="463"/>
      <c r="I2" s="463"/>
      <c r="J2" s="463"/>
      <c r="K2" s="463"/>
      <c r="L2" s="463"/>
      <c r="M2" s="463"/>
      <c r="N2" s="463"/>
      <c r="O2" s="463"/>
    </row>
    <row r="3">
      <c r="A3" s="464" t="s">
        <v>240</v>
      </c>
      <c r="B3" s="465">
        <v>2.0</v>
      </c>
      <c r="C3" s="467" t="str">
        <f t="shared" si="1"/>
        <v>Low</v>
      </c>
      <c r="D3" s="468">
        <f t="shared" si="2"/>
        <v>0.33</v>
      </c>
      <c r="E3" s="469" t="s">
        <v>473</v>
      </c>
      <c r="F3" s="464"/>
      <c r="G3" s="465"/>
      <c r="H3" s="465"/>
      <c r="I3" s="465"/>
      <c r="J3" s="465"/>
      <c r="K3" s="465"/>
      <c r="L3" s="465"/>
      <c r="M3" s="465"/>
      <c r="N3" s="465"/>
      <c r="O3" s="465"/>
    </row>
    <row r="4">
      <c r="A4" s="464" t="s">
        <v>268</v>
      </c>
      <c r="B4" s="474" t="s">
        <v>382</v>
      </c>
      <c r="C4" s="474" t="s">
        <v>382</v>
      </c>
      <c r="D4" s="475" t="s">
        <v>382</v>
      </c>
      <c r="E4" s="476"/>
      <c r="F4" s="464"/>
      <c r="G4" s="465"/>
      <c r="H4" s="465"/>
      <c r="I4" s="465"/>
      <c r="J4" s="465"/>
      <c r="K4" s="465"/>
      <c r="L4" s="465"/>
      <c r="M4" s="465"/>
      <c r="N4" s="465"/>
      <c r="O4" s="465"/>
    </row>
    <row r="5">
      <c r="A5" s="464" t="s">
        <v>329</v>
      </c>
      <c r="B5" s="465">
        <v>3.0</v>
      </c>
      <c r="C5" s="467" t="str">
        <f t="shared" ref="C5:C6" si="3">IF(B5&lt;10, "Low", IF(B5&lt;=30, "Medium", "High"))</f>
        <v>Low</v>
      </c>
      <c r="D5" s="468">
        <f t="shared" ref="D5:D6" si="4">IF(B5&lt;=9, 0.33, IF(B5&lt;=30, 0.67, 1))</f>
        <v>0.33</v>
      </c>
      <c r="E5" s="465"/>
      <c r="F5" s="477"/>
      <c r="G5" s="478"/>
      <c r="H5" s="478"/>
      <c r="I5" s="478"/>
      <c r="J5" s="478"/>
      <c r="K5" s="478"/>
      <c r="L5" s="478"/>
      <c r="M5" s="478"/>
      <c r="N5" s="478"/>
      <c r="O5" s="478"/>
    </row>
    <row r="6">
      <c r="A6" s="464" t="s">
        <v>331</v>
      </c>
      <c r="B6" s="465">
        <v>1.0</v>
      </c>
      <c r="C6" s="467" t="str">
        <f t="shared" si="3"/>
        <v>Low</v>
      </c>
      <c r="D6" s="468">
        <f t="shared" si="4"/>
        <v>0.33</v>
      </c>
      <c r="E6" s="465"/>
      <c r="F6" s="464"/>
      <c r="G6" s="465"/>
      <c r="H6" s="465"/>
      <c r="I6" s="465"/>
      <c r="J6" s="465"/>
      <c r="K6" s="465"/>
      <c r="L6" s="465"/>
      <c r="M6" s="465"/>
      <c r="N6" s="465"/>
      <c r="O6" s="465"/>
    </row>
    <row r="7">
      <c r="A7" s="464" t="s">
        <v>333</v>
      </c>
      <c r="B7" s="474" t="s">
        <v>382</v>
      </c>
      <c r="C7" s="474" t="s">
        <v>382</v>
      </c>
      <c r="D7" s="475" t="s">
        <v>382</v>
      </c>
      <c r="E7" s="476"/>
      <c r="F7" s="464"/>
      <c r="G7" s="465"/>
      <c r="H7" s="465"/>
      <c r="I7" s="465"/>
      <c r="J7" s="465"/>
      <c r="K7" s="465"/>
      <c r="L7" s="465"/>
      <c r="M7" s="465"/>
      <c r="N7" s="465"/>
      <c r="O7" s="465"/>
    </row>
    <row r="8">
      <c r="A8" s="464" t="s">
        <v>225</v>
      </c>
      <c r="B8" s="474" t="s">
        <v>382</v>
      </c>
      <c r="C8" s="474" t="s">
        <v>382</v>
      </c>
      <c r="D8" s="475" t="s">
        <v>382</v>
      </c>
      <c r="E8" s="476"/>
      <c r="F8" s="464"/>
      <c r="G8" s="465"/>
      <c r="H8" s="465"/>
      <c r="I8" s="465"/>
      <c r="J8" s="465"/>
      <c r="K8" s="465"/>
      <c r="L8" s="465"/>
      <c r="M8" s="465"/>
      <c r="N8" s="465"/>
      <c r="O8" s="465"/>
    </row>
    <row r="9">
      <c r="A9" s="464" t="s">
        <v>338</v>
      </c>
      <c r="B9" s="467">
        <v>5.0</v>
      </c>
      <c r="C9" s="467" t="str">
        <f>IF(B9&lt;10, "Low", IF(B9&lt;=30, "Medium", "High"))</f>
        <v>Low</v>
      </c>
      <c r="D9" s="468">
        <f>IF(B9&lt;=9, 0.33, IF(B9&lt;=30, 0.67, 1))</f>
        <v>0.33</v>
      </c>
      <c r="E9" s="465"/>
      <c r="F9" s="464"/>
      <c r="G9" s="465"/>
      <c r="H9" s="465"/>
      <c r="I9" s="465"/>
      <c r="J9" s="465"/>
      <c r="K9" s="465"/>
      <c r="L9" s="465"/>
      <c r="M9" s="465"/>
      <c r="N9" s="465"/>
      <c r="O9" s="465"/>
    </row>
    <row r="10">
      <c r="A10" s="464" t="s">
        <v>340</v>
      </c>
      <c r="B10" s="474" t="s">
        <v>382</v>
      </c>
      <c r="C10" s="474" t="s">
        <v>382</v>
      </c>
      <c r="D10" s="475" t="s">
        <v>382</v>
      </c>
      <c r="E10" s="476"/>
      <c r="F10" s="464"/>
      <c r="G10" s="465"/>
      <c r="H10" s="465"/>
      <c r="I10" s="465"/>
      <c r="J10" s="465"/>
      <c r="K10" s="465"/>
      <c r="L10" s="465"/>
      <c r="M10" s="465"/>
      <c r="N10" s="465"/>
      <c r="O10" s="465"/>
    </row>
    <row r="11">
      <c r="A11" s="464" t="s">
        <v>342</v>
      </c>
      <c r="B11" s="474" t="s">
        <v>382</v>
      </c>
      <c r="C11" s="474" t="s">
        <v>382</v>
      </c>
      <c r="D11" s="475" t="s">
        <v>382</v>
      </c>
      <c r="E11" s="476"/>
      <c r="F11" s="476"/>
      <c r="G11" s="476"/>
      <c r="H11" s="476"/>
      <c r="I11" s="476"/>
      <c r="J11" s="476"/>
      <c r="K11" s="476"/>
      <c r="L11" s="476"/>
      <c r="M11" s="476"/>
      <c r="N11" s="476"/>
      <c r="O11" s="476"/>
    </row>
    <row r="12">
      <c r="A12" s="464" t="s">
        <v>346</v>
      </c>
      <c r="B12" s="474" t="s">
        <v>382</v>
      </c>
      <c r="C12" s="474" t="s">
        <v>382</v>
      </c>
      <c r="D12" s="475" t="s">
        <v>382</v>
      </c>
      <c r="E12" s="476"/>
      <c r="F12" s="476"/>
      <c r="G12" s="476"/>
      <c r="H12" s="476"/>
      <c r="I12" s="476"/>
      <c r="J12" s="476"/>
      <c r="K12" s="476"/>
      <c r="L12" s="476"/>
      <c r="M12" s="476"/>
      <c r="N12" s="476"/>
      <c r="O12" s="476"/>
    </row>
    <row r="13">
      <c r="A13" s="464" t="s">
        <v>351</v>
      </c>
      <c r="B13" s="465">
        <v>1.0</v>
      </c>
      <c r="C13" s="467" t="str">
        <f t="shared" ref="C13:C14" si="5">IF(B13&lt;10, "Low", IF(B13&lt;=30, "Medium", "High"))</f>
        <v>Low</v>
      </c>
      <c r="D13" s="468">
        <f t="shared" ref="D13:D14" si="6">IF(B13&lt;=9, 0.33, IF(B13&lt;=30, 0.67, 1))</f>
        <v>0.33</v>
      </c>
      <c r="E13" s="465"/>
      <c r="F13" s="465"/>
      <c r="G13" s="465"/>
      <c r="H13" s="465"/>
      <c r="I13" s="465"/>
      <c r="J13" s="465"/>
      <c r="K13" s="465"/>
      <c r="L13" s="465"/>
      <c r="M13" s="465"/>
      <c r="N13" s="465"/>
      <c r="O13" s="465"/>
    </row>
    <row r="14">
      <c r="A14" s="464" t="s">
        <v>356</v>
      </c>
      <c r="B14" s="465">
        <v>1.0</v>
      </c>
      <c r="C14" s="467" t="str">
        <f t="shared" si="5"/>
        <v>Low</v>
      </c>
      <c r="D14" s="468">
        <f t="shared" si="6"/>
        <v>0.33</v>
      </c>
      <c r="E14" s="465"/>
      <c r="F14" s="465"/>
      <c r="G14" s="465"/>
      <c r="H14" s="465"/>
      <c r="I14" s="465"/>
      <c r="J14" s="465"/>
      <c r="K14" s="465"/>
      <c r="L14" s="465"/>
      <c r="M14" s="465"/>
      <c r="N14" s="465"/>
      <c r="O14" s="465"/>
    </row>
    <row r="15">
      <c r="A15" s="464" t="s">
        <v>357</v>
      </c>
      <c r="B15" s="474" t="s">
        <v>382</v>
      </c>
      <c r="C15" s="474" t="s">
        <v>382</v>
      </c>
      <c r="D15" s="475" t="s">
        <v>382</v>
      </c>
      <c r="E15" s="476"/>
      <c r="F15" s="476"/>
      <c r="G15" s="476"/>
      <c r="H15" s="476"/>
      <c r="I15" s="476"/>
      <c r="J15" s="476"/>
      <c r="K15" s="476"/>
      <c r="L15" s="476"/>
      <c r="M15" s="476"/>
      <c r="N15" s="476"/>
      <c r="O15" s="476"/>
    </row>
    <row r="16">
      <c r="A16" s="464" t="s">
        <v>276</v>
      </c>
      <c r="B16" s="465">
        <v>1.0</v>
      </c>
      <c r="C16" s="467" t="str">
        <f t="shared" ref="C16:C17" si="7">IF(B16&lt;10, "Low", IF(B16&lt;=30, "Medium", "High"))</f>
        <v>Low</v>
      </c>
      <c r="D16" s="468">
        <f t="shared" ref="D16:D17" si="8">IF(B16&lt;=9, 0.33, IF(B16&lt;=30, 0.67, 1))</f>
        <v>0.33</v>
      </c>
      <c r="E16" s="465"/>
      <c r="F16" s="465"/>
      <c r="G16" s="465"/>
      <c r="H16" s="465"/>
      <c r="I16" s="465"/>
      <c r="J16" s="465"/>
      <c r="K16" s="465"/>
      <c r="L16" s="465"/>
      <c r="M16" s="465"/>
      <c r="N16" s="465"/>
      <c r="O16" s="465"/>
    </row>
    <row r="17">
      <c r="A17" s="464" t="s">
        <v>285</v>
      </c>
      <c r="B17" s="465">
        <v>48.0</v>
      </c>
      <c r="C17" s="467" t="str">
        <f t="shared" si="7"/>
        <v>High</v>
      </c>
      <c r="D17" s="468">
        <f t="shared" si="8"/>
        <v>1</v>
      </c>
      <c r="E17" s="465"/>
      <c r="F17" s="465"/>
      <c r="G17" s="465"/>
      <c r="H17" s="465"/>
      <c r="I17" s="465"/>
      <c r="J17" s="465"/>
      <c r="K17" s="465"/>
      <c r="L17" s="465"/>
      <c r="M17" s="465"/>
      <c r="N17" s="465"/>
      <c r="O17" s="465"/>
    </row>
    <row r="18">
      <c r="A18" s="464" t="s">
        <v>360</v>
      </c>
      <c r="B18" s="474" t="s">
        <v>382</v>
      </c>
      <c r="C18" s="474" t="s">
        <v>382</v>
      </c>
      <c r="D18" s="475" t="s">
        <v>382</v>
      </c>
      <c r="E18" s="476"/>
      <c r="F18" s="476"/>
      <c r="G18" s="476"/>
      <c r="H18" s="476"/>
      <c r="I18" s="476"/>
      <c r="J18" s="476"/>
      <c r="K18" s="476"/>
      <c r="L18" s="476"/>
      <c r="M18" s="476"/>
      <c r="N18" s="476"/>
      <c r="O18" s="476"/>
    </row>
    <row r="19">
      <c r="A19" s="464" t="s">
        <v>362</v>
      </c>
      <c r="B19" s="465">
        <v>2.0</v>
      </c>
      <c r="C19" s="467" t="str">
        <f>IF(B19&lt;10, "Low", IF(B19&lt;=30, "Medium", "High"))</f>
        <v>Low</v>
      </c>
      <c r="D19" s="468">
        <f>IF(B19&lt;=9, 0.33, IF(B19&lt;=30, 0.67, 1))</f>
        <v>0.33</v>
      </c>
      <c r="E19" s="465"/>
      <c r="F19" s="465"/>
      <c r="G19" s="465"/>
      <c r="H19" s="465"/>
      <c r="I19" s="465"/>
      <c r="J19" s="465"/>
      <c r="K19" s="465"/>
      <c r="L19" s="465"/>
      <c r="M19" s="465"/>
      <c r="N19" s="465"/>
      <c r="O19" s="465"/>
    </row>
    <row r="20">
      <c r="A20" s="464" t="s">
        <v>363</v>
      </c>
      <c r="B20" s="474" t="s">
        <v>382</v>
      </c>
      <c r="C20" s="474" t="s">
        <v>382</v>
      </c>
      <c r="D20" s="475" t="s">
        <v>382</v>
      </c>
      <c r="E20" s="476"/>
      <c r="F20" s="476"/>
      <c r="G20" s="476"/>
      <c r="H20" s="476"/>
      <c r="I20" s="476"/>
      <c r="J20" s="476"/>
      <c r="K20" s="476"/>
      <c r="L20" s="476"/>
      <c r="M20" s="476"/>
      <c r="N20" s="476"/>
      <c r="O20" s="476"/>
    </row>
    <row r="21">
      <c r="A21" s="464" t="s">
        <v>255</v>
      </c>
      <c r="B21" s="465">
        <v>10.0</v>
      </c>
      <c r="C21" s="467" t="str">
        <f>IF(B21&lt;10, "Low", IF(B21&lt;=30, "Medium", "High"))</f>
        <v>Medium</v>
      </c>
      <c r="D21" s="468">
        <f>IF(B21&lt;=9, 0.33, IF(B21&lt;=30, 0.67, 1))</f>
        <v>0.67</v>
      </c>
      <c r="E21" s="465"/>
      <c r="F21" s="465"/>
      <c r="G21" s="465"/>
      <c r="H21" s="465"/>
      <c r="I21" s="465"/>
      <c r="J21" s="465"/>
      <c r="K21" s="465"/>
      <c r="L21" s="465"/>
      <c r="M21" s="465"/>
      <c r="N21" s="465"/>
      <c r="O21" s="465"/>
    </row>
    <row r="22">
      <c r="A22" s="464" t="s">
        <v>374</v>
      </c>
      <c r="B22" s="474" t="s">
        <v>382</v>
      </c>
      <c r="C22" s="474" t="s">
        <v>382</v>
      </c>
      <c r="D22" s="475" t="s">
        <v>382</v>
      </c>
      <c r="E22" s="476"/>
      <c r="F22" s="476"/>
      <c r="G22" s="476"/>
      <c r="H22" s="476"/>
      <c r="I22" s="476"/>
      <c r="J22" s="476"/>
      <c r="K22" s="476"/>
      <c r="L22" s="476"/>
      <c r="M22" s="476"/>
      <c r="N22" s="476"/>
      <c r="O22" s="476"/>
    </row>
    <row r="23">
      <c r="A23" s="464" t="s">
        <v>263</v>
      </c>
      <c r="B23" s="474" t="s">
        <v>382</v>
      </c>
      <c r="C23" s="474" t="s">
        <v>382</v>
      </c>
      <c r="D23" s="475" t="s">
        <v>382</v>
      </c>
      <c r="E23" s="476"/>
      <c r="F23" s="476"/>
      <c r="G23" s="476"/>
      <c r="H23" s="476"/>
      <c r="I23" s="476"/>
      <c r="J23" s="476"/>
      <c r="K23" s="476"/>
      <c r="L23" s="476"/>
      <c r="M23" s="476"/>
      <c r="N23" s="476"/>
      <c r="O23" s="476"/>
    </row>
    <row r="24">
      <c r="A24" s="464" t="s">
        <v>266</v>
      </c>
      <c r="B24" s="465">
        <v>3.0</v>
      </c>
      <c r="C24" s="467" t="str">
        <f>IF(B24&lt;10, "Low", IF(B24&lt;=30, "Medium", "High"))</f>
        <v>Low</v>
      </c>
      <c r="D24" s="468">
        <f>IF(B24&lt;=9, 0.33, IF(B24&lt;=30, 0.67, 1))</f>
        <v>0.33</v>
      </c>
      <c r="E24" s="465"/>
      <c r="F24" s="465"/>
      <c r="G24" s="465"/>
      <c r="H24" s="465"/>
      <c r="I24" s="465"/>
      <c r="J24" s="465"/>
      <c r="K24" s="465"/>
      <c r="L24" s="465"/>
      <c r="M24" s="465"/>
      <c r="N24" s="465"/>
      <c r="O24" s="465"/>
    </row>
    <row r="25">
      <c r="A25" s="464" t="s">
        <v>385</v>
      </c>
      <c r="B25" s="474" t="s">
        <v>382</v>
      </c>
      <c r="C25" s="474" t="s">
        <v>382</v>
      </c>
      <c r="D25" s="475" t="s">
        <v>382</v>
      </c>
      <c r="E25" s="476"/>
      <c r="F25" s="476"/>
      <c r="G25" s="476"/>
      <c r="H25" s="476"/>
      <c r="I25" s="476"/>
      <c r="J25" s="476"/>
      <c r="K25" s="476"/>
      <c r="L25" s="476"/>
      <c r="M25" s="476"/>
      <c r="N25" s="476"/>
      <c r="O25" s="476"/>
    </row>
    <row r="26">
      <c r="A26" s="464" t="s">
        <v>386</v>
      </c>
      <c r="B26" s="474" t="s">
        <v>382</v>
      </c>
      <c r="C26" s="474" t="s">
        <v>382</v>
      </c>
      <c r="D26" s="475" t="s">
        <v>382</v>
      </c>
      <c r="E26" s="476"/>
      <c r="F26" s="476"/>
      <c r="G26" s="476"/>
      <c r="H26" s="476"/>
      <c r="I26" s="476"/>
      <c r="J26" s="476"/>
      <c r="K26" s="476"/>
      <c r="L26" s="476"/>
      <c r="M26" s="476"/>
      <c r="N26" s="476"/>
      <c r="O26" s="476"/>
    </row>
    <row r="27">
      <c r="A27" s="464" t="s">
        <v>280</v>
      </c>
      <c r="B27" s="465">
        <v>18.0</v>
      </c>
      <c r="C27" s="467" t="str">
        <f>IF(B27&lt;10, "Low", IF(B27&lt;=30, "Medium", "High"))</f>
        <v>Medium</v>
      </c>
      <c r="D27" s="468">
        <f>IF(B27&lt;=9, 0.33, IF(B27&lt;=30, 0.67, 1))</f>
        <v>0.67</v>
      </c>
      <c r="E27" s="465"/>
      <c r="F27" s="465"/>
      <c r="G27" s="465"/>
      <c r="H27" s="465"/>
      <c r="I27" s="465"/>
      <c r="J27" s="465"/>
      <c r="K27" s="465"/>
      <c r="L27" s="465"/>
      <c r="M27" s="465"/>
      <c r="N27" s="465"/>
      <c r="O27" s="465"/>
    </row>
    <row r="28">
      <c r="A28" s="464" t="s">
        <v>392</v>
      </c>
      <c r="B28" s="474" t="s">
        <v>382</v>
      </c>
      <c r="C28" s="474" t="s">
        <v>382</v>
      </c>
      <c r="D28" s="475" t="s">
        <v>382</v>
      </c>
      <c r="E28" s="476"/>
      <c r="F28" s="476"/>
      <c r="G28" s="476"/>
      <c r="H28" s="476"/>
      <c r="I28" s="476"/>
      <c r="J28" s="476"/>
      <c r="K28" s="476"/>
      <c r="L28" s="476"/>
      <c r="M28" s="476"/>
      <c r="N28" s="476"/>
      <c r="O28" s="476"/>
    </row>
    <row r="29">
      <c r="A29" s="464" t="s">
        <v>394</v>
      </c>
      <c r="B29" s="474" t="s">
        <v>382</v>
      </c>
      <c r="C29" s="474" t="s">
        <v>382</v>
      </c>
      <c r="D29" s="475" t="s">
        <v>382</v>
      </c>
      <c r="E29" s="476"/>
      <c r="F29" s="476"/>
      <c r="G29" s="476"/>
      <c r="H29" s="476"/>
      <c r="I29" s="476"/>
      <c r="J29" s="476"/>
      <c r="K29" s="476"/>
      <c r="L29" s="476"/>
      <c r="M29" s="476"/>
      <c r="N29" s="476"/>
      <c r="O29" s="476"/>
    </row>
    <row r="30">
      <c r="A30" s="464" t="s">
        <v>396</v>
      </c>
      <c r="B30" s="465">
        <v>10.0</v>
      </c>
      <c r="C30" s="467" t="str">
        <f t="shared" ref="C30:C31" si="9">IF(B30&lt;10, "Low", IF(B30&lt;=30, "Medium", "High"))</f>
        <v>Medium</v>
      </c>
      <c r="D30" s="468">
        <f t="shared" ref="D30:D31" si="10">IF(B30&lt;=9, 0.33, IF(B30&lt;=30, 0.67, 1))</f>
        <v>0.67</v>
      </c>
      <c r="E30" s="465"/>
      <c r="F30" s="465"/>
      <c r="G30" s="465"/>
      <c r="H30" s="465"/>
      <c r="I30" s="465"/>
      <c r="J30" s="465"/>
      <c r="K30" s="465"/>
      <c r="L30" s="465"/>
      <c r="M30" s="465"/>
      <c r="N30" s="465"/>
      <c r="O30" s="465"/>
    </row>
    <row r="31">
      <c r="A31" s="464" t="s">
        <v>336</v>
      </c>
      <c r="B31" s="467">
        <v>2.0</v>
      </c>
      <c r="C31" s="467" t="str">
        <f t="shared" si="9"/>
        <v>Low</v>
      </c>
      <c r="D31" s="468">
        <f t="shared" si="10"/>
        <v>0.33</v>
      </c>
      <c r="E31" s="465"/>
      <c r="F31" s="465"/>
      <c r="G31" s="465"/>
      <c r="H31" s="465"/>
      <c r="I31" s="465"/>
      <c r="J31" s="465"/>
      <c r="K31" s="465"/>
      <c r="L31" s="465"/>
      <c r="M31" s="465"/>
      <c r="N31" s="465"/>
      <c r="O31" s="465"/>
    </row>
    <row r="32">
      <c r="A32" s="464" t="s">
        <v>343</v>
      </c>
      <c r="B32" s="474" t="s">
        <v>382</v>
      </c>
      <c r="C32" s="474" t="s">
        <v>382</v>
      </c>
      <c r="D32" s="475" t="s">
        <v>382</v>
      </c>
      <c r="E32" s="476"/>
      <c r="F32" s="476"/>
      <c r="G32" s="476"/>
      <c r="H32" s="476"/>
      <c r="I32" s="476"/>
      <c r="J32" s="476"/>
      <c r="K32" s="476"/>
      <c r="L32" s="476"/>
      <c r="M32" s="476"/>
      <c r="N32" s="476"/>
      <c r="O32" s="476"/>
    </row>
    <row r="33">
      <c r="A33" s="464" t="s">
        <v>399</v>
      </c>
      <c r="B33" s="465">
        <v>2.0</v>
      </c>
      <c r="C33" s="467" t="str">
        <f t="shared" ref="C33:C36" si="11">IF(B33&lt;10, "Low", IF(B33&lt;=30, "Medium", "High"))</f>
        <v>Low</v>
      </c>
      <c r="D33" s="468">
        <f t="shared" ref="D33:D36" si="12">IF(B33&lt;=9, 0.33, IF(B33&lt;=30, 0.67, 1))</f>
        <v>0.33</v>
      </c>
      <c r="E33" s="465"/>
      <c r="F33" s="465"/>
      <c r="G33" s="465"/>
      <c r="H33" s="465"/>
      <c r="I33" s="465"/>
      <c r="J33" s="465"/>
      <c r="K33" s="465"/>
      <c r="L33" s="465"/>
      <c r="M33" s="465"/>
      <c r="N33" s="465"/>
      <c r="O33" s="465"/>
    </row>
    <row r="34">
      <c r="A34" s="464" t="s">
        <v>401</v>
      </c>
      <c r="B34" s="467">
        <v>5.0</v>
      </c>
      <c r="C34" s="467" t="str">
        <f t="shared" si="11"/>
        <v>Low</v>
      </c>
      <c r="D34" s="468">
        <f t="shared" si="12"/>
        <v>0.33</v>
      </c>
      <c r="E34" s="465"/>
      <c r="F34" s="465"/>
      <c r="G34" s="465"/>
      <c r="H34" s="465"/>
      <c r="I34" s="465"/>
      <c r="J34" s="465"/>
      <c r="K34" s="465"/>
      <c r="L34" s="465"/>
      <c r="M34" s="465"/>
      <c r="N34" s="465"/>
      <c r="O34" s="465"/>
    </row>
    <row r="35">
      <c r="A35" s="464" t="s">
        <v>354</v>
      </c>
      <c r="B35" s="465">
        <v>31.0</v>
      </c>
      <c r="C35" s="467" t="str">
        <f t="shared" si="11"/>
        <v>High</v>
      </c>
      <c r="D35" s="468">
        <f t="shared" si="12"/>
        <v>1</v>
      </c>
      <c r="E35" s="465"/>
      <c r="F35" s="465"/>
      <c r="G35" s="465"/>
      <c r="H35" s="465"/>
      <c r="I35" s="465"/>
      <c r="J35" s="465"/>
      <c r="K35" s="465"/>
      <c r="L35" s="465"/>
      <c r="M35" s="465"/>
      <c r="N35" s="465"/>
      <c r="O35" s="465"/>
    </row>
    <row r="36">
      <c r="A36" s="464" t="s">
        <v>290</v>
      </c>
      <c r="B36" s="465">
        <v>86.0</v>
      </c>
      <c r="C36" s="467" t="str">
        <f t="shared" si="11"/>
        <v>High</v>
      </c>
      <c r="D36" s="468">
        <f t="shared" si="12"/>
        <v>1</v>
      </c>
      <c r="E36" s="465"/>
      <c r="F36" s="465"/>
      <c r="G36" s="465"/>
      <c r="H36" s="465"/>
      <c r="I36" s="465"/>
      <c r="J36" s="465"/>
      <c r="K36" s="465"/>
      <c r="L36" s="465"/>
      <c r="M36" s="465"/>
      <c r="N36" s="465"/>
      <c r="O36" s="465"/>
    </row>
    <row r="37">
      <c r="A37" s="464" t="s">
        <v>291</v>
      </c>
      <c r="B37" s="474" t="s">
        <v>382</v>
      </c>
      <c r="C37" s="474" t="s">
        <v>382</v>
      </c>
      <c r="D37" s="475" t="s">
        <v>382</v>
      </c>
      <c r="E37" s="476"/>
      <c r="F37" s="476"/>
      <c r="G37" s="476"/>
      <c r="H37" s="476"/>
      <c r="I37" s="476"/>
      <c r="J37" s="476"/>
      <c r="K37" s="476"/>
      <c r="L37" s="476"/>
      <c r="M37" s="476"/>
      <c r="N37" s="476"/>
      <c r="O37" s="476"/>
    </row>
    <row r="38">
      <c r="A38" s="464" t="s">
        <v>296</v>
      </c>
      <c r="B38" s="465">
        <v>6.0</v>
      </c>
      <c r="C38" s="467" t="str">
        <f t="shared" ref="C38:C41" si="13">IF(B38&lt;10, "Low", IF(B38&lt;=30, "Medium", "High"))</f>
        <v>Low</v>
      </c>
      <c r="D38" s="468">
        <f t="shared" ref="D38:D41" si="14">IF(B38&lt;=9, 0.33, IF(B38&lt;=30, 0.67, 1))</f>
        <v>0.33</v>
      </c>
      <c r="E38" s="465"/>
      <c r="F38" s="465"/>
      <c r="G38" s="465"/>
      <c r="H38" s="465"/>
      <c r="I38" s="465"/>
      <c r="J38" s="465"/>
      <c r="K38" s="465"/>
      <c r="L38" s="465"/>
      <c r="M38" s="465"/>
      <c r="N38" s="465"/>
      <c r="O38" s="465"/>
    </row>
    <row r="39">
      <c r="A39" s="464" t="s">
        <v>407</v>
      </c>
      <c r="B39" s="467">
        <v>1.0</v>
      </c>
      <c r="C39" s="467" t="str">
        <f t="shared" si="13"/>
        <v>Low</v>
      </c>
      <c r="D39" s="468">
        <f t="shared" si="14"/>
        <v>0.33</v>
      </c>
      <c r="E39" s="465"/>
      <c r="F39" s="465"/>
      <c r="G39" s="465"/>
      <c r="H39" s="465"/>
      <c r="I39" s="465"/>
      <c r="J39" s="465"/>
      <c r="K39" s="465"/>
      <c r="L39" s="465"/>
      <c r="M39" s="465"/>
      <c r="N39" s="465"/>
      <c r="O39" s="465"/>
    </row>
    <row r="40">
      <c r="A40" s="464" t="s">
        <v>299</v>
      </c>
      <c r="B40" s="465">
        <v>2.0</v>
      </c>
      <c r="C40" s="467" t="str">
        <f t="shared" si="13"/>
        <v>Low</v>
      </c>
      <c r="D40" s="468">
        <f t="shared" si="14"/>
        <v>0.33</v>
      </c>
      <c r="E40" s="465"/>
      <c r="F40" s="465"/>
      <c r="G40" s="465"/>
      <c r="H40" s="465"/>
      <c r="I40" s="465"/>
      <c r="J40" s="465"/>
      <c r="K40" s="465"/>
      <c r="L40" s="465"/>
      <c r="M40" s="465"/>
      <c r="N40" s="465"/>
      <c r="O40" s="465"/>
    </row>
    <row r="41">
      <c r="A41" s="464" t="s">
        <v>302</v>
      </c>
      <c r="B41" s="465">
        <v>4.0</v>
      </c>
      <c r="C41" s="467" t="str">
        <f t="shared" si="13"/>
        <v>Low</v>
      </c>
      <c r="D41" s="468">
        <f t="shared" si="14"/>
        <v>0.33</v>
      </c>
      <c r="E41" s="465"/>
      <c r="F41" s="465"/>
      <c r="G41" s="465"/>
      <c r="H41" s="465"/>
      <c r="I41" s="465"/>
      <c r="J41" s="465"/>
      <c r="K41" s="465"/>
      <c r="L41" s="465"/>
      <c r="M41" s="465"/>
      <c r="N41" s="465"/>
      <c r="O41" s="465"/>
    </row>
    <row r="42">
      <c r="A42" s="464" t="s">
        <v>410</v>
      </c>
      <c r="B42" s="474" t="s">
        <v>382</v>
      </c>
      <c r="C42" s="474" t="s">
        <v>382</v>
      </c>
      <c r="D42" s="475" t="s">
        <v>382</v>
      </c>
      <c r="E42" s="476"/>
      <c r="F42" s="476"/>
      <c r="G42" s="476"/>
      <c r="H42" s="476"/>
      <c r="I42" s="476"/>
      <c r="J42" s="476"/>
      <c r="K42" s="476"/>
      <c r="L42" s="476"/>
      <c r="M42" s="476"/>
      <c r="N42" s="476"/>
      <c r="O42" s="476"/>
    </row>
    <row r="43">
      <c r="A43" s="464" t="s">
        <v>411</v>
      </c>
      <c r="B43" s="465">
        <v>4.0</v>
      </c>
      <c r="C43" s="467" t="str">
        <f>IF(B43&lt;10, "Low", IF(B43&lt;=30, "Medium", "High"))</f>
        <v>Low</v>
      </c>
      <c r="D43" s="468">
        <f>IF(B43&lt;=9, 0.33, IF(B43&lt;=30, 0.67, 1))</f>
        <v>0.33</v>
      </c>
      <c r="E43" s="465"/>
      <c r="F43" s="465"/>
      <c r="G43" s="465"/>
      <c r="H43" s="465"/>
      <c r="I43" s="465"/>
      <c r="J43" s="465"/>
      <c r="K43" s="465"/>
      <c r="L43" s="465"/>
      <c r="M43" s="465"/>
      <c r="N43" s="465"/>
      <c r="O43" s="465"/>
    </row>
    <row r="44">
      <c r="A44" s="464" t="s">
        <v>309</v>
      </c>
      <c r="B44" s="474" t="s">
        <v>382</v>
      </c>
      <c r="C44" s="474" t="s">
        <v>382</v>
      </c>
      <c r="D44" s="475" t="s">
        <v>382</v>
      </c>
      <c r="E44" s="476"/>
      <c r="F44" s="476"/>
      <c r="G44" s="476"/>
      <c r="H44" s="476"/>
      <c r="I44" s="476"/>
      <c r="J44" s="476"/>
      <c r="K44" s="476"/>
      <c r="L44" s="476"/>
      <c r="M44" s="476"/>
      <c r="N44" s="476"/>
      <c r="O44" s="476"/>
    </row>
    <row r="45">
      <c r="A45" s="464" t="s">
        <v>412</v>
      </c>
      <c r="B45" s="474" t="s">
        <v>382</v>
      </c>
      <c r="C45" s="474" t="s">
        <v>382</v>
      </c>
      <c r="D45" s="475" t="s">
        <v>382</v>
      </c>
      <c r="E45" s="476"/>
      <c r="F45" s="476"/>
      <c r="G45" s="476"/>
      <c r="H45" s="476"/>
      <c r="I45" s="476"/>
      <c r="J45" s="476"/>
      <c r="K45" s="476"/>
      <c r="L45" s="476"/>
      <c r="M45" s="476"/>
      <c r="N45" s="476"/>
      <c r="O45" s="476"/>
    </row>
    <row r="46">
      <c r="A46" s="464" t="s">
        <v>415</v>
      </c>
      <c r="B46" s="465">
        <v>11.0</v>
      </c>
      <c r="C46" s="467" t="str">
        <f t="shared" ref="C46:C48" si="15">IF(B46&lt;10, "Low", IF(B46&lt;=30, "Medium", "High"))</f>
        <v>Medium</v>
      </c>
      <c r="D46" s="468">
        <f t="shared" ref="D46:D48" si="16">IF(B46&lt;=9, 0.33, IF(B46&lt;=30, 0.67, 1))</f>
        <v>0.67</v>
      </c>
      <c r="E46" s="465"/>
      <c r="F46" s="465"/>
      <c r="G46" s="465"/>
      <c r="H46" s="465"/>
      <c r="I46" s="465"/>
      <c r="J46" s="465"/>
      <c r="K46" s="465"/>
      <c r="L46" s="465"/>
      <c r="M46" s="465"/>
      <c r="N46" s="465"/>
      <c r="O46" s="465"/>
    </row>
    <row r="47">
      <c r="A47" s="464" t="s">
        <v>313</v>
      </c>
      <c r="B47" s="465">
        <v>81.0</v>
      </c>
      <c r="C47" s="467" t="str">
        <f t="shared" si="15"/>
        <v>High</v>
      </c>
      <c r="D47" s="468">
        <f t="shared" si="16"/>
        <v>1</v>
      </c>
      <c r="E47" s="465"/>
      <c r="F47" s="465"/>
      <c r="G47" s="465"/>
      <c r="H47" s="465"/>
      <c r="I47" s="465"/>
      <c r="J47" s="465"/>
      <c r="K47" s="465"/>
      <c r="L47" s="465"/>
      <c r="M47" s="465"/>
      <c r="N47" s="465"/>
      <c r="O47" s="465"/>
    </row>
    <row r="48">
      <c r="A48" s="464" t="s">
        <v>416</v>
      </c>
      <c r="B48" s="465">
        <v>1.0</v>
      </c>
      <c r="C48" s="467" t="str">
        <f t="shared" si="15"/>
        <v>Low</v>
      </c>
      <c r="D48" s="468">
        <f t="shared" si="16"/>
        <v>0.33</v>
      </c>
      <c r="E48" s="465"/>
      <c r="F48" s="465"/>
      <c r="G48" s="465"/>
      <c r="H48" s="465"/>
      <c r="I48" s="465"/>
      <c r="J48" s="465"/>
      <c r="K48" s="465"/>
      <c r="L48" s="465"/>
      <c r="M48" s="465"/>
      <c r="N48" s="465"/>
      <c r="O48" s="465"/>
    </row>
    <row r="49">
      <c r="A49" s="464" t="s">
        <v>417</v>
      </c>
      <c r="B49" s="474" t="s">
        <v>382</v>
      </c>
      <c r="C49" s="474" t="s">
        <v>382</v>
      </c>
      <c r="D49" s="475" t="s">
        <v>382</v>
      </c>
      <c r="E49" s="476"/>
      <c r="F49" s="476"/>
      <c r="G49" s="476"/>
      <c r="H49" s="476"/>
      <c r="I49" s="476"/>
      <c r="J49" s="476"/>
      <c r="K49" s="476"/>
      <c r="L49" s="476"/>
      <c r="M49" s="476"/>
      <c r="N49" s="476"/>
      <c r="O49" s="476"/>
    </row>
    <row r="50">
      <c r="A50" s="464" t="s">
        <v>418</v>
      </c>
      <c r="B50" s="465">
        <v>2.0</v>
      </c>
      <c r="C50" s="467" t="str">
        <f>IF(B50&lt;10, "Low", IF(B50&lt;=30, "Medium", "High"))</f>
        <v>Low</v>
      </c>
      <c r="D50" s="468">
        <f>IF(B50&lt;=9, 0.33, IF(B50&lt;=30, 0.67, 1))</f>
        <v>0.33</v>
      </c>
      <c r="E50" s="465"/>
      <c r="F50" s="465"/>
      <c r="G50" s="465"/>
      <c r="H50" s="465"/>
      <c r="I50" s="465"/>
      <c r="J50" s="465"/>
      <c r="K50" s="465"/>
      <c r="L50" s="465"/>
      <c r="M50" s="465"/>
      <c r="N50" s="465"/>
      <c r="O50" s="465"/>
    </row>
    <row r="51">
      <c r="A51" s="464" t="s">
        <v>398</v>
      </c>
      <c r="B51" s="474" t="s">
        <v>382</v>
      </c>
      <c r="C51" s="474" t="s">
        <v>382</v>
      </c>
      <c r="D51" s="475" t="s">
        <v>382</v>
      </c>
      <c r="E51" s="476"/>
      <c r="F51" s="476"/>
      <c r="G51" s="476"/>
      <c r="H51" s="476"/>
      <c r="I51" s="476"/>
      <c r="J51" s="476"/>
      <c r="K51" s="476"/>
      <c r="L51" s="476"/>
      <c r="M51" s="476"/>
      <c r="N51" s="476"/>
      <c r="O51" s="476"/>
    </row>
    <row r="52">
      <c r="A52" s="464" t="s">
        <v>318</v>
      </c>
      <c r="B52" s="465">
        <v>14.0</v>
      </c>
      <c r="C52" s="467" t="str">
        <f t="shared" ref="C52:C55" si="17">IF(B52&lt;10, "Low", IF(B52&lt;=30, "Medium", "High"))</f>
        <v>Medium</v>
      </c>
      <c r="D52" s="468">
        <f t="shared" ref="D52:D55" si="18">IF(B52&lt;=9, 0.33, IF(B52&lt;=30, 0.67, 1))</f>
        <v>0.67</v>
      </c>
      <c r="E52" s="465"/>
      <c r="F52" s="465"/>
      <c r="G52" s="465"/>
      <c r="H52" s="465"/>
      <c r="I52" s="465"/>
      <c r="J52" s="465"/>
      <c r="K52" s="465"/>
      <c r="L52" s="465"/>
      <c r="M52" s="465"/>
      <c r="N52" s="465"/>
      <c r="O52" s="465"/>
    </row>
    <row r="53">
      <c r="A53" s="464" t="s">
        <v>405</v>
      </c>
      <c r="B53" s="465">
        <v>1.0</v>
      </c>
      <c r="C53" s="467" t="str">
        <f t="shared" si="17"/>
        <v>Low</v>
      </c>
      <c r="D53" s="468">
        <f t="shared" si="18"/>
        <v>0.33</v>
      </c>
      <c r="E53" s="465"/>
      <c r="F53" s="465"/>
      <c r="G53" s="465"/>
      <c r="H53" s="465"/>
      <c r="I53" s="465"/>
      <c r="J53" s="465"/>
      <c r="K53" s="465"/>
      <c r="L53" s="465"/>
      <c r="M53" s="465"/>
      <c r="N53" s="465"/>
      <c r="O53" s="465"/>
    </row>
    <row r="54">
      <c r="A54" s="464" t="s">
        <v>408</v>
      </c>
      <c r="B54" s="465">
        <v>4.0</v>
      </c>
      <c r="C54" s="467" t="str">
        <f t="shared" si="17"/>
        <v>Low</v>
      </c>
      <c r="D54" s="468">
        <f t="shared" si="18"/>
        <v>0.33</v>
      </c>
      <c r="E54" s="465"/>
      <c r="F54" s="465"/>
      <c r="G54" s="465"/>
      <c r="H54" s="465"/>
      <c r="I54" s="465"/>
      <c r="J54" s="465"/>
      <c r="K54" s="465"/>
      <c r="L54" s="465"/>
      <c r="M54" s="465"/>
      <c r="N54" s="465"/>
      <c r="O54" s="465"/>
    </row>
    <row r="55">
      <c r="A55" s="489" t="s">
        <v>320</v>
      </c>
      <c r="B55" s="490">
        <v>1.0</v>
      </c>
      <c r="C55" s="491" t="str">
        <f t="shared" si="17"/>
        <v>Low</v>
      </c>
      <c r="D55" s="492">
        <f t="shared" si="18"/>
        <v>0.33</v>
      </c>
      <c r="E55" s="465"/>
      <c r="F55" s="465"/>
      <c r="G55" s="465"/>
      <c r="H55" s="465"/>
      <c r="I55" s="465"/>
      <c r="J55" s="465"/>
      <c r="K55" s="465"/>
      <c r="L55" s="465"/>
      <c r="M55" s="465"/>
      <c r="N55" s="465"/>
      <c r="O55" s="465"/>
    </row>
    <row r="56">
      <c r="A56" s="323"/>
      <c r="B56" s="323"/>
      <c r="C56" s="323"/>
      <c r="D56" s="493"/>
      <c r="E56" s="493"/>
      <c r="F56" s="493"/>
      <c r="G56" s="493"/>
      <c r="H56" s="493"/>
      <c r="I56" s="493"/>
      <c r="J56" s="493"/>
      <c r="K56" s="493"/>
      <c r="L56" s="493"/>
      <c r="M56" s="493"/>
      <c r="N56" s="493"/>
      <c r="O56" s="493"/>
    </row>
    <row r="57">
      <c r="B57" s="323"/>
      <c r="C57" s="357" t="s">
        <v>483</v>
      </c>
      <c r="D57" s="494"/>
      <c r="E57" s="418" t="s">
        <v>421</v>
      </c>
      <c r="F57" s="495"/>
      <c r="G57" s="495"/>
      <c r="H57" s="495"/>
      <c r="I57" s="495"/>
      <c r="J57" s="495"/>
      <c r="K57" s="495"/>
      <c r="L57" s="495"/>
      <c r="M57" s="495"/>
      <c r="N57" s="495"/>
      <c r="O57" s="495"/>
    </row>
    <row r="58">
      <c r="B58" s="323"/>
      <c r="C58" s="360" t="s">
        <v>422</v>
      </c>
      <c r="D58" s="420">
        <f>MAX(B2:B55)</f>
        <v>86</v>
      </c>
      <c r="E58" s="449" t="s">
        <v>290</v>
      </c>
      <c r="F58" s="465"/>
      <c r="G58" s="465"/>
      <c r="H58" s="465"/>
      <c r="I58" s="465"/>
      <c r="J58" s="465"/>
      <c r="K58" s="465"/>
      <c r="L58" s="465"/>
      <c r="M58" s="465"/>
      <c r="N58" s="465"/>
      <c r="O58" s="465"/>
    </row>
    <row r="59">
      <c r="B59" s="323"/>
      <c r="C59" s="360" t="s">
        <v>423</v>
      </c>
      <c r="D59" s="420">
        <f>MIN(B2:B55)</f>
        <v>1</v>
      </c>
      <c r="E59" s="450" t="s">
        <v>244</v>
      </c>
      <c r="F59" s="496"/>
      <c r="G59" s="496"/>
      <c r="H59" s="496"/>
      <c r="I59" s="496"/>
      <c r="J59" s="496"/>
      <c r="K59" s="496"/>
      <c r="L59" s="496"/>
      <c r="M59" s="496"/>
      <c r="N59" s="496"/>
      <c r="O59" s="496"/>
    </row>
    <row r="60">
      <c r="B60" s="323"/>
      <c r="C60" s="360" t="s">
        <v>424</v>
      </c>
      <c r="D60" s="420">
        <f>AVERAGE(B2:B55)</f>
        <v>11.53125</v>
      </c>
      <c r="F60" s="323"/>
      <c r="G60" s="323"/>
      <c r="H60" s="323"/>
      <c r="I60" s="323"/>
      <c r="J60" s="323"/>
      <c r="K60" s="323"/>
      <c r="L60" s="323"/>
      <c r="M60" s="323"/>
      <c r="N60" s="323"/>
      <c r="O60" s="323"/>
    </row>
    <row r="61">
      <c r="B61" s="323"/>
      <c r="C61" s="360" t="s">
        <v>425</v>
      </c>
      <c r="D61" s="420">
        <f>MEDIAN(B2:B55)</f>
        <v>3.5</v>
      </c>
      <c r="F61" s="323"/>
      <c r="G61" s="323"/>
      <c r="H61" s="323"/>
      <c r="I61" s="323"/>
      <c r="J61" s="323"/>
      <c r="K61" s="323"/>
      <c r="L61" s="323"/>
      <c r="M61" s="323"/>
      <c r="N61" s="323"/>
      <c r="O61" s="323"/>
    </row>
    <row r="62">
      <c r="B62" s="323"/>
      <c r="C62" s="367" t="s">
        <v>446</v>
      </c>
      <c r="D62" s="425">
        <f>STDEV(B2:B55)</f>
        <v>21.2724028</v>
      </c>
      <c r="F62" s="323"/>
      <c r="G62" s="323"/>
      <c r="H62" s="323"/>
      <c r="I62" s="323"/>
      <c r="J62" s="323"/>
      <c r="K62" s="323"/>
      <c r="L62" s="323"/>
      <c r="M62" s="323"/>
      <c r="N62" s="323"/>
      <c r="O62" s="323"/>
    </row>
    <row r="63">
      <c r="A63" s="323"/>
      <c r="B63" s="323"/>
      <c r="C63" s="323"/>
      <c r="D63" s="493"/>
      <c r="E63" s="493"/>
      <c r="F63" s="493"/>
      <c r="G63" s="493"/>
      <c r="H63" s="493"/>
      <c r="I63" s="493"/>
      <c r="J63" s="493"/>
      <c r="K63" s="493"/>
      <c r="L63" s="493"/>
      <c r="M63" s="493"/>
      <c r="N63" s="493"/>
      <c r="O63" s="493"/>
    </row>
    <row r="64">
      <c r="A64" s="323"/>
      <c r="B64" s="323"/>
      <c r="C64" s="497" t="s">
        <v>325</v>
      </c>
      <c r="F64" s="493"/>
      <c r="G64" s="493"/>
      <c r="H64" s="493"/>
      <c r="I64" s="493"/>
      <c r="J64" s="493"/>
      <c r="K64" s="493"/>
      <c r="L64" s="493"/>
      <c r="M64" s="493"/>
      <c r="N64" s="493"/>
      <c r="O64" s="493"/>
    </row>
    <row r="65">
      <c r="A65" s="323"/>
      <c r="B65" s="323"/>
      <c r="C65" s="437" t="str">
        <f t="array" ref="C65:C82">{"INDICATOR INFORMATION";
  "Index Category: "&amp;CHAR(10)&amp;
  "EV Readiness Index - Measures country preparedness to adopt EVs at large scale";
  "";
  "Sub-Category: "&amp;CHAR(10)&amp;
  "Market";
  "";
  "Indicator Name: "&amp;CHAR(10)&amp;
  "EV Charging Infrastructure";
  "";
  "Description: "&amp;CHAR(10)&amp;
  "The number of public EV charging stations in a country";
  "";
  "Calculation Method: "&amp;CHAR(10)&amp;
  "Count of public EV charging stations"&amp;CHAR(10)&amp;
  "• Data extracted: July 2024";
  "";
  "Summary Statistics: "&amp;CHAR(10)&amp;
  "• Based on the spread of African EV charging point data";
  "";
  "Scoring Categories: "&amp;CHAR(10)&amp;
  "• Low (&lt;10 charging stations)"&amp;CHAR(10)&amp;
  "• Medium (10-30 charging stations)"&amp;CHAR(10)&amp;
  "• High (&gt;30 charging stations)";
  "";
  "Reference Points: "&amp;CHAR(10)&amp;
  "• Bounds are based on regional benchmarking";
  "";
  "Data Sources: "&amp;CHAR(10)&amp;
  "• Electromap"&amp;CHAR(10)&amp;
  "• ChargeMap"}
</f>
        <v>INDICATOR INFORMATION</v>
      </c>
      <c r="D65" s="438"/>
      <c r="E65" s="439"/>
      <c r="F65" s="493"/>
      <c r="G65" s="493"/>
      <c r="H65" s="493"/>
      <c r="I65" s="493"/>
      <c r="J65" s="493"/>
      <c r="K65" s="493"/>
      <c r="L65" s="493"/>
      <c r="M65" s="493"/>
      <c r="N65" s="493"/>
      <c r="O65" s="493"/>
    </row>
    <row r="66">
      <c r="A66" s="323"/>
      <c r="B66" s="323"/>
      <c r="C66" s="498" t="s">
        <v>339</v>
      </c>
      <c r="D66" s="493"/>
      <c r="E66" s="499"/>
      <c r="F66" s="493"/>
      <c r="G66" s="493"/>
      <c r="H66" s="493"/>
      <c r="I66" s="493"/>
      <c r="J66" s="493"/>
      <c r="K66" s="493"/>
      <c r="L66" s="493"/>
      <c r="M66" s="493"/>
      <c r="N66" s="493"/>
      <c r="O66" s="493"/>
    </row>
    <row r="67">
      <c r="A67" s="323"/>
      <c r="B67" s="323"/>
      <c r="C67" s="498" t="s">
        <v>126</v>
      </c>
      <c r="D67" s="493"/>
      <c r="E67" s="499"/>
      <c r="F67" s="493"/>
      <c r="G67" s="493"/>
      <c r="H67" s="493"/>
      <c r="I67" s="493"/>
      <c r="J67" s="493"/>
      <c r="K67" s="493"/>
      <c r="L67" s="493"/>
      <c r="M67" s="493"/>
      <c r="N67" s="493"/>
      <c r="O67" s="493"/>
    </row>
    <row r="68">
      <c r="A68" s="323"/>
      <c r="B68" s="323"/>
      <c r="C68" s="498" t="s">
        <v>458</v>
      </c>
      <c r="D68" s="493"/>
      <c r="E68" s="499"/>
      <c r="F68" s="493"/>
      <c r="G68" s="493"/>
      <c r="H68" s="493"/>
      <c r="I68" s="493"/>
      <c r="J68" s="493"/>
      <c r="K68" s="493"/>
      <c r="L68" s="493"/>
      <c r="M68" s="493"/>
      <c r="N68" s="493"/>
      <c r="O68" s="493"/>
    </row>
    <row r="69">
      <c r="A69" s="323"/>
      <c r="B69" s="323"/>
      <c r="C69" s="498" t="s">
        <v>126</v>
      </c>
      <c r="D69" s="493"/>
      <c r="E69" s="499"/>
      <c r="F69" s="493"/>
      <c r="G69" s="493"/>
      <c r="H69" s="493"/>
      <c r="I69" s="493"/>
      <c r="J69" s="493"/>
      <c r="K69" s="493"/>
      <c r="L69" s="493"/>
      <c r="M69" s="493"/>
      <c r="N69" s="493"/>
      <c r="O69" s="493"/>
    </row>
    <row r="70">
      <c r="A70" s="323"/>
      <c r="B70" s="323"/>
      <c r="C70" s="498" t="s">
        <v>484</v>
      </c>
      <c r="D70" s="493"/>
      <c r="E70" s="499"/>
      <c r="F70" s="493"/>
      <c r="G70" s="493"/>
      <c r="H70" s="493"/>
      <c r="I70" s="493"/>
      <c r="J70" s="493"/>
      <c r="K70" s="493"/>
      <c r="L70" s="493"/>
      <c r="M70" s="493"/>
      <c r="N70" s="493"/>
      <c r="O70" s="493"/>
    </row>
    <row r="71">
      <c r="A71" s="323"/>
      <c r="B71" s="323"/>
      <c r="C71" s="498" t="s">
        <v>126</v>
      </c>
      <c r="D71" s="493"/>
      <c r="E71" s="499"/>
      <c r="F71" s="493"/>
      <c r="G71" s="493"/>
      <c r="H71" s="493"/>
      <c r="I71" s="493"/>
      <c r="J71" s="493"/>
      <c r="K71" s="493"/>
      <c r="L71" s="493"/>
      <c r="M71" s="493"/>
      <c r="N71" s="493"/>
      <c r="O71" s="493"/>
    </row>
    <row r="72">
      <c r="A72" s="323"/>
      <c r="B72" s="323"/>
      <c r="C72" s="498" t="s">
        <v>485</v>
      </c>
      <c r="D72" s="493"/>
      <c r="E72" s="499"/>
      <c r="F72" s="493"/>
      <c r="G72" s="493"/>
      <c r="H72" s="493"/>
      <c r="I72" s="493"/>
      <c r="J72" s="493"/>
      <c r="K72" s="493"/>
      <c r="L72" s="493"/>
      <c r="M72" s="493"/>
      <c r="N72" s="493"/>
      <c r="O72" s="493"/>
    </row>
    <row r="73">
      <c r="A73" s="323"/>
      <c r="B73" s="323"/>
      <c r="C73" s="498" t="s">
        <v>126</v>
      </c>
      <c r="D73" s="493"/>
      <c r="E73" s="499"/>
      <c r="F73" s="493"/>
      <c r="G73" s="493"/>
      <c r="H73" s="493"/>
      <c r="I73" s="493"/>
      <c r="J73" s="493"/>
      <c r="K73" s="493"/>
      <c r="L73" s="493"/>
      <c r="M73" s="493"/>
      <c r="N73" s="493"/>
      <c r="O73" s="493"/>
    </row>
    <row r="74">
      <c r="A74" s="323"/>
      <c r="B74" s="323"/>
      <c r="C74" s="498" t="s">
        <v>486</v>
      </c>
      <c r="D74" s="493"/>
      <c r="E74" s="499"/>
      <c r="F74" s="493"/>
      <c r="G74" s="493"/>
      <c r="H74" s="493"/>
      <c r="I74" s="493"/>
      <c r="J74" s="493"/>
      <c r="K74" s="493"/>
      <c r="L74" s="493"/>
      <c r="M74" s="493"/>
      <c r="N74" s="493"/>
      <c r="O74" s="493"/>
    </row>
    <row r="75">
      <c r="A75" s="323"/>
      <c r="B75" s="323"/>
      <c r="C75" s="498" t="s">
        <v>126</v>
      </c>
      <c r="D75" s="493"/>
      <c r="E75" s="499"/>
      <c r="F75" s="493"/>
      <c r="G75" s="493"/>
      <c r="H75" s="493"/>
      <c r="I75" s="493"/>
      <c r="J75" s="493"/>
      <c r="K75" s="493"/>
      <c r="L75" s="493"/>
      <c r="M75" s="493"/>
      <c r="N75" s="493"/>
      <c r="O75" s="493"/>
    </row>
    <row r="76">
      <c r="A76" s="323"/>
      <c r="B76" s="323"/>
      <c r="C76" s="498" t="s">
        <v>487</v>
      </c>
      <c r="D76" s="493"/>
      <c r="E76" s="499"/>
      <c r="F76" s="493"/>
      <c r="G76" s="493"/>
      <c r="H76" s="493"/>
      <c r="I76" s="493"/>
      <c r="J76" s="493"/>
      <c r="K76" s="493"/>
      <c r="L76" s="493"/>
      <c r="M76" s="493"/>
      <c r="N76" s="493"/>
      <c r="O76" s="493"/>
    </row>
    <row r="77">
      <c r="A77" s="323"/>
      <c r="B77" s="323"/>
      <c r="C77" s="498" t="s">
        <v>126</v>
      </c>
      <c r="D77" s="493"/>
      <c r="E77" s="499"/>
      <c r="F77" s="493"/>
      <c r="G77" s="493"/>
      <c r="H77" s="493"/>
      <c r="I77" s="493"/>
      <c r="J77" s="493"/>
      <c r="K77" s="493"/>
      <c r="L77" s="493"/>
      <c r="M77" s="493"/>
      <c r="N77" s="493"/>
      <c r="O77" s="493"/>
    </row>
    <row r="78">
      <c r="A78" s="323"/>
      <c r="B78" s="323"/>
      <c r="C78" s="498" t="s">
        <v>488</v>
      </c>
      <c r="D78" s="493"/>
      <c r="E78" s="499"/>
      <c r="F78" s="493"/>
      <c r="G78" s="493"/>
      <c r="H78" s="493"/>
      <c r="I78" s="493"/>
      <c r="J78" s="493"/>
      <c r="K78" s="493"/>
      <c r="L78" s="493"/>
      <c r="M78" s="493"/>
      <c r="N78" s="493"/>
      <c r="O78" s="493"/>
    </row>
    <row r="79">
      <c r="A79" s="323"/>
      <c r="B79" s="323"/>
      <c r="C79" s="498" t="s">
        <v>126</v>
      </c>
      <c r="D79" s="493"/>
      <c r="E79" s="499"/>
      <c r="F79" s="493"/>
      <c r="G79" s="493"/>
      <c r="H79" s="493"/>
      <c r="I79" s="493"/>
      <c r="J79" s="493"/>
      <c r="K79" s="493"/>
      <c r="L79" s="493"/>
      <c r="M79" s="493"/>
      <c r="N79" s="493"/>
      <c r="O79" s="493"/>
    </row>
    <row r="80">
      <c r="A80" s="323"/>
      <c r="B80" s="323"/>
      <c r="C80" s="498" t="s">
        <v>489</v>
      </c>
      <c r="D80" s="493"/>
      <c r="E80" s="499"/>
      <c r="F80" s="493"/>
      <c r="G80" s="493"/>
      <c r="H80" s="493"/>
      <c r="I80" s="493"/>
      <c r="J80" s="493"/>
      <c r="K80" s="493"/>
      <c r="L80" s="493"/>
      <c r="M80" s="493"/>
      <c r="N80" s="493"/>
      <c r="O80" s="493"/>
    </row>
    <row r="81">
      <c r="A81" s="323"/>
      <c r="B81" s="323"/>
      <c r="C81" s="498" t="s">
        <v>126</v>
      </c>
      <c r="D81" s="493"/>
      <c r="E81" s="499"/>
      <c r="F81" s="493"/>
      <c r="G81" s="493"/>
      <c r="H81" s="493"/>
      <c r="I81" s="493"/>
      <c r="J81" s="493"/>
      <c r="K81" s="493"/>
      <c r="L81" s="493"/>
      <c r="M81" s="493"/>
      <c r="N81" s="493"/>
      <c r="O81" s="493"/>
    </row>
    <row r="82">
      <c r="A82" s="323"/>
      <c r="B82" s="323"/>
      <c r="C82" s="498" t="s">
        <v>490</v>
      </c>
      <c r="D82" s="493"/>
      <c r="E82" s="499"/>
      <c r="F82" s="493"/>
      <c r="G82" s="493"/>
      <c r="H82" s="493"/>
      <c r="I82" s="493"/>
      <c r="J82" s="493"/>
      <c r="K82" s="493"/>
      <c r="L82" s="493"/>
      <c r="M82" s="493"/>
      <c r="N82" s="493"/>
      <c r="O82" s="493"/>
    </row>
    <row r="83">
      <c r="A83" s="323"/>
      <c r="B83" s="323"/>
      <c r="C83" s="500"/>
      <c r="D83" s="501"/>
      <c r="E83" s="502"/>
      <c r="F83" s="493"/>
      <c r="G83" s="493"/>
      <c r="H83" s="493"/>
      <c r="I83" s="493"/>
      <c r="J83" s="493"/>
      <c r="K83" s="493"/>
      <c r="L83" s="493"/>
      <c r="M83" s="493"/>
      <c r="N83" s="493"/>
      <c r="O83" s="493"/>
    </row>
    <row r="84">
      <c r="A84" s="323"/>
      <c r="B84" s="323"/>
      <c r="C84" s="323"/>
      <c r="D84" s="493"/>
      <c r="E84" s="493"/>
      <c r="F84" s="493"/>
      <c r="G84" s="493"/>
      <c r="H84" s="493"/>
      <c r="I84" s="493"/>
      <c r="J84" s="493"/>
      <c r="K84" s="493"/>
      <c r="L84" s="493"/>
      <c r="M84" s="493"/>
      <c r="N84" s="493"/>
      <c r="O84" s="493"/>
    </row>
    <row r="85">
      <c r="A85" s="323"/>
      <c r="B85" s="323"/>
      <c r="C85" s="323"/>
      <c r="D85" s="493"/>
      <c r="E85" s="493"/>
      <c r="F85" s="493"/>
      <c r="G85" s="493"/>
      <c r="H85" s="493"/>
      <c r="I85" s="493"/>
      <c r="J85" s="493"/>
      <c r="K85" s="493"/>
      <c r="L85" s="493"/>
      <c r="M85" s="493"/>
      <c r="N85" s="493"/>
      <c r="O85" s="493"/>
    </row>
    <row r="86">
      <c r="A86" s="323"/>
      <c r="B86" s="323"/>
      <c r="C86" s="323"/>
      <c r="D86" s="493"/>
      <c r="E86" s="493"/>
      <c r="F86" s="493"/>
      <c r="G86" s="493"/>
      <c r="H86" s="493"/>
      <c r="I86" s="493"/>
      <c r="J86" s="493"/>
      <c r="K86" s="493"/>
      <c r="L86" s="493"/>
      <c r="M86" s="493"/>
      <c r="N86" s="493"/>
      <c r="O86" s="493"/>
    </row>
    <row r="87">
      <c r="A87" s="323"/>
      <c r="B87" s="323"/>
      <c r="C87" s="323"/>
      <c r="D87" s="493"/>
      <c r="E87" s="493"/>
      <c r="F87" s="493"/>
      <c r="G87" s="493"/>
      <c r="H87" s="493"/>
      <c r="I87" s="493"/>
      <c r="J87" s="493"/>
      <c r="K87" s="493"/>
      <c r="L87" s="493"/>
      <c r="M87" s="493"/>
      <c r="N87" s="493"/>
      <c r="O87" s="493"/>
    </row>
    <row r="88">
      <c r="A88" s="323"/>
      <c r="B88" s="323"/>
      <c r="C88" s="323"/>
      <c r="D88" s="493"/>
      <c r="E88" s="493"/>
      <c r="F88" s="493"/>
      <c r="G88" s="493"/>
      <c r="H88" s="493"/>
      <c r="I88" s="493"/>
      <c r="J88" s="493"/>
      <c r="K88" s="493"/>
      <c r="L88" s="493"/>
      <c r="M88" s="493"/>
      <c r="N88" s="493"/>
      <c r="O88" s="493"/>
    </row>
    <row r="89">
      <c r="A89" s="323"/>
      <c r="B89" s="323"/>
      <c r="C89" s="323"/>
      <c r="D89" s="493"/>
      <c r="E89" s="493"/>
      <c r="F89" s="493"/>
      <c r="G89" s="493"/>
      <c r="H89" s="493"/>
      <c r="I89" s="493"/>
      <c r="J89" s="493"/>
      <c r="K89" s="493"/>
      <c r="L89" s="493"/>
      <c r="M89" s="493"/>
      <c r="N89" s="493"/>
      <c r="O89" s="493"/>
    </row>
    <row r="90">
      <c r="A90" s="323"/>
      <c r="B90" s="323"/>
      <c r="C90" s="323"/>
      <c r="D90" s="493"/>
      <c r="E90" s="493"/>
      <c r="F90" s="493"/>
      <c r="G90" s="493"/>
      <c r="H90" s="493"/>
      <c r="I90" s="493"/>
      <c r="J90" s="493"/>
      <c r="K90" s="493"/>
      <c r="L90" s="493"/>
      <c r="M90" s="493"/>
      <c r="N90" s="493"/>
      <c r="O90" s="493"/>
    </row>
    <row r="91">
      <c r="A91" s="323"/>
      <c r="B91" s="323"/>
      <c r="C91" s="323"/>
      <c r="D91" s="493"/>
      <c r="E91" s="493"/>
      <c r="F91" s="493"/>
      <c r="G91" s="493"/>
      <c r="H91" s="493"/>
      <c r="I91" s="493"/>
      <c r="J91" s="493"/>
      <c r="K91" s="493"/>
      <c r="L91" s="493"/>
      <c r="M91" s="493"/>
      <c r="N91" s="493"/>
      <c r="O91" s="493"/>
    </row>
    <row r="92">
      <c r="A92" s="323"/>
      <c r="B92" s="323"/>
      <c r="C92" s="323"/>
      <c r="D92" s="493"/>
      <c r="E92" s="493"/>
      <c r="F92" s="493"/>
      <c r="G92" s="493"/>
      <c r="H92" s="493"/>
      <c r="I92" s="493"/>
      <c r="J92" s="493"/>
      <c r="K92" s="493"/>
      <c r="L92" s="493"/>
      <c r="M92" s="493"/>
      <c r="N92" s="493"/>
      <c r="O92" s="493"/>
    </row>
    <row r="93">
      <c r="A93" s="323"/>
      <c r="B93" s="323"/>
      <c r="C93" s="323"/>
      <c r="D93" s="493"/>
      <c r="E93" s="493"/>
      <c r="F93" s="493"/>
      <c r="G93" s="493"/>
      <c r="H93" s="493"/>
      <c r="I93" s="493"/>
      <c r="J93" s="493"/>
      <c r="K93" s="493"/>
      <c r="L93" s="493"/>
      <c r="M93" s="493"/>
      <c r="N93" s="493"/>
      <c r="O93" s="493"/>
    </row>
    <row r="94">
      <c r="A94" s="323"/>
      <c r="B94" s="323"/>
      <c r="C94" s="323"/>
      <c r="D94" s="493"/>
      <c r="E94" s="493"/>
      <c r="F94" s="493"/>
      <c r="G94" s="493"/>
      <c r="H94" s="493"/>
      <c r="I94" s="493"/>
      <c r="J94" s="493"/>
      <c r="K94" s="493"/>
      <c r="L94" s="493"/>
      <c r="M94" s="493"/>
      <c r="N94" s="493"/>
      <c r="O94" s="493"/>
    </row>
    <row r="95">
      <c r="A95" s="323"/>
      <c r="B95" s="323"/>
      <c r="C95" s="323"/>
      <c r="D95" s="493"/>
      <c r="E95" s="493"/>
      <c r="F95" s="493"/>
      <c r="G95" s="493"/>
      <c r="H95" s="493"/>
      <c r="I95" s="493"/>
      <c r="J95" s="493"/>
      <c r="K95" s="493"/>
      <c r="L95" s="493"/>
      <c r="M95" s="493"/>
      <c r="N95" s="493"/>
      <c r="O95" s="493"/>
    </row>
    <row r="96">
      <c r="A96" s="323"/>
      <c r="B96" s="323"/>
      <c r="C96" s="323"/>
      <c r="D96" s="493"/>
      <c r="E96" s="493"/>
      <c r="F96" s="493"/>
      <c r="G96" s="493"/>
      <c r="H96" s="493"/>
      <c r="I96" s="493"/>
      <c r="J96" s="493"/>
      <c r="K96" s="493"/>
      <c r="L96" s="493"/>
      <c r="M96" s="493"/>
      <c r="N96" s="493"/>
      <c r="O96" s="493"/>
    </row>
    <row r="97">
      <c r="A97" s="323"/>
      <c r="B97" s="323"/>
      <c r="C97" s="323"/>
      <c r="D97" s="493"/>
      <c r="E97" s="493"/>
      <c r="F97" s="493"/>
      <c r="G97" s="493"/>
      <c r="H97" s="493"/>
      <c r="I97" s="493"/>
      <c r="J97" s="493"/>
      <c r="K97" s="493"/>
      <c r="L97" s="493"/>
      <c r="M97" s="493"/>
      <c r="N97" s="493"/>
      <c r="O97" s="493"/>
    </row>
    <row r="98">
      <c r="A98" s="323"/>
      <c r="B98" s="323"/>
      <c r="C98" s="323"/>
      <c r="D98" s="493"/>
      <c r="E98" s="493"/>
      <c r="F98" s="493"/>
      <c r="G98" s="493"/>
      <c r="H98" s="493"/>
      <c r="I98" s="493"/>
      <c r="J98" s="493"/>
      <c r="K98" s="493"/>
      <c r="L98" s="493"/>
      <c r="M98" s="493"/>
      <c r="N98" s="493"/>
      <c r="O98" s="493"/>
    </row>
    <row r="99">
      <c r="A99" s="323"/>
      <c r="B99" s="323"/>
      <c r="C99" s="323"/>
      <c r="D99" s="493"/>
      <c r="E99" s="493"/>
      <c r="F99" s="493"/>
      <c r="G99" s="493"/>
      <c r="H99" s="493"/>
      <c r="I99" s="493"/>
      <c r="J99" s="493"/>
      <c r="K99" s="493"/>
      <c r="L99" s="493"/>
      <c r="M99" s="493"/>
      <c r="N99" s="493"/>
      <c r="O99" s="493"/>
    </row>
    <row r="100">
      <c r="A100" s="323"/>
      <c r="B100" s="323"/>
      <c r="C100" s="323"/>
      <c r="D100" s="493"/>
      <c r="E100" s="493"/>
      <c r="F100" s="493"/>
      <c r="G100" s="493"/>
      <c r="H100" s="493"/>
      <c r="I100" s="493"/>
      <c r="J100" s="493"/>
      <c r="K100" s="493"/>
      <c r="L100" s="493"/>
      <c r="M100" s="493"/>
      <c r="N100" s="493"/>
      <c r="O100" s="493"/>
    </row>
    <row r="101">
      <c r="A101" s="323"/>
      <c r="B101" s="323"/>
      <c r="C101" s="323"/>
      <c r="D101" s="493"/>
      <c r="E101" s="493"/>
      <c r="F101" s="493"/>
      <c r="G101" s="493"/>
      <c r="H101" s="493"/>
      <c r="I101" s="493"/>
      <c r="J101" s="493"/>
      <c r="K101" s="493"/>
      <c r="L101" s="493"/>
      <c r="M101" s="493"/>
      <c r="N101" s="493"/>
      <c r="O101" s="493"/>
    </row>
    <row r="102">
      <c r="A102" s="323"/>
      <c r="B102" s="323"/>
      <c r="C102" s="323"/>
      <c r="D102" s="493"/>
      <c r="E102" s="493"/>
      <c r="F102" s="493"/>
      <c r="G102" s="493"/>
      <c r="H102" s="493"/>
      <c r="I102" s="493"/>
      <c r="J102" s="493"/>
      <c r="K102" s="493"/>
      <c r="L102" s="493"/>
      <c r="M102" s="493"/>
      <c r="N102" s="493"/>
      <c r="O102" s="493"/>
    </row>
    <row r="103">
      <c r="A103" s="323"/>
      <c r="B103" s="323"/>
      <c r="C103" s="323"/>
      <c r="D103" s="493"/>
      <c r="E103" s="493"/>
      <c r="F103" s="493"/>
      <c r="G103" s="493"/>
      <c r="H103" s="493"/>
      <c r="I103" s="493"/>
      <c r="J103" s="493"/>
      <c r="K103" s="493"/>
      <c r="L103" s="493"/>
      <c r="M103" s="493"/>
      <c r="N103" s="493"/>
      <c r="O103" s="493"/>
    </row>
    <row r="104">
      <c r="A104" s="323"/>
      <c r="B104" s="323"/>
      <c r="C104" s="323"/>
      <c r="D104" s="493"/>
      <c r="E104" s="493"/>
      <c r="F104" s="493"/>
      <c r="G104" s="493"/>
      <c r="H104" s="493"/>
      <c r="I104" s="493"/>
      <c r="J104" s="493"/>
      <c r="K104" s="493"/>
      <c r="L104" s="493"/>
      <c r="M104" s="493"/>
      <c r="N104" s="493"/>
      <c r="O104" s="493"/>
    </row>
    <row r="105">
      <c r="A105" s="323"/>
      <c r="B105" s="323"/>
      <c r="C105" s="323"/>
      <c r="D105" s="493"/>
      <c r="E105" s="493"/>
      <c r="F105" s="493"/>
      <c r="G105" s="493"/>
      <c r="H105" s="493"/>
      <c r="I105" s="493"/>
      <c r="J105" s="493"/>
      <c r="K105" s="493"/>
      <c r="L105" s="493"/>
      <c r="M105" s="493"/>
      <c r="N105" s="493"/>
      <c r="O105" s="493"/>
    </row>
    <row r="106">
      <c r="A106" s="323"/>
      <c r="B106" s="323"/>
      <c r="C106" s="323"/>
      <c r="D106" s="493"/>
      <c r="E106" s="493"/>
      <c r="F106" s="493"/>
      <c r="G106" s="493"/>
      <c r="H106" s="493"/>
      <c r="I106" s="493"/>
      <c r="J106" s="493"/>
      <c r="K106" s="493"/>
      <c r="L106" s="493"/>
      <c r="M106" s="493"/>
      <c r="N106" s="493"/>
      <c r="O106" s="493"/>
    </row>
    <row r="107">
      <c r="A107" s="323"/>
      <c r="B107" s="323"/>
      <c r="C107" s="323"/>
      <c r="D107" s="493"/>
      <c r="E107" s="493"/>
      <c r="F107" s="493"/>
      <c r="G107" s="493"/>
      <c r="H107" s="493"/>
      <c r="I107" s="493"/>
      <c r="J107" s="493"/>
      <c r="K107" s="493"/>
      <c r="L107" s="493"/>
      <c r="M107" s="493"/>
      <c r="N107" s="493"/>
      <c r="O107" s="493"/>
    </row>
    <row r="108">
      <c r="A108" s="323"/>
      <c r="B108" s="323"/>
      <c r="C108" s="323"/>
      <c r="D108" s="493"/>
      <c r="E108" s="493"/>
      <c r="F108" s="493"/>
      <c r="G108" s="493"/>
      <c r="H108" s="493"/>
      <c r="I108" s="493"/>
      <c r="J108" s="493"/>
      <c r="K108" s="493"/>
      <c r="L108" s="493"/>
      <c r="M108" s="493"/>
      <c r="N108" s="493"/>
      <c r="O108" s="493"/>
    </row>
    <row r="109">
      <c r="A109" s="323"/>
      <c r="B109" s="323"/>
      <c r="C109" s="323"/>
      <c r="D109" s="493"/>
      <c r="E109" s="493"/>
      <c r="F109" s="493"/>
      <c r="G109" s="493"/>
      <c r="H109" s="493"/>
      <c r="I109" s="493"/>
      <c r="J109" s="493"/>
      <c r="K109" s="493"/>
      <c r="L109" s="493"/>
      <c r="M109" s="493"/>
      <c r="N109" s="493"/>
      <c r="O109" s="493"/>
    </row>
    <row r="110">
      <c r="A110" s="323"/>
      <c r="B110" s="323"/>
      <c r="C110" s="323"/>
      <c r="D110" s="493"/>
      <c r="E110" s="493"/>
      <c r="F110" s="493"/>
      <c r="G110" s="493"/>
      <c r="H110" s="493"/>
      <c r="I110" s="493"/>
      <c r="J110" s="493"/>
      <c r="K110" s="493"/>
      <c r="L110" s="493"/>
      <c r="M110" s="493"/>
      <c r="N110" s="493"/>
      <c r="O110" s="493"/>
    </row>
    <row r="111">
      <c r="A111" s="323"/>
      <c r="B111" s="323"/>
      <c r="C111" s="323"/>
      <c r="D111" s="493"/>
      <c r="E111" s="493"/>
      <c r="F111" s="493"/>
      <c r="G111" s="493"/>
      <c r="H111" s="493"/>
      <c r="I111" s="493"/>
      <c r="J111" s="493"/>
      <c r="K111" s="493"/>
      <c r="L111" s="493"/>
      <c r="M111" s="493"/>
      <c r="N111" s="493"/>
      <c r="O111" s="493"/>
    </row>
    <row r="112">
      <c r="A112" s="323"/>
      <c r="B112" s="323"/>
      <c r="C112" s="323"/>
      <c r="D112" s="493"/>
      <c r="E112" s="493"/>
      <c r="F112" s="493"/>
      <c r="G112" s="493"/>
      <c r="H112" s="493"/>
      <c r="I112" s="493"/>
      <c r="J112" s="493"/>
      <c r="K112" s="493"/>
      <c r="L112" s="493"/>
      <c r="M112" s="493"/>
      <c r="N112" s="493"/>
      <c r="O112" s="493"/>
    </row>
    <row r="113">
      <c r="A113" s="323"/>
      <c r="B113" s="323"/>
      <c r="C113" s="323"/>
      <c r="D113" s="493"/>
      <c r="E113" s="493"/>
      <c r="F113" s="493"/>
      <c r="G113" s="493"/>
      <c r="H113" s="493"/>
      <c r="I113" s="493"/>
      <c r="J113" s="493"/>
      <c r="K113" s="493"/>
      <c r="L113" s="493"/>
      <c r="M113" s="493"/>
      <c r="N113" s="493"/>
      <c r="O113" s="493"/>
    </row>
    <row r="114">
      <c r="A114" s="323"/>
      <c r="B114" s="323"/>
      <c r="C114" s="323"/>
      <c r="D114" s="493"/>
      <c r="E114" s="493"/>
      <c r="F114" s="493"/>
      <c r="G114" s="493"/>
      <c r="H114" s="493"/>
      <c r="I114" s="493"/>
      <c r="J114" s="493"/>
      <c r="K114" s="493"/>
      <c r="L114" s="493"/>
      <c r="M114" s="493"/>
      <c r="N114" s="493"/>
      <c r="O114" s="493"/>
    </row>
    <row r="115">
      <c r="A115" s="323"/>
      <c r="B115" s="323"/>
      <c r="C115" s="323"/>
      <c r="D115" s="493"/>
      <c r="E115" s="493"/>
      <c r="F115" s="493"/>
      <c r="G115" s="493"/>
      <c r="H115" s="493"/>
      <c r="I115" s="493"/>
      <c r="J115" s="493"/>
      <c r="K115" s="493"/>
      <c r="L115" s="493"/>
      <c r="M115" s="493"/>
      <c r="N115" s="493"/>
      <c r="O115" s="493"/>
    </row>
    <row r="116">
      <c r="A116" s="323"/>
      <c r="B116" s="323"/>
      <c r="C116" s="323"/>
      <c r="D116" s="493"/>
      <c r="E116" s="493"/>
      <c r="F116" s="493"/>
      <c r="G116" s="493"/>
      <c r="H116" s="493"/>
      <c r="I116" s="493"/>
      <c r="J116" s="493"/>
      <c r="K116" s="493"/>
      <c r="L116" s="493"/>
      <c r="M116" s="493"/>
      <c r="N116" s="493"/>
      <c r="O116" s="493"/>
    </row>
    <row r="117">
      <c r="A117" s="323"/>
      <c r="B117" s="323"/>
      <c r="C117" s="323"/>
      <c r="D117" s="493"/>
      <c r="E117" s="493"/>
      <c r="F117" s="493"/>
      <c r="G117" s="493"/>
      <c r="H117" s="493"/>
      <c r="I117" s="493"/>
      <c r="J117" s="493"/>
      <c r="K117" s="493"/>
      <c r="L117" s="493"/>
      <c r="M117" s="493"/>
      <c r="N117" s="493"/>
      <c r="O117" s="493"/>
    </row>
    <row r="118">
      <c r="A118" s="323"/>
      <c r="B118" s="323"/>
      <c r="C118" s="323"/>
      <c r="D118" s="493"/>
      <c r="E118" s="493"/>
      <c r="F118" s="493"/>
      <c r="G118" s="493"/>
      <c r="H118" s="493"/>
      <c r="I118" s="493"/>
      <c r="J118" s="493"/>
      <c r="K118" s="493"/>
      <c r="L118" s="493"/>
      <c r="M118" s="493"/>
      <c r="N118" s="493"/>
      <c r="O118" s="493"/>
    </row>
    <row r="119">
      <c r="A119" s="323"/>
      <c r="B119" s="323"/>
      <c r="C119" s="323"/>
      <c r="D119" s="493"/>
      <c r="E119" s="493"/>
      <c r="F119" s="493"/>
      <c r="G119" s="493"/>
      <c r="H119" s="493"/>
      <c r="I119" s="493"/>
      <c r="J119" s="493"/>
      <c r="K119" s="493"/>
      <c r="L119" s="493"/>
      <c r="M119" s="493"/>
      <c r="N119" s="493"/>
      <c r="O119" s="493"/>
    </row>
    <row r="120">
      <c r="A120" s="323"/>
      <c r="B120" s="323"/>
      <c r="C120" s="323"/>
      <c r="D120" s="493"/>
      <c r="E120" s="493"/>
      <c r="F120" s="493"/>
      <c r="G120" s="493"/>
      <c r="H120" s="493"/>
      <c r="I120" s="493"/>
      <c r="J120" s="493"/>
      <c r="K120" s="493"/>
      <c r="L120" s="493"/>
      <c r="M120" s="493"/>
      <c r="N120" s="493"/>
      <c r="O120" s="493"/>
    </row>
    <row r="121">
      <c r="A121" s="323"/>
      <c r="B121" s="323"/>
      <c r="C121" s="323"/>
      <c r="D121" s="493"/>
      <c r="E121" s="493"/>
      <c r="F121" s="493"/>
      <c r="G121" s="493"/>
      <c r="H121" s="493"/>
      <c r="I121" s="493"/>
      <c r="J121" s="493"/>
      <c r="K121" s="493"/>
      <c r="L121" s="493"/>
      <c r="M121" s="493"/>
      <c r="N121" s="493"/>
      <c r="O121" s="493"/>
    </row>
    <row r="122">
      <c r="A122" s="323"/>
      <c r="B122" s="323"/>
      <c r="C122" s="323"/>
      <c r="D122" s="493"/>
      <c r="E122" s="493"/>
      <c r="F122" s="493"/>
      <c r="G122" s="493"/>
      <c r="H122" s="493"/>
      <c r="I122" s="493"/>
      <c r="J122" s="493"/>
      <c r="K122" s="493"/>
      <c r="L122" s="493"/>
      <c r="M122" s="493"/>
      <c r="N122" s="493"/>
      <c r="O122" s="493"/>
    </row>
    <row r="123">
      <c r="A123" s="323"/>
      <c r="B123" s="323"/>
      <c r="C123" s="323"/>
      <c r="D123" s="493"/>
      <c r="E123" s="493"/>
      <c r="F123" s="493"/>
      <c r="G123" s="493"/>
      <c r="H123" s="493"/>
      <c r="I123" s="493"/>
      <c r="J123" s="493"/>
      <c r="K123" s="493"/>
      <c r="L123" s="493"/>
      <c r="M123" s="493"/>
      <c r="N123" s="493"/>
      <c r="O123" s="493"/>
    </row>
    <row r="124">
      <c r="A124" s="323"/>
      <c r="B124" s="323"/>
      <c r="C124" s="323"/>
      <c r="D124" s="493"/>
      <c r="E124" s="493"/>
      <c r="F124" s="493"/>
      <c r="G124" s="493"/>
      <c r="H124" s="493"/>
      <c r="I124" s="493"/>
      <c r="J124" s="493"/>
      <c r="K124" s="493"/>
      <c r="L124" s="493"/>
      <c r="M124" s="493"/>
      <c r="N124" s="493"/>
      <c r="O124" s="493"/>
    </row>
    <row r="125">
      <c r="A125" s="323"/>
      <c r="B125" s="323"/>
      <c r="C125" s="323"/>
      <c r="D125" s="493"/>
      <c r="E125" s="493"/>
      <c r="F125" s="493"/>
      <c r="G125" s="493"/>
      <c r="H125" s="493"/>
      <c r="I125" s="493"/>
      <c r="J125" s="493"/>
      <c r="K125" s="493"/>
      <c r="L125" s="493"/>
      <c r="M125" s="493"/>
      <c r="N125" s="493"/>
      <c r="O125" s="493"/>
    </row>
    <row r="126">
      <c r="A126" s="323"/>
      <c r="B126" s="323"/>
      <c r="C126" s="323"/>
      <c r="D126" s="493"/>
      <c r="E126" s="493"/>
      <c r="F126" s="493"/>
      <c r="G126" s="493"/>
      <c r="H126" s="493"/>
      <c r="I126" s="493"/>
      <c r="J126" s="493"/>
      <c r="K126" s="493"/>
      <c r="L126" s="493"/>
      <c r="M126" s="493"/>
      <c r="N126" s="493"/>
      <c r="O126" s="493"/>
    </row>
    <row r="127">
      <c r="A127" s="323"/>
      <c r="B127" s="323"/>
      <c r="C127" s="323"/>
      <c r="D127" s="493"/>
      <c r="E127" s="493"/>
      <c r="F127" s="493"/>
      <c r="G127" s="493"/>
      <c r="H127" s="493"/>
      <c r="I127" s="493"/>
      <c r="J127" s="493"/>
      <c r="K127" s="493"/>
      <c r="L127" s="493"/>
      <c r="M127" s="493"/>
      <c r="N127" s="493"/>
      <c r="O127" s="493"/>
    </row>
    <row r="128">
      <c r="A128" s="323"/>
      <c r="B128" s="323"/>
      <c r="C128" s="323"/>
      <c r="D128" s="493"/>
      <c r="E128" s="493"/>
      <c r="F128" s="493"/>
      <c r="G128" s="493"/>
      <c r="H128" s="493"/>
      <c r="I128" s="493"/>
      <c r="J128" s="493"/>
      <c r="K128" s="493"/>
      <c r="L128" s="493"/>
      <c r="M128" s="493"/>
      <c r="N128" s="493"/>
      <c r="O128" s="493"/>
    </row>
    <row r="129">
      <c r="A129" s="323"/>
      <c r="B129" s="323"/>
      <c r="C129" s="323"/>
      <c r="D129" s="493"/>
      <c r="E129" s="493"/>
      <c r="F129" s="493"/>
      <c r="G129" s="493"/>
      <c r="H129" s="493"/>
      <c r="I129" s="493"/>
      <c r="J129" s="493"/>
      <c r="K129" s="493"/>
      <c r="L129" s="493"/>
      <c r="M129" s="493"/>
      <c r="N129" s="493"/>
      <c r="O129" s="493"/>
    </row>
    <row r="130">
      <c r="A130" s="323"/>
      <c r="B130" s="323"/>
      <c r="C130" s="323"/>
      <c r="D130" s="493"/>
      <c r="E130" s="493"/>
      <c r="F130" s="493"/>
      <c r="G130" s="493"/>
      <c r="H130" s="493"/>
      <c r="I130" s="493"/>
      <c r="J130" s="493"/>
      <c r="K130" s="493"/>
      <c r="L130" s="493"/>
      <c r="M130" s="493"/>
      <c r="N130" s="493"/>
      <c r="O130" s="493"/>
    </row>
    <row r="131">
      <c r="A131" s="323"/>
      <c r="B131" s="323"/>
      <c r="C131" s="323"/>
      <c r="D131" s="493"/>
      <c r="E131" s="493"/>
      <c r="F131" s="493"/>
      <c r="G131" s="493"/>
      <c r="H131" s="493"/>
      <c r="I131" s="493"/>
      <c r="J131" s="493"/>
      <c r="K131" s="493"/>
      <c r="L131" s="493"/>
      <c r="M131" s="493"/>
      <c r="N131" s="493"/>
      <c r="O131" s="493"/>
    </row>
    <row r="132">
      <c r="A132" s="323"/>
      <c r="B132" s="323"/>
      <c r="C132" s="323"/>
      <c r="D132" s="493"/>
      <c r="E132" s="493"/>
      <c r="F132" s="493"/>
      <c r="G132" s="493"/>
      <c r="H132" s="493"/>
      <c r="I132" s="493"/>
      <c r="J132" s="493"/>
      <c r="K132" s="493"/>
      <c r="L132" s="493"/>
      <c r="M132" s="493"/>
      <c r="N132" s="493"/>
      <c r="O132" s="493"/>
    </row>
    <row r="133">
      <c r="A133" s="323"/>
      <c r="B133" s="323"/>
      <c r="C133" s="323"/>
      <c r="D133" s="493"/>
      <c r="E133" s="493"/>
      <c r="F133" s="493"/>
      <c r="G133" s="493"/>
      <c r="H133" s="493"/>
      <c r="I133" s="493"/>
      <c r="J133" s="493"/>
      <c r="K133" s="493"/>
      <c r="L133" s="493"/>
      <c r="M133" s="493"/>
      <c r="N133" s="493"/>
      <c r="O133" s="493"/>
    </row>
    <row r="134">
      <c r="A134" s="323"/>
      <c r="B134" s="323"/>
      <c r="C134" s="323"/>
      <c r="D134" s="493"/>
      <c r="E134" s="493"/>
      <c r="F134" s="493"/>
      <c r="G134" s="493"/>
      <c r="H134" s="493"/>
      <c r="I134" s="493"/>
      <c r="J134" s="493"/>
      <c r="K134" s="493"/>
      <c r="L134" s="493"/>
      <c r="M134" s="493"/>
      <c r="N134" s="493"/>
      <c r="O134" s="493"/>
    </row>
    <row r="135">
      <c r="A135" s="323"/>
      <c r="B135" s="323"/>
      <c r="C135" s="323"/>
      <c r="D135" s="493"/>
      <c r="E135" s="493"/>
      <c r="F135" s="493"/>
      <c r="G135" s="493"/>
      <c r="H135" s="493"/>
      <c r="I135" s="493"/>
      <c r="J135" s="493"/>
      <c r="K135" s="493"/>
      <c r="L135" s="493"/>
      <c r="M135" s="493"/>
      <c r="N135" s="493"/>
      <c r="O135" s="493"/>
    </row>
    <row r="136">
      <c r="A136" s="323"/>
      <c r="B136" s="323"/>
      <c r="C136" s="323"/>
      <c r="D136" s="493"/>
      <c r="E136" s="493"/>
      <c r="F136" s="493"/>
      <c r="G136" s="493"/>
      <c r="H136" s="493"/>
      <c r="I136" s="493"/>
      <c r="J136" s="493"/>
      <c r="K136" s="493"/>
      <c r="L136" s="493"/>
      <c r="M136" s="493"/>
      <c r="N136" s="493"/>
      <c r="O136" s="493"/>
    </row>
    <row r="137">
      <c r="A137" s="323"/>
      <c r="B137" s="323"/>
      <c r="C137" s="323"/>
      <c r="D137" s="493"/>
      <c r="E137" s="493"/>
      <c r="F137" s="493"/>
      <c r="G137" s="493"/>
      <c r="H137" s="493"/>
      <c r="I137" s="493"/>
      <c r="J137" s="493"/>
      <c r="K137" s="493"/>
      <c r="L137" s="493"/>
      <c r="M137" s="493"/>
      <c r="N137" s="493"/>
      <c r="O137" s="493"/>
    </row>
    <row r="138">
      <c r="A138" s="323"/>
      <c r="B138" s="323"/>
      <c r="C138" s="323"/>
      <c r="D138" s="493"/>
      <c r="E138" s="493"/>
      <c r="F138" s="493"/>
      <c r="G138" s="493"/>
      <c r="H138" s="493"/>
      <c r="I138" s="493"/>
      <c r="J138" s="493"/>
      <c r="K138" s="493"/>
      <c r="L138" s="493"/>
      <c r="M138" s="493"/>
      <c r="N138" s="493"/>
      <c r="O138" s="493"/>
    </row>
    <row r="139">
      <c r="A139" s="323"/>
      <c r="B139" s="323"/>
      <c r="C139" s="323"/>
      <c r="D139" s="493"/>
      <c r="E139" s="493"/>
      <c r="F139" s="493"/>
      <c r="G139" s="493"/>
      <c r="H139" s="493"/>
      <c r="I139" s="493"/>
      <c r="J139" s="493"/>
      <c r="K139" s="493"/>
      <c r="L139" s="493"/>
      <c r="M139" s="493"/>
      <c r="N139" s="493"/>
      <c r="O139" s="493"/>
    </row>
    <row r="140">
      <c r="A140" s="323"/>
      <c r="B140" s="323"/>
      <c r="C140" s="323"/>
      <c r="D140" s="493"/>
      <c r="E140" s="493"/>
      <c r="F140" s="493"/>
      <c r="G140" s="493"/>
      <c r="H140" s="493"/>
      <c r="I140" s="493"/>
      <c r="J140" s="493"/>
      <c r="K140" s="493"/>
      <c r="L140" s="493"/>
      <c r="M140" s="493"/>
      <c r="N140" s="493"/>
      <c r="O140" s="493"/>
    </row>
    <row r="141">
      <c r="A141" s="323"/>
      <c r="B141" s="323"/>
      <c r="C141" s="323"/>
      <c r="D141" s="493"/>
      <c r="E141" s="493"/>
      <c r="F141" s="493"/>
      <c r="G141" s="493"/>
      <c r="H141" s="493"/>
      <c r="I141" s="493"/>
      <c r="J141" s="493"/>
      <c r="K141" s="493"/>
      <c r="L141" s="493"/>
      <c r="M141" s="493"/>
      <c r="N141" s="493"/>
      <c r="O141" s="493"/>
    </row>
    <row r="142">
      <c r="A142" s="323"/>
      <c r="B142" s="323"/>
      <c r="C142" s="323"/>
      <c r="D142" s="493"/>
      <c r="E142" s="493"/>
      <c r="F142" s="493"/>
      <c r="G142" s="493"/>
      <c r="H142" s="493"/>
      <c r="I142" s="493"/>
      <c r="J142" s="493"/>
      <c r="K142" s="493"/>
      <c r="L142" s="493"/>
      <c r="M142" s="493"/>
      <c r="N142" s="493"/>
      <c r="O142" s="493"/>
    </row>
    <row r="143">
      <c r="A143" s="323"/>
      <c r="B143" s="323"/>
      <c r="C143" s="323"/>
      <c r="D143" s="493"/>
      <c r="E143" s="493"/>
      <c r="F143" s="493"/>
      <c r="G143" s="493"/>
      <c r="H143" s="493"/>
      <c r="I143" s="493"/>
      <c r="J143" s="493"/>
      <c r="K143" s="493"/>
      <c r="L143" s="493"/>
      <c r="M143" s="493"/>
      <c r="N143" s="493"/>
      <c r="O143" s="493"/>
    </row>
    <row r="144">
      <c r="A144" s="323"/>
      <c r="B144" s="323"/>
      <c r="C144" s="323"/>
      <c r="D144" s="493"/>
      <c r="E144" s="493"/>
      <c r="F144" s="493"/>
      <c r="G144" s="493"/>
      <c r="H144" s="493"/>
      <c r="I144" s="493"/>
      <c r="J144" s="493"/>
      <c r="K144" s="493"/>
      <c r="L144" s="493"/>
      <c r="M144" s="493"/>
      <c r="N144" s="493"/>
      <c r="O144" s="493"/>
    </row>
    <row r="145">
      <c r="A145" s="323"/>
      <c r="B145" s="323"/>
      <c r="C145" s="323"/>
      <c r="D145" s="493"/>
      <c r="E145" s="493"/>
      <c r="F145" s="493"/>
      <c r="G145" s="493"/>
      <c r="H145" s="493"/>
      <c r="I145" s="493"/>
      <c r="J145" s="493"/>
      <c r="K145" s="493"/>
      <c r="L145" s="493"/>
      <c r="M145" s="493"/>
      <c r="N145" s="493"/>
      <c r="O145" s="493"/>
    </row>
    <row r="146">
      <c r="A146" s="323"/>
      <c r="B146" s="323"/>
      <c r="C146" s="323"/>
      <c r="D146" s="493"/>
      <c r="E146" s="493"/>
      <c r="F146" s="493"/>
      <c r="G146" s="493"/>
      <c r="H146" s="493"/>
      <c r="I146" s="493"/>
      <c r="J146" s="493"/>
      <c r="K146" s="493"/>
      <c r="L146" s="493"/>
      <c r="M146" s="493"/>
      <c r="N146" s="493"/>
      <c r="O146" s="493"/>
    </row>
    <row r="147">
      <c r="A147" s="323"/>
      <c r="B147" s="323"/>
      <c r="C147" s="323"/>
      <c r="D147" s="493"/>
      <c r="E147" s="493"/>
      <c r="F147" s="493"/>
      <c r="G147" s="493"/>
      <c r="H147" s="493"/>
      <c r="I147" s="493"/>
      <c r="J147" s="493"/>
      <c r="K147" s="493"/>
      <c r="L147" s="493"/>
      <c r="M147" s="493"/>
      <c r="N147" s="493"/>
      <c r="O147" s="493"/>
    </row>
    <row r="148">
      <c r="A148" s="323"/>
      <c r="B148" s="323"/>
      <c r="C148" s="323"/>
      <c r="D148" s="493"/>
      <c r="E148" s="493"/>
      <c r="F148" s="493"/>
      <c r="G148" s="493"/>
      <c r="H148" s="493"/>
      <c r="I148" s="493"/>
      <c r="J148" s="493"/>
      <c r="K148" s="493"/>
      <c r="L148" s="493"/>
      <c r="M148" s="493"/>
      <c r="N148" s="493"/>
      <c r="O148" s="493"/>
    </row>
    <row r="149">
      <c r="A149" s="323"/>
      <c r="B149" s="323"/>
      <c r="C149" s="323"/>
      <c r="D149" s="493"/>
      <c r="E149" s="493"/>
      <c r="F149" s="493"/>
      <c r="G149" s="493"/>
      <c r="H149" s="493"/>
      <c r="I149" s="493"/>
      <c r="J149" s="493"/>
      <c r="K149" s="493"/>
      <c r="L149" s="493"/>
      <c r="M149" s="493"/>
      <c r="N149" s="493"/>
      <c r="O149" s="493"/>
    </row>
    <row r="150">
      <c r="A150" s="323"/>
      <c r="B150" s="323"/>
      <c r="C150" s="323"/>
      <c r="D150" s="493"/>
      <c r="E150" s="493"/>
      <c r="F150" s="493"/>
      <c r="G150" s="493"/>
      <c r="H150" s="493"/>
      <c r="I150" s="493"/>
      <c r="J150" s="493"/>
      <c r="K150" s="493"/>
      <c r="L150" s="493"/>
      <c r="M150" s="493"/>
      <c r="N150" s="493"/>
      <c r="O150" s="493"/>
    </row>
    <row r="151">
      <c r="A151" s="323"/>
      <c r="B151" s="323"/>
      <c r="C151" s="323"/>
      <c r="D151" s="493"/>
      <c r="E151" s="493"/>
      <c r="F151" s="493"/>
      <c r="G151" s="493"/>
      <c r="H151" s="493"/>
      <c r="I151" s="493"/>
      <c r="J151" s="493"/>
      <c r="K151" s="493"/>
      <c r="L151" s="493"/>
      <c r="M151" s="493"/>
      <c r="N151" s="493"/>
      <c r="O151" s="493"/>
    </row>
    <row r="152">
      <c r="A152" s="323"/>
      <c r="B152" s="323"/>
      <c r="C152" s="323"/>
      <c r="D152" s="493"/>
      <c r="E152" s="493"/>
      <c r="F152" s="493"/>
      <c r="G152" s="493"/>
      <c r="H152" s="493"/>
      <c r="I152" s="493"/>
      <c r="J152" s="493"/>
      <c r="K152" s="493"/>
      <c r="L152" s="493"/>
      <c r="M152" s="493"/>
      <c r="N152" s="493"/>
      <c r="O152" s="493"/>
    </row>
    <row r="153">
      <c r="A153" s="323"/>
      <c r="B153" s="323"/>
      <c r="C153" s="323"/>
      <c r="D153" s="493"/>
      <c r="E153" s="493"/>
      <c r="F153" s="493"/>
      <c r="G153" s="493"/>
      <c r="H153" s="493"/>
      <c r="I153" s="493"/>
      <c r="J153" s="493"/>
      <c r="K153" s="493"/>
      <c r="L153" s="493"/>
      <c r="M153" s="493"/>
      <c r="N153" s="493"/>
      <c r="O153" s="493"/>
    </row>
    <row r="154">
      <c r="A154" s="323"/>
      <c r="B154" s="323"/>
      <c r="C154" s="323"/>
      <c r="D154" s="493"/>
      <c r="E154" s="493"/>
      <c r="F154" s="493"/>
      <c r="G154" s="493"/>
      <c r="H154" s="493"/>
      <c r="I154" s="493"/>
      <c r="J154" s="493"/>
      <c r="K154" s="493"/>
      <c r="L154" s="493"/>
      <c r="M154" s="493"/>
      <c r="N154" s="493"/>
      <c r="O154" s="493"/>
    </row>
    <row r="155">
      <c r="A155" s="323"/>
      <c r="B155" s="323"/>
      <c r="C155" s="323"/>
      <c r="D155" s="493"/>
      <c r="E155" s="493"/>
      <c r="F155" s="493"/>
      <c r="G155" s="493"/>
      <c r="H155" s="493"/>
      <c r="I155" s="493"/>
      <c r="J155" s="493"/>
      <c r="K155" s="493"/>
      <c r="L155" s="493"/>
      <c r="M155" s="493"/>
      <c r="N155" s="493"/>
      <c r="O155" s="493"/>
    </row>
    <row r="156">
      <c r="A156" s="323"/>
      <c r="B156" s="323"/>
      <c r="C156" s="323"/>
      <c r="D156" s="493"/>
      <c r="E156" s="493"/>
      <c r="F156" s="493"/>
      <c r="G156" s="493"/>
      <c r="H156" s="493"/>
      <c r="I156" s="493"/>
      <c r="J156" s="493"/>
      <c r="K156" s="493"/>
      <c r="L156" s="493"/>
      <c r="M156" s="493"/>
      <c r="N156" s="493"/>
      <c r="O156" s="493"/>
    </row>
    <row r="157">
      <c r="A157" s="323"/>
      <c r="B157" s="323"/>
      <c r="C157" s="323"/>
      <c r="D157" s="493"/>
      <c r="E157" s="493"/>
      <c r="F157" s="493"/>
      <c r="G157" s="493"/>
      <c r="H157" s="493"/>
      <c r="I157" s="493"/>
      <c r="J157" s="493"/>
      <c r="K157" s="493"/>
      <c r="L157" s="493"/>
      <c r="M157" s="493"/>
      <c r="N157" s="493"/>
      <c r="O157" s="493"/>
    </row>
    <row r="158">
      <c r="A158" s="323"/>
      <c r="B158" s="323"/>
      <c r="C158" s="323"/>
      <c r="D158" s="493"/>
      <c r="E158" s="493"/>
      <c r="F158" s="493"/>
      <c r="G158" s="493"/>
      <c r="H158" s="493"/>
      <c r="I158" s="493"/>
      <c r="J158" s="493"/>
      <c r="K158" s="493"/>
      <c r="L158" s="493"/>
      <c r="M158" s="493"/>
      <c r="N158" s="493"/>
      <c r="O158" s="493"/>
    </row>
    <row r="159">
      <c r="A159" s="323"/>
      <c r="B159" s="323"/>
      <c r="C159" s="323"/>
      <c r="D159" s="493"/>
      <c r="E159" s="493"/>
      <c r="F159" s="493"/>
      <c r="G159" s="493"/>
      <c r="H159" s="493"/>
      <c r="I159" s="493"/>
      <c r="J159" s="493"/>
      <c r="K159" s="493"/>
      <c r="L159" s="493"/>
      <c r="M159" s="493"/>
      <c r="N159" s="493"/>
      <c r="O159" s="493"/>
    </row>
    <row r="160">
      <c r="A160" s="323"/>
      <c r="B160" s="323"/>
      <c r="C160" s="323"/>
      <c r="D160" s="493"/>
      <c r="E160" s="493"/>
      <c r="F160" s="493"/>
      <c r="G160" s="493"/>
      <c r="H160" s="493"/>
      <c r="I160" s="493"/>
      <c r="J160" s="493"/>
      <c r="K160" s="493"/>
      <c r="L160" s="493"/>
      <c r="M160" s="493"/>
      <c r="N160" s="493"/>
      <c r="O160" s="493"/>
    </row>
    <row r="161">
      <c r="A161" s="323"/>
      <c r="B161" s="323"/>
      <c r="C161" s="323"/>
      <c r="D161" s="493"/>
      <c r="E161" s="493"/>
      <c r="F161" s="493"/>
      <c r="G161" s="493"/>
      <c r="H161" s="493"/>
      <c r="I161" s="493"/>
      <c r="J161" s="493"/>
      <c r="K161" s="493"/>
      <c r="L161" s="493"/>
      <c r="M161" s="493"/>
      <c r="N161" s="493"/>
      <c r="O161" s="493"/>
    </row>
    <row r="162">
      <c r="A162" s="323"/>
      <c r="B162" s="323"/>
      <c r="C162" s="323"/>
      <c r="D162" s="493"/>
      <c r="E162" s="493"/>
      <c r="F162" s="493"/>
      <c r="G162" s="493"/>
      <c r="H162" s="493"/>
      <c r="I162" s="493"/>
      <c r="J162" s="493"/>
      <c r="K162" s="493"/>
      <c r="L162" s="493"/>
      <c r="M162" s="493"/>
      <c r="N162" s="493"/>
      <c r="O162" s="493"/>
    </row>
    <row r="163">
      <c r="A163" s="323"/>
      <c r="B163" s="323"/>
      <c r="C163" s="323"/>
      <c r="D163" s="493"/>
      <c r="E163" s="493"/>
      <c r="F163" s="493"/>
      <c r="G163" s="493"/>
      <c r="H163" s="493"/>
      <c r="I163" s="493"/>
      <c r="J163" s="493"/>
      <c r="K163" s="493"/>
      <c r="L163" s="493"/>
      <c r="M163" s="493"/>
      <c r="N163" s="493"/>
      <c r="O163" s="493"/>
    </row>
    <row r="164">
      <c r="A164" s="323"/>
      <c r="B164" s="323"/>
      <c r="C164" s="323"/>
      <c r="D164" s="493"/>
      <c r="E164" s="493"/>
      <c r="F164" s="493"/>
      <c r="G164" s="493"/>
      <c r="H164" s="493"/>
      <c r="I164" s="493"/>
      <c r="J164" s="493"/>
      <c r="K164" s="493"/>
      <c r="L164" s="493"/>
      <c r="M164" s="493"/>
      <c r="N164" s="493"/>
      <c r="O164" s="493"/>
    </row>
    <row r="165">
      <c r="A165" s="323"/>
      <c r="B165" s="323"/>
      <c r="C165" s="323"/>
      <c r="D165" s="493"/>
      <c r="E165" s="493"/>
      <c r="F165" s="493"/>
      <c r="G165" s="493"/>
      <c r="H165" s="493"/>
      <c r="I165" s="493"/>
      <c r="J165" s="493"/>
      <c r="K165" s="493"/>
      <c r="L165" s="493"/>
      <c r="M165" s="493"/>
      <c r="N165" s="493"/>
      <c r="O165" s="493"/>
    </row>
    <row r="166">
      <c r="A166" s="323"/>
      <c r="B166" s="323"/>
      <c r="C166" s="323"/>
      <c r="D166" s="493"/>
      <c r="E166" s="493"/>
      <c r="F166" s="493"/>
      <c r="G166" s="493"/>
      <c r="H166" s="493"/>
      <c r="I166" s="493"/>
      <c r="J166" s="493"/>
      <c r="K166" s="493"/>
      <c r="L166" s="493"/>
      <c r="M166" s="493"/>
      <c r="N166" s="493"/>
      <c r="O166" s="493"/>
    </row>
    <row r="167">
      <c r="A167" s="323"/>
      <c r="B167" s="323"/>
      <c r="C167" s="323"/>
      <c r="D167" s="493"/>
      <c r="E167" s="493"/>
      <c r="F167" s="493"/>
      <c r="G167" s="493"/>
      <c r="H167" s="493"/>
      <c r="I167" s="493"/>
      <c r="J167" s="493"/>
      <c r="K167" s="493"/>
      <c r="L167" s="493"/>
      <c r="M167" s="493"/>
      <c r="N167" s="493"/>
      <c r="O167" s="493"/>
    </row>
    <row r="168">
      <c r="A168" s="323"/>
      <c r="B168" s="323"/>
      <c r="C168" s="323"/>
      <c r="D168" s="493"/>
      <c r="E168" s="493"/>
      <c r="F168" s="493"/>
      <c r="G168" s="493"/>
      <c r="H168" s="493"/>
      <c r="I168" s="493"/>
      <c r="J168" s="493"/>
      <c r="K168" s="493"/>
      <c r="L168" s="493"/>
      <c r="M168" s="493"/>
      <c r="N168" s="493"/>
      <c r="O168" s="493"/>
    </row>
    <row r="169">
      <c r="A169" s="323"/>
      <c r="B169" s="323"/>
      <c r="C169" s="323"/>
      <c r="D169" s="493"/>
      <c r="E169" s="493"/>
      <c r="F169" s="493"/>
      <c r="G169" s="493"/>
      <c r="H169" s="493"/>
      <c r="I169" s="493"/>
      <c r="J169" s="493"/>
      <c r="K169" s="493"/>
      <c r="L169" s="493"/>
      <c r="M169" s="493"/>
      <c r="N169" s="493"/>
      <c r="O169" s="493"/>
    </row>
    <row r="170">
      <c r="A170" s="323"/>
      <c r="B170" s="323"/>
      <c r="C170" s="323"/>
      <c r="D170" s="493"/>
      <c r="E170" s="493"/>
      <c r="F170" s="493"/>
      <c r="G170" s="493"/>
      <c r="H170" s="493"/>
      <c r="I170" s="493"/>
      <c r="J170" s="493"/>
      <c r="K170" s="493"/>
      <c r="L170" s="493"/>
      <c r="M170" s="493"/>
      <c r="N170" s="493"/>
      <c r="O170" s="493"/>
    </row>
    <row r="171">
      <c r="A171" s="323"/>
      <c r="B171" s="323"/>
      <c r="C171" s="323"/>
      <c r="D171" s="493"/>
      <c r="E171" s="493"/>
      <c r="F171" s="493"/>
      <c r="G171" s="493"/>
      <c r="H171" s="493"/>
      <c r="I171" s="493"/>
      <c r="J171" s="493"/>
      <c r="K171" s="493"/>
      <c r="L171" s="493"/>
      <c r="M171" s="493"/>
      <c r="N171" s="493"/>
      <c r="O171" s="493"/>
    </row>
    <row r="172">
      <c r="A172" s="323"/>
      <c r="B172" s="323"/>
      <c r="C172" s="323"/>
      <c r="D172" s="493"/>
      <c r="E172" s="493"/>
      <c r="F172" s="493"/>
      <c r="G172" s="493"/>
      <c r="H172" s="493"/>
      <c r="I172" s="493"/>
      <c r="J172" s="493"/>
      <c r="K172" s="493"/>
      <c r="L172" s="493"/>
      <c r="M172" s="493"/>
      <c r="N172" s="493"/>
      <c r="O172" s="493"/>
    </row>
    <row r="173">
      <c r="A173" s="323"/>
      <c r="B173" s="323"/>
      <c r="C173" s="323"/>
      <c r="D173" s="493"/>
      <c r="E173" s="493"/>
      <c r="F173" s="493"/>
      <c r="G173" s="493"/>
      <c r="H173" s="493"/>
      <c r="I173" s="493"/>
      <c r="J173" s="493"/>
      <c r="K173" s="493"/>
      <c r="L173" s="493"/>
      <c r="M173" s="493"/>
      <c r="N173" s="493"/>
      <c r="O173" s="493"/>
    </row>
    <row r="174">
      <c r="A174" s="323"/>
      <c r="B174" s="323"/>
      <c r="C174" s="323"/>
      <c r="D174" s="493"/>
      <c r="E174" s="493"/>
      <c r="F174" s="493"/>
      <c r="G174" s="493"/>
      <c r="H174" s="493"/>
      <c r="I174" s="493"/>
      <c r="J174" s="493"/>
      <c r="K174" s="493"/>
      <c r="L174" s="493"/>
      <c r="M174" s="493"/>
      <c r="N174" s="493"/>
      <c r="O174" s="493"/>
    </row>
    <row r="175">
      <c r="A175" s="323"/>
      <c r="B175" s="323"/>
      <c r="C175" s="323"/>
      <c r="D175" s="493"/>
      <c r="E175" s="493"/>
      <c r="F175" s="493"/>
      <c r="G175" s="493"/>
      <c r="H175" s="493"/>
      <c r="I175" s="493"/>
      <c r="J175" s="493"/>
      <c r="K175" s="493"/>
      <c r="L175" s="493"/>
      <c r="M175" s="493"/>
      <c r="N175" s="493"/>
      <c r="O175" s="493"/>
    </row>
    <row r="176">
      <c r="A176" s="323"/>
      <c r="B176" s="323"/>
      <c r="C176" s="323"/>
      <c r="D176" s="493"/>
      <c r="E176" s="493"/>
      <c r="F176" s="493"/>
      <c r="G176" s="493"/>
      <c r="H176" s="493"/>
      <c r="I176" s="493"/>
      <c r="J176" s="493"/>
      <c r="K176" s="493"/>
      <c r="L176" s="493"/>
      <c r="M176" s="493"/>
      <c r="N176" s="493"/>
      <c r="O176" s="493"/>
    </row>
    <row r="177">
      <c r="A177" s="323"/>
      <c r="B177" s="323"/>
      <c r="C177" s="323"/>
      <c r="D177" s="493"/>
      <c r="E177" s="493"/>
      <c r="F177" s="493"/>
      <c r="G177" s="493"/>
      <c r="H177" s="493"/>
      <c r="I177" s="493"/>
      <c r="J177" s="493"/>
      <c r="K177" s="493"/>
      <c r="L177" s="493"/>
      <c r="M177" s="493"/>
      <c r="N177" s="493"/>
      <c r="O177" s="493"/>
    </row>
    <row r="178">
      <c r="A178" s="323"/>
      <c r="B178" s="323"/>
      <c r="C178" s="323"/>
      <c r="D178" s="493"/>
      <c r="E178" s="493"/>
      <c r="F178" s="493"/>
      <c r="G178" s="493"/>
      <c r="H178" s="493"/>
      <c r="I178" s="493"/>
      <c r="J178" s="493"/>
      <c r="K178" s="493"/>
      <c r="L178" s="493"/>
      <c r="M178" s="493"/>
      <c r="N178" s="493"/>
      <c r="O178" s="493"/>
    </row>
    <row r="179">
      <c r="A179" s="323"/>
      <c r="B179" s="323"/>
      <c r="C179" s="323"/>
      <c r="D179" s="493"/>
      <c r="E179" s="493"/>
      <c r="F179" s="493"/>
      <c r="G179" s="493"/>
      <c r="H179" s="493"/>
      <c r="I179" s="493"/>
      <c r="J179" s="493"/>
      <c r="K179" s="493"/>
      <c r="L179" s="493"/>
      <c r="M179" s="493"/>
      <c r="N179" s="493"/>
      <c r="O179" s="493"/>
    </row>
    <row r="180">
      <c r="A180" s="323"/>
      <c r="B180" s="323"/>
      <c r="C180" s="323"/>
      <c r="D180" s="493"/>
      <c r="E180" s="493"/>
      <c r="F180" s="493"/>
      <c r="G180" s="493"/>
      <c r="H180" s="493"/>
      <c r="I180" s="493"/>
      <c r="J180" s="493"/>
      <c r="K180" s="493"/>
      <c r="L180" s="493"/>
      <c r="M180" s="493"/>
      <c r="N180" s="493"/>
      <c r="O180" s="493"/>
    </row>
    <row r="181">
      <c r="A181" s="323"/>
      <c r="B181" s="323"/>
      <c r="C181" s="323"/>
      <c r="D181" s="493"/>
      <c r="E181" s="493"/>
      <c r="F181" s="493"/>
      <c r="G181" s="493"/>
      <c r="H181" s="493"/>
      <c r="I181" s="493"/>
      <c r="J181" s="493"/>
      <c r="K181" s="493"/>
      <c r="L181" s="493"/>
      <c r="M181" s="493"/>
      <c r="N181" s="493"/>
      <c r="O181" s="493"/>
    </row>
    <row r="182">
      <c r="A182" s="323"/>
      <c r="B182" s="323"/>
      <c r="C182" s="323"/>
      <c r="D182" s="493"/>
      <c r="E182" s="493"/>
      <c r="F182" s="493"/>
      <c r="G182" s="493"/>
      <c r="H182" s="493"/>
      <c r="I182" s="493"/>
      <c r="J182" s="493"/>
      <c r="K182" s="493"/>
      <c r="L182" s="493"/>
      <c r="M182" s="493"/>
      <c r="N182" s="493"/>
      <c r="O182" s="493"/>
    </row>
    <row r="183">
      <c r="A183" s="323"/>
      <c r="B183" s="323"/>
      <c r="C183" s="323"/>
      <c r="D183" s="493"/>
      <c r="E183" s="493"/>
      <c r="F183" s="493"/>
      <c r="G183" s="493"/>
      <c r="H183" s="493"/>
      <c r="I183" s="493"/>
      <c r="J183" s="493"/>
      <c r="K183" s="493"/>
      <c r="L183" s="493"/>
      <c r="M183" s="493"/>
      <c r="N183" s="493"/>
      <c r="O183" s="493"/>
    </row>
    <row r="184">
      <c r="A184" s="323"/>
      <c r="B184" s="323"/>
      <c r="C184" s="323"/>
      <c r="D184" s="493"/>
      <c r="E184" s="493"/>
      <c r="F184" s="493"/>
      <c r="G184" s="493"/>
      <c r="H184" s="493"/>
      <c r="I184" s="493"/>
      <c r="J184" s="493"/>
      <c r="K184" s="493"/>
      <c r="L184" s="493"/>
      <c r="M184" s="493"/>
      <c r="N184" s="493"/>
      <c r="O184" s="493"/>
    </row>
    <row r="185">
      <c r="A185" s="323"/>
      <c r="B185" s="323"/>
      <c r="C185" s="323"/>
      <c r="D185" s="493"/>
      <c r="E185" s="493"/>
      <c r="F185" s="493"/>
      <c r="G185" s="493"/>
      <c r="H185" s="493"/>
      <c r="I185" s="493"/>
      <c r="J185" s="493"/>
      <c r="K185" s="493"/>
      <c r="L185" s="493"/>
      <c r="M185" s="493"/>
      <c r="N185" s="493"/>
      <c r="O185" s="493"/>
    </row>
    <row r="186">
      <c r="A186" s="323"/>
      <c r="B186" s="323"/>
      <c r="C186" s="323"/>
      <c r="D186" s="493"/>
      <c r="E186" s="493"/>
      <c r="F186" s="493"/>
      <c r="G186" s="493"/>
      <c r="H186" s="493"/>
      <c r="I186" s="493"/>
      <c r="J186" s="493"/>
      <c r="K186" s="493"/>
      <c r="L186" s="493"/>
      <c r="M186" s="493"/>
      <c r="N186" s="493"/>
      <c r="O186" s="493"/>
    </row>
    <row r="187">
      <c r="A187" s="323"/>
      <c r="B187" s="323"/>
      <c r="C187" s="323"/>
      <c r="D187" s="493"/>
      <c r="E187" s="493"/>
      <c r="F187" s="493"/>
      <c r="G187" s="493"/>
      <c r="H187" s="493"/>
      <c r="I187" s="493"/>
      <c r="J187" s="493"/>
      <c r="K187" s="493"/>
      <c r="L187" s="493"/>
      <c r="M187" s="493"/>
      <c r="N187" s="493"/>
      <c r="O187" s="493"/>
    </row>
    <row r="188">
      <c r="A188" s="323"/>
      <c r="B188" s="323"/>
      <c r="C188" s="323"/>
      <c r="D188" s="493"/>
      <c r="E188" s="493"/>
      <c r="F188" s="493"/>
      <c r="G188" s="493"/>
      <c r="H188" s="493"/>
      <c r="I188" s="493"/>
      <c r="J188" s="493"/>
      <c r="K188" s="493"/>
      <c r="L188" s="493"/>
      <c r="M188" s="493"/>
      <c r="N188" s="493"/>
      <c r="O188" s="493"/>
    </row>
    <row r="189">
      <c r="A189" s="323"/>
      <c r="B189" s="323"/>
      <c r="C189" s="323"/>
      <c r="D189" s="493"/>
      <c r="E189" s="493"/>
      <c r="F189" s="493"/>
      <c r="G189" s="493"/>
      <c r="H189" s="493"/>
      <c r="I189" s="493"/>
      <c r="J189" s="493"/>
      <c r="K189" s="493"/>
      <c r="L189" s="493"/>
      <c r="M189" s="493"/>
      <c r="N189" s="493"/>
      <c r="O189" s="493"/>
    </row>
    <row r="190">
      <c r="A190" s="323"/>
      <c r="B190" s="323"/>
      <c r="C190" s="323"/>
      <c r="D190" s="493"/>
      <c r="E190" s="493"/>
      <c r="F190" s="493"/>
      <c r="G190" s="493"/>
      <c r="H190" s="493"/>
      <c r="I190" s="493"/>
      <c r="J190" s="493"/>
      <c r="K190" s="493"/>
      <c r="L190" s="493"/>
      <c r="M190" s="493"/>
      <c r="N190" s="493"/>
      <c r="O190" s="493"/>
    </row>
    <row r="191">
      <c r="A191" s="323"/>
      <c r="B191" s="323"/>
      <c r="C191" s="323"/>
      <c r="D191" s="493"/>
      <c r="E191" s="493"/>
      <c r="F191" s="493"/>
      <c r="G191" s="493"/>
      <c r="H191" s="493"/>
      <c r="I191" s="493"/>
      <c r="J191" s="493"/>
      <c r="K191" s="493"/>
      <c r="L191" s="493"/>
      <c r="M191" s="493"/>
      <c r="N191" s="493"/>
      <c r="O191" s="493"/>
    </row>
    <row r="192">
      <c r="A192" s="323"/>
      <c r="B192" s="323"/>
      <c r="C192" s="323"/>
      <c r="D192" s="493"/>
      <c r="E192" s="493"/>
      <c r="F192" s="493"/>
      <c r="G192" s="493"/>
      <c r="H192" s="493"/>
      <c r="I192" s="493"/>
      <c r="J192" s="493"/>
      <c r="K192" s="493"/>
      <c r="L192" s="493"/>
      <c r="M192" s="493"/>
      <c r="N192" s="493"/>
      <c r="O192" s="493"/>
    </row>
    <row r="193">
      <c r="A193" s="323"/>
      <c r="B193" s="323"/>
      <c r="C193" s="323"/>
      <c r="D193" s="493"/>
      <c r="E193" s="493"/>
      <c r="F193" s="493"/>
      <c r="G193" s="493"/>
      <c r="H193" s="493"/>
      <c r="I193" s="493"/>
      <c r="J193" s="493"/>
      <c r="K193" s="493"/>
      <c r="L193" s="493"/>
      <c r="M193" s="493"/>
      <c r="N193" s="493"/>
      <c r="O193" s="493"/>
    </row>
    <row r="194">
      <c r="A194" s="323"/>
      <c r="B194" s="323"/>
      <c r="C194" s="323"/>
      <c r="D194" s="493"/>
      <c r="E194" s="493"/>
      <c r="F194" s="493"/>
      <c r="G194" s="493"/>
      <c r="H194" s="493"/>
      <c r="I194" s="493"/>
      <c r="J194" s="493"/>
      <c r="K194" s="493"/>
      <c r="L194" s="493"/>
      <c r="M194" s="493"/>
      <c r="N194" s="493"/>
      <c r="O194" s="493"/>
    </row>
    <row r="195">
      <c r="A195" s="323"/>
      <c r="B195" s="323"/>
      <c r="C195" s="323"/>
      <c r="D195" s="493"/>
      <c r="E195" s="493"/>
      <c r="F195" s="493"/>
      <c r="G195" s="493"/>
      <c r="H195" s="493"/>
      <c r="I195" s="493"/>
      <c r="J195" s="493"/>
      <c r="K195" s="493"/>
      <c r="L195" s="493"/>
      <c r="M195" s="493"/>
      <c r="N195" s="493"/>
      <c r="O195" s="493"/>
    </row>
    <row r="196">
      <c r="A196" s="323"/>
      <c r="B196" s="323"/>
      <c r="C196" s="323"/>
      <c r="D196" s="493"/>
      <c r="E196" s="493"/>
      <c r="F196" s="493"/>
      <c r="G196" s="493"/>
      <c r="H196" s="493"/>
      <c r="I196" s="493"/>
      <c r="J196" s="493"/>
      <c r="K196" s="493"/>
      <c r="L196" s="493"/>
      <c r="M196" s="493"/>
      <c r="N196" s="493"/>
      <c r="O196" s="493"/>
    </row>
    <row r="197">
      <c r="A197" s="323"/>
      <c r="B197" s="323"/>
      <c r="C197" s="323"/>
      <c r="D197" s="493"/>
      <c r="E197" s="493"/>
      <c r="F197" s="493"/>
      <c r="G197" s="493"/>
      <c r="H197" s="493"/>
      <c r="I197" s="493"/>
      <c r="J197" s="493"/>
      <c r="K197" s="493"/>
      <c r="L197" s="493"/>
      <c r="M197" s="493"/>
      <c r="N197" s="493"/>
      <c r="O197" s="493"/>
    </row>
    <row r="198">
      <c r="A198" s="323"/>
      <c r="B198" s="323"/>
      <c r="C198" s="323"/>
      <c r="D198" s="493"/>
      <c r="E198" s="493"/>
      <c r="F198" s="493"/>
      <c r="G198" s="493"/>
      <c r="H198" s="493"/>
      <c r="I198" s="493"/>
      <c r="J198" s="493"/>
      <c r="K198" s="493"/>
      <c r="L198" s="493"/>
      <c r="M198" s="493"/>
      <c r="N198" s="493"/>
      <c r="O198" s="493"/>
    </row>
    <row r="199">
      <c r="A199" s="323"/>
      <c r="B199" s="323"/>
      <c r="C199" s="323"/>
      <c r="D199" s="493"/>
      <c r="E199" s="493"/>
      <c r="F199" s="493"/>
      <c r="G199" s="493"/>
      <c r="H199" s="493"/>
      <c r="I199" s="493"/>
      <c r="J199" s="493"/>
      <c r="K199" s="493"/>
      <c r="L199" s="493"/>
      <c r="M199" s="493"/>
      <c r="N199" s="493"/>
      <c r="O199" s="493"/>
    </row>
    <row r="200">
      <c r="A200" s="323"/>
      <c r="B200" s="323"/>
      <c r="C200" s="323"/>
      <c r="D200" s="493"/>
      <c r="E200" s="493"/>
      <c r="F200" s="493"/>
      <c r="G200" s="493"/>
      <c r="H200" s="493"/>
      <c r="I200" s="493"/>
      <c r="J200" s="493"/>
      <c r="K200" s="493"/>
      <c r="L200" s="493"/>
      <c r="M200" s="493"/>
      <c r="N200" s="493"/>
      <c r="O200" s="493"/>
    </row>
    <row r="201">
      <c r="A201" s="323"/>
      <c r="B201" s="323"/>
      <c r="C201" s="323"/>
      <c r="D201" s="493"/>
      <c r="E201" s="493"/>
      <c r="F201" s="493"/>
      <c r="G201" s="493"/>
      <c r="H201" s="493"/>
      <c r="I201" s="493"/>
      <c r="J201" s="493"/>
      <c r="K201" s="493"/>
      <c r="L201" s="493"/>
      <c r="M201" s="493"/>
      <c r="N201" s="493"/>
      <c r="O201" s="493"/>
    </row>
    <row r="202">
      <c r="A202" s="323"/>
      <c r="B202" s="323"/>
      <c r="C202" s="323"/>
      <c r="D202" s="493"/>
      <c r="E202" s="493"/>
      <c r="F202" s="493"/>
      <c r="G202" s="493"/>
      <c r="H202" s="493"/>
      <c r="I202" s="493"/>
      <c r="J202" s="493"/>
      <c r="K202" s="493"/>
      <c r="L202" s="493"/>
      <c r="M202" s="493"/>
      <c r="N202" s="493"/>
      <c r="O202" s="493"/>
    </row>
    <row r="203">
      <c r="A203" s="323"/>
      <c r="B203" s="323"/>
      <c r="C203" s="323"/>
      <c r="D203" s="493"/>
      <c r="E203" s="493"/>
      <c r="F203" s="493"/>
      <c r="G203" s="493"/>
      <c r="H203" s="493"/>
      <c r="I203" s="493"/>
      <c r="J203" s="493"/>
      <c r="K203" s="493"/>
      <c r="L203" s="493"/>
      <c r="M203" s="493"/>
      <c r="N203" s="493"/>
      <c r="O203" s="493"/>
    </row>
    <row r="204">
      <c r="A204" s="323"/>
      <c r="B204" s="323"/>
      <c r="C204" s="323"/>
      <c r="D204" s="493"/>
      <c r="E204" s="493"/>
      <c r="F204" s="493"/>
      <c r="G204" s="493"/>
      <c r="H204" s="493"/>
      <c r="I204" s="493"/>
      <c r="J204" s="493"/>
      <c r="K204" s="493"/>
      <c r="L204" s="493"/>
      <c r="M204" s="493"/>
      <c r="N204" s="493"/>
      <c r="O204" s="493"/>
    </row>
    <row r="205">
      <c r="A205" s="323"/>
      <c r="B205" s="323"/>
      <c r="C205" s="323"/>
      <c r="D205" s="493"/>
      <c r="E205" s="493"/>
      <c r="F205" s="493"/>
      <c r="G205" s="493"/>
      <c r="H205" s="493"/>
      <c r="I205" s="493"/>
      <c r="J205" s="493"/>
      <c r="K205" s="493"/>
      <c r="L205" s="493"/>
      <c r="M205" s="493"/>
      <c r="N205" s="493"/>
      <c r="O205" s="493"/>
    </row>
    <row r="206">
      <c r="A206" s="323"/>
      <c r="B206" s="323"/>
      <c r="C206" s="323"/>
      <c r="D206" s="493"/>
      <c r="E206" s="493"/>
      <c r="F206" s="493"/>
      <c r="G206" s="493"/>
      <c r="H206" s="493"/>
      <c r="I206" s="493"/>
      <c r="J206" s="493"/>
      <c r="K206" s="493"/>
      <c r="L206" s="493"/>
      <c r="M206" s="493"/>
      <c r="N206" s="493"/>
      <c r="O206" s="493"/>
    </row>
    <row r="207">
      <c r="A207" s="323"/>
      <c r="B207" s="323"/>
      <c r="C207" s="323"/>
      <c r="D207" s="493"/>
      <c r="E207" s="493"/>
      <c r="F207" s="493"/>
      <c r="G207" s="493"/>
      <c r="H207" s="493"/>
      <c r="I207" s="493"/>
      <c r="J207" s="493"/>
      <c r="K207" s="493"/>
      <c r="L207" s="493"/>
      <c r="M207" s="493"/>
      <c r="N207" s="493"/>
      <c r="O207" s="493"/>
    </row>
    <row r="208">
      <c r="A208" s="323"/>
      <c r="B208" s="323"/>
      <c r="C208" s="323"/>
      <c r="D208" s="493"/>
      <c r="E208" s="493"/>
      <c r="F208" s="493"/>
      <c r="G208" s="493"/>
      <c r="H208" s="493"/>
      <c r="I208" s="493"/>
      <c r="J208" s="493"/>
      <c r="K208" s="493"/>
      <c r="L208" s="493"/>
      <c r="M208" s="493"/>
      <c r="N208" s="493"/>
      <c r="O208" s="493"/>
    </row>
    <row r="209">
      <c r="A209" s="323"/>
      <c r="B209" s="323"/>
      <c r="C209" s="323"/>
      <c r="D209" s="493"/>
      <c r="E209" s="493"/>
      <c r="F209" s="493"/>
      <c r="G209" s="493"/>
      <c r="H209" s="493"/>
      <c r="I209" s="493"/>
      <c r="J209" s="493"/>
      <c r="K209" s="493"/>
      <c r="L209" s="493"/>
      <c r="M209" s="493"/>
      <c r="N209" s="493"/>
      <c r="O209" s="493"/>
    </row>
    <row r="210">
      <c r="A210" s="323"/>
      <c r="B210" s="323"/>
      <c r="C210" s="323"/>
      <c r="D210" s="493"/>
      <c r="E210" s="493"/>
      <c r="F210" s="493"/>
      <c r="G210" s="493"/>
      <c r="H210" s="493"/>
      <c r="I210" s="493"/>
      <c r="J210" s="493"/>
      <c r="K210" s="493"/>
      <c r="L210" s="493"/>
      <c r="M210" s="493"/>
      <c r="N210" s="493"/>
      <c r="O210" s="493"/>
    </row>
    <row r="211">
      <c r="A211" s="323"/>
      <c r="B211" s="323"/>
      <c r="C211" s="323"/>
      <c r="D211" s="493"/>
      <c r="E211" s="493"/>
      <c r="F211" s="493"/>
      <c r="G211" s="493"/>
      <c r="H211" s="493"/>
      <c r="I211" s="493"/>
      <c r="J211" s="493"/>
      <c r="K211" s="493"/>
      <c r="L211" s="493"/>
      <c r="M211" s="493"/>
      <c r="N211" s="493"/>
      <c r="O211" s="493"/>
    </row>
    <row r="212">
      <c r="A212" s="323"/>
      <c r="B212" s="323"/>
      <c r="C212" s="323"/>
      <c r="D212" s="493"/>
      <c r="E212" s="493"/>
      <c r="F212" s="493"/>
      <c r="G212" s="493"/>
      <c r="H212" s="493"/>
      <c r="I212" s="493"/>
      <c r="J212" s="493"/>
      <c r="K212" s="493"/>
      <c r="L212" s="493"/>
      <c r="M212" s="493"/>
      <c r="N212" s="493"/>
      <c r="O212" s="493"/>
    </row>
    <row r="213">
      <c r="A213" s="323"/>
      <c r="B213" s="323"/>
      <c r="C213" s="323"/>
      <c r="D213" s="493"/>
      <c r="E213" s="493"/>
      <c r="F213" s="493"/>
      <c r="G213" s="493"/>
      <c r="H213" s="493"/>
      <c r="I213" s="493"/>
      <c r="J213" s="493"/>
      <c r="K213" s="493"/>
      <c r="L213" s="493"/>
      <c r="M213" s="493"/>
      <c r="N213" s="493"/>
      <c r="O213" s="493"/>
    </row>
    <row r="214">
      <c r="A214" s="323"/>
      <c r="B214" s="323"/>
      <c r="C214" s="323"/>
      <c r="D214" s="493"/>
      <c r="E214" s="493"/>
      <c r="F214" s="493"/>
      <c r="G214" s="493"/>
      <c r="H214" s="493"/>
      <c r="I214" s="493"/>
      <c r="J214" s="493"/>
      <c r="K214" s="493"/>
      <c r="L214" s="493"/>
      <c r="M214" s="493"/>
      <c r="N214" s="493"/>
      <c r="O214" s="493"/>
    </row>
    <row r="215">
      <c r="A215" s="323"/>
      <c r="B215" s="323"/>
      <c r="C215" s="323"/>
      <c r="D215" s="493"/>
      <c r="E215" s="493"/>
      <c r="F215" s="493"/>
      <c r="G215" s="493"/>
      <c r="H215" s="493"/>
      <c r="I215" s="493"/>
      <c r="J215" s="493"/>
      <c r="K215" s="493"/>
      <c r="L215" s="493"/>
      <c r="M215" s="493"/>
      <c r="N215" s="493"/>
      <c r="O215" s="493"/>
    </row>
    <row r="216">
      <c r="A216" s="323"/>
      <c r="B216" s="323"/>
      <c r="C216" s="323"/>
      <c r="D216" s="493"/>
      <c r="E216" s="493"/>
      <c r="F216" s="493"/>
      <c r="G216" s="493"/>
      <c r="H216" s="493"/>
      <c r="I216" s="493"/>
      <c r="J216" s="493"/>
      <c r="K216" s="493"/>
      <c r="L216" s="493"/>
      <c r="M216" s="493"/>
      <c r="N216" s="493"/>
      <c r="O216" s="493"/>
    </row>
    <row r="217">
      <c r="A217" s="323"/>
      <c r="B217" s="323"/>
      <c r="C217" s="323"/>
      <c r="D217" s="493"/>
      <c r="E217" s="493"/>
      <c r="F217" s="493"/>
      <c r="G217" s="493"/>
      <c r="H217" s="493"/>
      <c r="I217" s="493"/>
      <c r="J217" s="493"/>
      <c r="K217" s="493"/>
      <c r="L217" s="493"/>
      <c r="M217" s="493"/>
      <c r="N217" s="493"/>
      <c r="O217" s="493"/>
    </row>
    <row r="218">
      <c r="A218" s="323"/>
      <c r="B218" s="323"/>
      <c r="C218" s="323"/>
      <c r="D218" s="493"/>
      <c r="E218" s="493"/>
      <c r="F218" s="493"/>
      <c r="G218" s="493"/>
      <c r="H218" s="493"/>
      <c r="I218" s="493"/>
      <c r="J218" s="493"/>
      <c r="K218" s="493"/>
      <c r="L218" s="493"/>
      <c r="M218" s="493"/>
      <c r="N218" s="493"/>
      <c r="O218" s="493"/>
    </row>
    <row r="219">
      <c r="A219" s="323"/>
      <c r="B219" s="323"/>
      <c r="C219" s="323"/>
      <c r="D219" s="493"/>
      <c r="E219" s="493"/>
      <c r="F219" s="493"/>
      <c r="G219" s="493"/>
      <c r="H219" s="493"/>
      <c r="I219" s="493"/>
      <c r="J219" s="493"/>
      <c r="K219" s="493"/>
      <c r="L219" s="493"/>
      <c r="M219" s="493"/>
      <c r="N219" s="493"/>
      <c r="O219" s="493"/>
    </row>
    <row r="220">
      <c r="A220" s="323"/>
      <c r="B220" s="323"/>
      <c r="C220" s="323"/>
      <c r="D220" s="493"/>
      <c r="E220" s="493"/>
      <c r="F220" s="493"/>
      <c r="G220" s="493"/>
      <c r="H220" s="493"/>
      <c r="I220" s="493"/>
      <c r="J220" s="493"/>
      <c r="K220" s="493"/>
      <c r="L220" s="493"/>
      <c r="M220" s="493"/>
      <c r="N220" s="493"/>
      <c r="O220" s="493"/>
    </row>
    <row r="221">
      <c r="A221" s="323"/>
      <c r="B221" s="323"/>
      <c r="C221" s="323"/>
      <c r="D221" s="493"/>
      <c r="E221" s="493"/>
      <c r="F221" s="493"/>
      <c r="G221" s="493"/>
      <c r="H221" s="493"/>
      <c r="I221" s="493"/>
      <c r="J221" s="493"/>
      <c r="K221" s="493"/>
      <c r="L221" s="493"/>
      <c r="M221" s="493"/>
      <c r="N221" s="493"/>
      <c r="O221" s="493"/>
    </row>
    <row r="222">
      <c r="A222" s="323"/>
      <c r="B222" s="323"/>
      <c r="C222" s="323"/>
      <c r="D222" s="493"/>
      <c r="E222" s="493"/>
      <c r="F222" s="493"/>
      <c r="G222" s="493"/>
      <c r="H222" s="493"/>
      <c r="I222" s="493"/>
      <c r="J222" s="493"/>
      <c r="K222" s="493"/>
      <c r="L222" s="493"/>
      <c r="M222" s="493"/>
      <c r="N222" s="493"/>
      <c r="O222" s="493"/>
    </row>
    <row r="223">
      <c r="A223" s="323"/>
      <c r="B223" s="323"/>
      <c r="C223" s="323"/>
      <c r="D223" s="493"/>
      <c r="E223" s="493"/>
      <c r="F223" s="493"/>
      <c r="G223" s="493"/>
      <c r="H223" s="493"/>
      <c r="I223" s="493"/>
      <c r="J223" s="493"/>
      <c r="K223" s="493"/>
      <c r="L223" s="493"/>
      <c r="M223" s="493"/>
      <c r="N223" s="493"/>
      <c r="O223" s="493"/>
    </row>
    <row r="224">
      <c r="A224" s="323"/>
      <c r="B224" s="323"/>
      <c r="C224" s="323"/>
      <c r="D224" s="493"/>
      <c r="E224" s="493"/>
      <c r="F224" s="493"/>
      <c r="G224" s="493"/>
      <c r="H224" s="493"/>
      <c r="I224" s="493"/>
      <c r="J224" s="493"/>
      <c r="K224" s="493"/>
      <c r="L224" s="493"/>
      <c r="M224" s="493"/>
      <c r="N224" s="493"/>
      <c r="O224" s="493"/>
    </row>
    <row r="225">
      <c r="A225" s="323"/>
      <c r="B225" s="323"/>
      <c r="C225" s="323"/>
      <c r="D225" s="493"/>
      <c r="E225" s="493"/>
      <c r="F225" s="493"/>
      <c r="G225" s="493"/>
      <c r="H225" s="493"/>
      <c r="I225" s="493"/>
      <c r="J225" s="493"/>
      <c r="K225" s="493"/>
      <c r="L225" s="493"/>
      <c r="M225" s="493"/>
      <c r="N225" s="493"/>
      <c r="O225" s="493"/>
    </row>
    <row r="226">
      <c r="A226" s="323"/>
      <c r="B226" s="323"/>
      <c r="C226" s="323"/>
      <c r="D226" s="493"/>
      <c r="E226" s="493"/>
      <c r="F226" s="493"/>
      <c r="G226" s="493"/>
      <c r="H226" s="493"/>
      <c r="I226" s="493"/>
      <c r="J226" s="493"/>
      <c r="K226" s="493"/>
      <c r="L226" s="493"/>
      <c r="M226" s="493"/>
      <c r="N226" s="493"/>
      <c r="O226" s="493"/>
    </row>
    <row r="227">
      <c r="A227" s="323"/>
      <c r="B227" s="323"/>
      <c r="C227" s="323"/>
      <c r="D227" s="493"/>
      <c r="E227" s="493"/>
      <c r="F227" s="493"/>
      <c r="G227" s="493"/>
      <c r="H227" s="493"/>
      <c r="I227" s="493"/>
      <c r="J227" s="493"/>
      <c r="K227" s="493"/>
      <c r="L227" s="493"/>
      <c r="M227" s="493"/>
      <c r="N227" s="493"/>
      <c r="O227" s="493"/>
    </row>
    <row r="228">
      <c r="A228" s="323"/>
      <c r="B228" s="323"/>
      <c r="C228" s="323"/>
      <c r="D228" s="493"/>
      <c r="E228" s="493"/>
      <c r="F228" s="493"/>
      <c r="G228" s="493"/>
      <c r="H228" s="493"/>
      <c r="I228" s="493"/>
      <c r="J228" s="493"/>
      <c r="K228" s="493"/>
      <c r="L228" s="493"/>
      <c r="M228" s="493"/>
      <c r="N228" s="493"/>
      <c r="O228" s="493"/>
    </row>
    <row r="229">
      <c r="A229" s="323"/>
      <c r="B229" s="323"/>
      <c r="C229" s="323"/>
      <c r="D229" s="493"/>
      <c r="E229" s="493"/>
      <c r="F229" s="493"/>
      <c r="G229" s="493"/>
      <c r="H229" s="493"/>
      <c r="I229" s="493"/>
      <c r="J229" s="493"/>
      <c r="K229" s="493"/>
      <c r="L229" s="493"/>
      <c r="M229" s="493"/>
      <c r="N229" s="493"/>
      <c r="O229" s="493"/>
    </row>
    <row r="230">
      <c r="A230" s="323"/>
      <c r="B230" s="323"/>
      <c r="C230" s="323"/>
      <c r="D230" s="493"/>
      <c r="E230" s="493"/>
      <c r="F230" s="493"/>
      <c r="G230" s="493"/>
      <c r="H230" s="493"/>
      <c r="I230" s="493"/>
      <c r="J230" s="493"/>
      <c r="K230" s="493"/>
      <c r="L230" s="493"/>
      <c r="M230" s="493"/>
      <c r="N230" s="493"/>
      <c r="O230" s="493"/>
    </row>
    <row r="231">
      <c r="A231" s="323"/>
      <c r="B231" s="323"/>
      <c r="C231" s="323"/>
      <c r="D231" s="493"/>
      <c r="E231" s="493"/>
      <c r="F231" s="493"/>
      <c r="G231" s="493"/>
      <c r="H231" s="493"/>
      <c r="I231" s="493"/>
      <c r="J231" s="493"/>
      <c r="K231" s="493"/>
      <c r="L231" s="493"/>
      <c r="M231" s="493"/>
      <c r="N231" s="493"/>
      <c r="O231" s="493"/>
    </row>
    <row r="232">
      <c r="A232" s="323"/>
      <c r="B232" s="323"/>
      <c r="C232" s="323"/>
      <c r="D232" s="493"/>
      <c r="E232" s="493"/>
      <c r="F232" s="493"/>
      <c r="G232" s="493"/>
      <c r="H232" s="493"/>
      <c r="I232" s="493"/>
      <c r="J232" s="493"/>
      <c r="K232" s="493"/>
      <c r="L232" s="493"/>
      <c r="M232" s="493"/>
      <c r="N232" s="493"/>
      <c r="O232" s="493"/>
    </row>
    <row r="233">
      <c r="A233" s="323"/>
      <c r="B233" s="323"/>
      <c r="C233" s="323"/>
      <c r="D233" s="493"/>
      <c r="E233" s="493"/>
      <c r="F233" s="493"/>
      <c r="G233" s="493"/>
      <c r="H233" s="493"/>
      <c r="I233" s="493"/>
      <c r="J233" s="493"/>
      <c r="K233" s="493"/>
      <c r="L233" s="493"/>
      <c r="M233" s="493"/>
      <c r="N233" s="493"/>
      <c r="O233" s="493"/>
    </row>
    <row r="234">
      <c r="A234" s="323"/>
      <c r="B234" s="323"/>
      <c r="C234" s="323"/>
      <c r="D234" s="493"/>
      <c r="E234" s="493"/>
      <c r="F234" s="493"/>
      <c r="G234" s="493"/>
      <c r="H234" s="493"/>
      <c r="I234" s="493"/>
      <c r="J234" s="493"/>
      <c r="K234" s="493"/>
      <c r="L234" s="493"/>
      <c r="M234" s="493"/>
      <c r="N234" s="493"/>
      <c r="O234" s="493"/>
    </row>
    <row r="235">
      <c r="A235" s="323"/>
      <c r="B235" s="323"/>
      <c r="C235" s="323"/>
      <c r="D235" s="493"/>
      <c r="E235" s="493"/>
      <c r="F235" s="493"/>
      <c r="G235" s="493"/>
      <c r="H235" s="493"/>
      <c r="I235" s="493"/>
      <c r="J235" s="493"/>
      <c r="K235" s="493"/>
      <c r="L235" s="493"/>
      <c r="M235" s="493"/>
      <c r="N235" s="493"/>
      <c r="O235" s="493"/>
    </row>
    <row r="236">
      <c r="A236" s="323"/>
      <c r="B236" s="323"/>
      <c r="C236" s="323"/>
      <c r="D236" s="493"/>
      <c r="E236" s="493"/>
      <c r="F236" s="493"/>
      <c r="G236" s="493"/>
      <c r="H236" s="493"/>
      <c r="I236" s="493"/>
      <c r="J236" s="493"/>
      <c r="K236" s="493"/>
      <c r="L236" s="493"/>
      <c r="M236" s="493"/>
      <c r="N236" s="493"/>
      <c r="O236" s="493"/>
    </row>
    <row r="237">
      <c r="A237" s="323"/>
      <c r="B237" s="323"/>
      <c r="C237" s="323"/>
      <c r="D237" s="493"/>
      <c r="E237" s="493"/>
      <c r="F237" s="493"/>
      <c r="G237" s="493"/>
      <c r="H237" s="493"/>
      <c r="I237" s="493"/>
      <c r="J237" s="493"/>
      <c r="K237" s="493"/>
      <c r="L237" s="493"/>
      <c r="M237" s="493"/>
      <c r="N237" s="493"/>
      <c r="O237" s="493"/>
    </row>
    <row r="238">
      <c r="A238" s="323"/>
      <c r="B238" s="323"/>
      <c r="C238" s="323"/>
      <c r="D238" s="493"/>
      <c r="E238" s="493"/>
      <c r="F238" s="493"/>
      <c r="G238" s="493"/>
      <c r="H238" s="493"/>
      <c r="I238" s="493"/>
      <c r="J238" s="493"/>
      <c r="K238" s="493"/>
      <c r="L238" s="493"/>
      <c r="M238" s="493"/>
      <c r="N238" s="493"/>
      <c r="O238" s="493"/>
    </row>
    <row r="239">
      <c r="A239" s="323"/>
      <c r="B239" s="323"/>
      <c r="C239" s="323"/>
      <c r="D239" s="493"/>
      <c r="E239" s="493"/>
      <c r="F239" s="493"/>
      <c r="G239" s="493"/>
      <c r="H239" s="493"/>
      <c r="I239" s="493"/>
      <c r="J239" s="493"/>
      <c r="K239" s="493"/>
      <c r="L239" s="493"/>
      <c r="M239" s="493"/>
      <c r="N239" s="493"/>
      <c r="O239" s="493"/>
    </row>
    <row r="240">
      <c r="A240" s="323"/>
      <c r="B240" s="323"/>
      <c r="C240" s="323"/>
      <c r="D240" s="493"/>
      <c r="E240" s="493"/>
      <c r="F240" s="493"/>
      <c r="G240" s="493"/>
      <c r="H240" s="493"/>
      <c r="I240" s="493"/>
      <c r="J240" s="493"/>
      <c r="K240" s="493"/>
      <c r="L240" s="493"/>
      <c r="M240" s="493"/>
      <c r="N240" s="493"/>
      <c r="O240" s="493"/>
    </row>
    <row r="241">
      <c r="A241" s="323"/>
      <c r="B241" s="323"/>
      <c r="C241" s="323"/>
      <c r="D241" s="493"/>
      <c r="E241" s="493"/>
      <c r="F241" s="493"/>
      <c r="G241" s="493"/>
      <c r="H241" s="493"/>
      <c r="I241" s="493"/>
      <c r="J241" s="493"/>
      <c r="K241" s="493"/>
      <c r="L241" s="493"/>
      <c r="M241" s="493"/>
      <c r="N241" s="493"/>
      <c r="O241" s="493"/>
    </row>
    <row r="242">
      <c r="A242" s="323"/>
      <c r="B242" s="323"/>
      <c r="C242" s="323"/>
      <c r="D242" s="493"/>
      <c r="E242" s="493"/>
      <c r="F242" s="493"/>
      <c r="G242" s="493"/>
      <c r="H242" s="493"/>
      <c r="I242" s="493"/>
      <c r="J242" s="493"/>
      <c r="K242" s="493"/>
      <c r="L242" s="493"/>
      <c r="M242" s="493"/>
      <c r="N242" s="493"/>
      <c r="O242" s="493"/>
    </row>
    <row r="243">
      <c r="A243" s="323"/>
      <c r="B243" s="323"/>
      <c r="C243" s="323"/>
      <c r="D243" s="493"/>
      <c r="E243" s="493"/>
      <c r="F243" s="493"/>
      <c r="G243" s="493"/>
      <c r="H243" s="493"/>
      <c r="I243" s="493"/>
      <c r="J243" s="493"/>
      <c r="K243" s="493"/>
      <c r="L243" s="493"/>
      <c r="M243" s="493"/>
      <c r="N243" s="493"/>
      <c r="O243" s="493"/>
    </row>
    <row r="244">
      <c r="A244" s="323"/>
      <c r="B244" s="323"/>
      <c r="C244" s="323"/>
      <c r="D244" s="493"/>
      <c r="E244" s="493"/>
      <c r="F244" s="493"/>
      <c r="G244" s="493"/>
      <c r="H244" s="493"/>
      <c r="I244" s="493"/>
      <c r="J244" s="493"/>
      <c r="K244" s="493"/>
      <c r="L244" s="493"/>
      <c r="M244" s="493"/>
      <c r="N244" s="493"/>
      <c r="O244" s="493"/>
    </row>
    <row r="245">
      <c r="A245" s="323"/>
      <c r="B245" s="323"/>
      <c r="C245" s="323"/>
      <c r="D245" s="493"/>
      <c r="E245" s="493"/>
      <c r="F245" s="493"/>
      <c r="G245" s="493"/>
      <c r="H245" s="493"/>
      <c r="I245" s="493"/>
      <c r="J245" s="493"/>
      <c r="K245" s="493"/>
      <c r="L245" s="493"/>
      <c r="M245" s="493"/>
      <c r="N245" s="493"/>
      <c r="O245" s="493"/>
    </row>
    <row r="246">
      <c r="A246" s="323"/>
      <c r="B246" s="323"/>
      <c r="C246" s="323"/>
      <c r="D246" s="493"/>
      <c r="E246" s="493"/>
      <c r="F246" s="493"/>
      <c r="G246" s="493"/>
      <c r="H246" s="493"/>
      <c r="I246" s="493"/>
      <c r="J246" s="493"/>
      <c r="K246" s="493"/>
      <c r="L246" s="493"/>
      <c r="M246" s="493"/>
      <c r="N246" s="493"/>
      <c r="O246" s="493"/>
    </row>
    <row r="247">
      <c r="A247" s="323"/>
      <c r="B247" s="323"/>
      <c r="C247" s="323"/>
      <c r="D247" s="493"/>
      <c r="E247" s="493"/>
      <c r="F247" s="493"/>
      <c r="G247" s="493"/>
      <c r="H247" s="493"/>
      <c r="I247" s="493"/>
      <c r="J247" s="493"/>
      <c r="K247" s="493"/>
      <c r="L247" s="493"/>
      <c r="M247" s="493"/>
      <c r="N247" s="493"/>
      <c r="O247" s="493"/>
    </row>
    <row r="248">
      <c r="A248" s="323"/>
      <c r="B248" s="323"/>
      <c r="C248" s="323"/>
      <c r="D248" s="493"/>
      <c r="E248" s="493"/>
      <c r="F248" s="493"/>
      <c r="G248" s="493"/>
      <c r="H248" s="493"/>
      <c r="I248" s="493"/>
      <c r="J248" s="493"/>
      <c r="K248" s="493"/>
      <c r="L248" s="493"/>
      <c r="M248" s="493"/>
      <c r="N248" s="493"/>
      <c r="O248" s="493"/>
    </row>
    <row r="249">
      <c r="A249" s="323"/>
      <c r="B249" s="323"/>
      <c r="C249" s="323"/>
      <c r="D249" s="493"/>
      <c r="E249" s="493"/>
      <c r="F249" s="493"/>
      <c r="G249" s="493"/>
      <c r="H249" s="493"/>
      <c r="I249" s="493"/>
      <c r="J249" s="493"/>
      <c r="K249" s="493"/>
      <c r="L249" s="493"/>
      <c r="M249" s="493"/>
      <c r="N249" s="493"/>
      <c r="O249" s="493"/>
    </row>
    <row r="250">
      <c r="A250" s="323"/>
      <c r="B250" s="323"/>
      <c r="C250" s="323"/>
      <c r="D250" s="493"/>
      <c r="E250" s="493"/>
      <c r="F250" s="493"/>
      <c r="G250" s="493"/>
      <c r="H250" s="493"/>
      <c r="I250" s="493"/>
      <c r="J250" s="493"/>
      <c r="K250" s="493"/>
      <c r="L250" s="493"/>
      <c r="M250" s="493"/>
      <c r="N250" s="493"/>
      <c r="O250" s="493"/>
    </row>
    <row r="251">
      <c r="A251" s="323"/>
      <c r="B251" s="323"/>
      <c r="C251" s="323"/>
      <c r="D251" s="493"/>
      <c r="E251" s="493"/>
      <c r="F251" s="493"/>
      <c r="G251" s="493"/>
      <c r="H251" s="493"/>
      <c r="I251" s="493"/>
      <c r="J251" s="493"/>
      <c r="K251" s="493"/>
      <c r="L251" s="493"/>
      <c r="M251" s="493"/>
      <c r="N251" s="493"/>
      <c r="O251" s="493"/>
    </row>
    <row r="252">
      <c r="A252" s="323"/>
      <c r="B252" s="323"/>
      <c r="C252" s="323"/>
      <c r="D252" s="493"/>
      <c r="E252" s="493"/>
      <c r="F252" s="493"/>
      <c r="G252" s="493"/>
      <c r="H252" s="493"/>
      <c r="I252" s="493"/>
      <c r="J252" s="493"/>
      <c r="K252" s="493"/>
      <c r="L252" s="493"/>
      <c r="M252" s="493"/>
      <c r="N252" s="493"/>
      <c r="O252" s="493"/>
    </row>
    <row r="253">
      <c r="A253" s="323"/>
      <c r="B253" s="323"/>
      <c r="C253" s="323"/>
      <c r="D253" s="493"/>
      <c r="E253" s="493"/>
      <c r="F253" s="493"/>
      <c r="G253" s="493"/>
      <c r="H253" s="493"/>
      <c r="I253" s="493"/>
      <c r="J253" s="493"/>
      <c r="K253" s="493"/>
      <c r="L253" s="493"/>
      <c r="M253" s="493"/>
      <c r="N253" s="493"/>
      <c r="O253" s="493"/>
    </row>
    <row r="254">
      <c r="A254" s="323"/>
      <c r="B254" s="323"/>
      <c r="C254" s="323"/>
      <c r="D254" s="493"/>
      <c r="E254" s="493"/>
      <c r="F254" s="493"/>
      <c r="G254" s="493"/>
      <c r="H254" s="493"/>
      <c r="I254" s="493"/>
      <c r="J254" s="493"/>
      <c r="K254" s="493"/>
      <c r="L254" s="493"/>
      <c r="M254" s="493"/>
      <c r="N254" s="493"/>
      <c r="O254" s="493"/>
    </row>
    <row r="255">
      <c r="A255" s="323"/>
      <c r="B255" s="323"/>
      <c r="C255" s="323"/>
      <c r="D255" s="493"/>
      <c r="E255" s="493"/>
      <c r="F255" s="493"/>
      <c r="G255" s="493"/>
      <c r="H255" s="493"/>
      <c r="I255" s="493"/>
      <c r="J255" s="493"/>
      <c r="K255" s="493"/>
      <c r="L255" s="493"/>
      <c r="M255" s="493"/>
      <c r="N255" s="493"/>
      <c r="O255" s="493"/>
    </row>
    <row r="256">
      <c r="A256" s="323"/>
      <c r="B256" s="323"/>
      <c r="C256" s="323"/>
      <c r="D256" s="493"/>
      <c r="E256" s="493"/>
      <c r="F256" s="493"/>
      <c r="G256" s="493"/>
      <c r="H256" s="493"/>
      <c r="I256" s="493"/>
      <c r="J256" s="493"/>
      <c r="K256" s="493"/>
      <c r="L256" s="493"/>
      <c r="M256" s="493"/>
      <c r="N256" s="493"/>
      <c r="O256" s="493"/>
    </row>
    <row r="257">
      <c r="A257" s="323"/>
      <c r="B257" s="323"/>
      <c r="C257" s="323"/>
      <c r="D257" s="493"/>
      <c r="E257" s="493"/>
      <c r="F257" s="493"/>
      <c r="G257" s="493"/>
      <c r="H257" s="493"/>
      <c r="I257" s="493"/>
      <c r="J257" s="493"/>
      <c r="K257" s="493"/>
      <c r="L257" s="493"/>
      <c r="M257" s="493"/>
      <c r="N257" s="493"/>
      <c r="O257" s="493"/>
    </row>
    <row r="258">
      <c r="A258" s="323"/>
      <c r="B258" s="323"/>
      <c r="C258" s="323"/>
      <c r="D258" s="493"/>
      <c r="E258" s="493"/>
      <c r="F258" s="493"/>
      <c r="G258" s="493"/>
      <c r="H258" s="493"/>
      <c r="I258" s="493"/>
      <c r="J258" s="493"/>
      <c r="K258" s="493"/>
      <c r="L258" s="493"/>
      <c r="M258" s="493"/>
      <c r="N258" s="493"/>
      <c r="O258" s="493"/>
    </row>
    <row r="259">
      <c r="A259" s="323"/>
      <c r="B259" s="323"/>
      <c r="C259" s="323"/>
      <c r="D259" s="493"/>
      <c r="E259" s="493"/>
      <c r="F259" s="493"/>
      <c r="G259" s="493"/>
      <c r="H259" s="493"/>
      <c r="I259" s="493"/>
      <c r="J259" s="493"/>
      <c r="K259" s="493"/>
      <c r="L259" s="493"/>
      <c r="M259" s="493"/>
      <c r="N259" s="493"/>
      <c r="O259" s="493"/>
    </row>
    <row r="260">
      <c r="A260" s="323"/>
      <c r="B260" s="323"/>
      <c r="C260" s="323"/>
      <c r="D260" s="493"/>
      <c r="E260" s="493"/>
      <c r="F260" s="493"/>
      <c r="G260" s="493"/>
      <c r="H260" s="493"/>
      <c r="I260" s="493"/>
      <c r="J260" s="493"/>
      <c r="K260" s="493"/>
      <c r="L260" s="493"/>
      <c r="M260" s="493"/>
      <c r="N260" s="493"/>
      <c r="O260" s="493"/>
    </row>
    <row r="261">
      <c r="A261" s="323"/>
      <c r="B261" s="323"/>
      <c r="C261" s="323"/>
      <c r="D261" s="493"/>
      <c r="E261" s="493"/>
      <c r="F261" s="493"/>
      <c r="G261" s="493"/>
      <c r="H261" s="493"/>
      <c r="I261" s="493"/>
      <c r="J261" s="493"/>
      <c r="K261" s="493"/>
      <c r="L261" s="493"/>
      <c r="M261" s="493"/>
      <c r="N261" s="493"/>
      <c r="O261" s="493"/>
    </row>
    <row r="262">
      <c r="A262" s="323"/>
      <c r="B262" s="323"/>
      <c r="C262" s="323"/>
      <c r="D262" s="493"/>
      <c r="E262" s="493"/>
      <c r="F262" s="493"/>
      <c r="G262" s="493"/>
      <c r="H262" s="493"/>
      <c r="I262" s="493"/>
      <c r="J262" s="493"/>
      <c r="K262" s="493"/>
      <c r="L262" s="493"/>
      <c r="M262" s="493"/>
      <c r="N262" s="493"/>
      <c r="O262" s="493"/>
    </row>
    <row r="263">
      <c r="A263" s="323"/>
      <c r="B263" s="323"/>
      <c r="C263" s="323"/>
      <c r="D263" s="493"/>
      <c r="E263" s="493"/>
      <c r="F263" s="493"/>
      <c r="G263" s="493"/>
      <c r="H263" s="493"/>
      <c r="I263" s="493"/>
      <c r="J263" s="493"/>
      <c r="K263" s="493"/>
      <c r="L263" s="493"/>
      <c r="M263" s="493"/>
      <c r="N263" s="493"/>
      <c r="O263" s="493"/>
    </row>
    <row r="264">
      <c r="A264" s="323"/>
      <c r="B264" s="323"/>
      <c r="C264" s="323"/>
      <c r="D264" s="493"/>
      <c r="E264" s="493"/>
      <c r="F264" s="493"/>
      <c r="G264" s="493"/>
      <c r="H264" s="493"/>
      <c r="I264" s="493"/>
      <c r="J264" s="493"/>
      <c r="K264" s="493"/>
      <c r="L264" s="493"/>
      <c r="M264" s="493"/>
      <c r="N264" s="493"/>
      <c r="O264" s="493"/>
    </row>
    <row r="265">
      <c r="A265" s="323"/>
      <c r="B265" s="323"/>
      <c r="C265" s="323"/>
      <c r="D265" s="493"/>
      <c r="E265" s="493"/>
      <c r="F265" s="493"/>
      <c r="G265" s="493"/>
      <c r="H265" s="493"/>
      <c r="I265" s="493"/>
      <c r="J265" s="493"/>
      <c r="K265" s="493"/>
      <c r="L265" s="493"/>
      <c r="M265" s="493"/>
      <c r="N265" s="493"/>
      <c r="O265" s="493"/>
    </row>
    <row r="266">
      <c r="A266" s="323"/>
      <c r="B266" s="323"/>
      <c r="C266" s="323"/>
      <c r="D266" s="493"/>
      <c r="E266" s="493"/>
      <c r="F266" s="493"/>
      <c r="G266" s="493"/>
      <c r="H266" s="493"/>
      <c r="I266" s="493"/>
      <c r="J266" s="493"/>
      <c r="K266" s="493"/>
      <c r="L266" s="493"/>
      <c r="M266" s="493"/>
      <c r="N266" s="493"/>
      <c r="O266" s="493"/>
    </row>
    <row r="267">
      <c r="A267" s="323"/>
      <c r="B267" s="323"/>
      <c r="C267" s="323"/>
      <c r="D267" s="493"/>
      <c r="E267" s="493"/>
      <c r="F267" s="493"/>
      <c r="G267" s="493"/>
      <c r="H267" s="493"/>
      <c r="I267" s="493"/>
      <c r="J267" s="493"/>
      <c r="K267" s="493"/>
      <c r="L267" s="493"/>
      <c r="M267" s="493"/>
      <c r="N267" s="493"/>
      <c r="O267" s="493"/>
    </row>
    <row r="268">
      <c r="A268" s="323"/>
      <c r="B268" s="323"/>
      <c r="C268" s="323"/>
      <c r="D268" s="493"/>
      <c r="E268" s="493"/>
      <c r="F268" s="493"/>
      <c r="G268" s="493"/>
      <c r="H268" s="493"/>
      <c r="I268" s="493"/>
      <c r="J268" s="493"/>
      <c r="K268" s="493"/>
      <c r="L268" s="493"/>
      <c r="M268" s="493"/>
      <c r="N268" s="493"/>
      <c r="O268" s="493"/>
    </row>
    <row r="269">
      <c r="A269" s="323"/>
      <c r="B269" s="323"/>
      <c r="C269" s="323"/>
      <c r="D269" s="493"/>
      <c r="E269" s="493"/>
      <c r="F269" s="493"/>
      <c r="G269" s="493"/>
      <c r="H269" s="493"/>
      <c r="I269" s="493"/>
      <c r="J269" s="493"/>
      <c r="K269" s="493"/>
      <c r="L269" s="493"/>
      <c r="M269" s="493"/>
      <c r="N269" s="493"/>
      <c r="O269" s="493"/>
    </row>
    <row r="270">
      <c r="A270" s="323"/>
      <c r="B270" s="323"/>
      <c r="C270" s="323"/>
      <c r="D270" s="493"/>
      <c r="E270" s="493"/>
      <c r="F270" s="493"/>
      <c r="G270" s="493"/>
      <c r="H270" s="493"/>
      <c r="I270" s="493"/>
      <c r="J270" s="493"/>
      <c r="K270" s="493"/>
      <c r="L270" s="493"/>
      <c r="M270" s="493"/>
      <c r="N270" s="493"/>
      <c r="O270" s="493"/>
    </row>
    <row r="271">
      <c r="A271" s="323"/>
      <c r="B271" s="323"/>
      <c r="C271" s="323"/>
      <c r="D271" s="493"/>
      <c r="E271" s="493"/>
      <c r="F271" s="493"/>
      <c r="G271" s="493"/>
      <c r="H271" s="493"/>
      <c r="I271" s="493"/>
      <c r="J271" s="493"/>
      <c r="K271" s="493"/>
      <c r="L271" s="493"/>
      <c r="M271" s="493"/>
      <c r="N271" s="493"/>
      <c r="O271" s="493"/>
    </row>
    <row r="272">
      <c r="A272" s="323"/>
      <c r="B272" s="323"/>
      <c r="C272" s="323"/>
      <c r="D272" s="493"/>
      <c r="E272" s="493"/>
      <c r="F272" s="493"/>
      <c r="G272" s="493"/>
      <c r="H272" s="493"/>
      <c r="I272" s="493"/>
      <c r="J272" s="493"/>
      <c r="K272" s="493"/>
      <c r="L272" s="493"/>
      <c r="M272" s="493"/>
      <c r="N272" s="493"/>
      <c r="O272" s="493"/>
    </row>
    <row r="273">
      <c r="A273" s="323"/>
      <c r="B273" s="323"/>
      <c r="C273" s="323"/>
      <c r="D273" s="493"/>
      <c r="E273" s="493"/>
      <c r="F273" s="493"/>
      <c r="G273" s="493"/>
      <c r="H273" s="493"/>
      <c r="I273" s="493"/>
      <c r="J273" s="493"/>
      <c r="K273" s="493"/>
      <c r="L273" s="493"/>
      <c r="M273" s="493"/>
      <c r="N273" s="493"/>
      <c r="O273" s="493"/>
    </row>
    <row r="274">
      <c r="A274" s="323"/>
      <c r="B274" s="323"/>
      <c r="C274" s="323"/>
      <c r="D274" s="493"/>
      <c r="E274" s="493"/>
      <c r="F274" s="493"/>
      <c r="G274" s="493"/>
      <c r="H274" s="493"/>
      <c r="I274" s="493"/>
      <c r="J274" s="493"/>
      <c r="K274" s="493"/>
      <c r="L274" s="493"/>
      <c r="M274" s="493"/>
      <c r="N274" s="493"/>
      <c r="O274" s="493"/>
    </row>
    <row r="275">
      <c r="A275" s="323"/>
      <c r="B275" s="323"/>
      <c r="C275" s="323"/>
      <c r="D275" s="493"/>
      <c r="E275" s="493"/>
      <c r="F275" s="493"/>
      <c r="G275" s="493"/>
      <c r="H275" s="493"/>
      <c r="I275" s="493"/>
      <c r="J275" s="493"/>
      <c r="K275" s="493"/>
      <c r="L275" s="493"/>
      <c r="M275" s="493"/>
      <c r="N275" s="493"/>
      <c r="O275" s="493"/>
    </row>
    <row r="276">
      <c r="A276" s="323"/>
      <c r="B276" s="323"/>
      <c r="C276" s="323"/>
      <c r="D276" s="493"/>
      <c r="E276" s="493"/>
      <c r="F276" s="493"/>
      <c r="G276" s="493"/>
      <c r="H276" s="493"/>
      <c r="I276" s="493"/>
      <c r="J276" s="493"/>
      <c r="K276" s="493"/>
      <c r="L276" s="493"/>
      <c r="M276" s="493"/>
      <c r="N276" s="493"/>
      <c r="O276" s="493"/>
    </row>
    <row r="277">
      <c r="A277" s="323"/>
      <c r="B277" s="323"/>
      <c r="C277" s="323"/>
      <c r="D277" s="493"/>
      <c r="E277" s="493"/>
      <c r="F277" s="493"/>
      <c r="G277" s="493"/>
      <c r="H277" s="493"/>
      <c r="I277" s="493"/>
      <c r="J277" s="493"/>
      <c r="K277" s="493"/>
      <c r="L277" s="493"/>
      <c r="M277" s="493"/>
      <c r="N277" s="493"/>
      <c r="O277" s="493"/>
    </row>
    <row r="278">
      <c r="A278" s="323"/>
      <c r="B278" s="323"/>
      <c r="C278" s="323"/>
      <c r="D278" s="493"/>
      <c r="E278" s="493"/>
      <c r="F278" s="493"/>
      <c r="G278" s="493"/>
      <c r="H278" s="493"/>
      <c r="I278" s="493"/>
      <c r="J278" s="493"/>
      <c r="K278" s="493"/>
      <c r="L278" s="493"/>
      <c r="M278" s="493"/>
      <c r="N278" s="493"/>
      <c r="O278" s="493"/>
    </row>
    <row r="279">
      <c r="A279" s="323"/>
      <c r="B279" s="323"/>
      <c r="C279" s="323"/>
      <c r="D279" s="493"/>
      <c r="E279" s="493"/>
      <c r="F279" s="493"/>
      <c r="G279" s="493"/>
      <c r="H279" s="493"/>
      <c r="I279" s="493"/>
      <c r="J279" s="493"/>
      <c r="K279" s="493"/>
      <c r="L279" s="493"/>
      <c r="M279" s="493"/>
      <c r="N279" s="493"/>
      <c r="O279" s="493"/>
    </row>
    <row r="280">
      <c r="A280" s="323"/>
      <c r="B280" s="323"/>
      <c r="C280" s="323"/>
      <c r="D280" s="493"/>
      <c r="E280" s="493"/>
      <c r="F280" s="493"/>
      <c r="G280" s="493"/>
      <c r="H280" s="493"/>
      <c r="I280" s="493"/>
      <c r="J280" s="493"/>
      <c r="K280" s="493"/>
      <c r="L280" s="493"/>
      <c r="M280" s="493"/>
      <c r="N280" s="493"/>
      <c r="O280" s="493"/>
    </row>
    <row r="281">
      <c r="A281" s="323"/>
      <c r="B281" s="323"/>
      <c r="C281" s="323"/>
      <c r="D281" s="493"/>
      <c r="E281" s="493"/>
      <c r="F281" s="493"/>
      <c r="G281" s="493"/>
      <c r="H281" s="493"/>
      <c r="I281" s="493"/>
      <c r="J281" s="493"/>
      <c r="K281" s="493"/>
      <c r="L281" s="493"/>
      <c r="M281" s="493"/>
      <c r="N281" s="493"/>
      <c r="O281" s="493"/>
    </row>
    <row r="282">
      <c r="A282" s="323"/>
      <c r="B282" s="323"/>
      <c r="C282" s="323"/>
      <c r="D282" s="493"/>
      <c r="E282" s="493"/>
      <c r="F282" s="493"/>
      <c r="G282" s="493"/>
      <c r="H282" s="493"/>
      <c r="I282" s="493"/>
      <c r="J282" s="493"/>
      <c r="K282" s="493"/>
      <c r="L282" s="493"/>
      <c r="M282" s="493"/>
      <c r="N282" s="493"/>
      <c r="O282" s="493"/>
    </row>
    <row r="283">
      <c r="A283" s="323"/>
      <c r="B283" s="323"/>
      <c r="C283" s="323"/>
      <c r="D283" s="493"/>
      <c r="E283" s="493"/>
      <c r="F283" s="493"/>
      <c r="G283" s="493"/>
      <c r="H283" s="493"/>
      <c r="I283" s="493"/>
      <c r="J283" s="493"/>
      <c r="K283" s="493"/>
      <c r="L283" s="493"/>
      <c r="M283" s="493"/>
      <c r="N283" s="493"/>
      <c r="O283" s="493"/>
    </row>
    <row r="284">
      <c r="A284" s="323"/>
      <c r="B284" s="323"/>
      <c r="C284" s="323"/>
      <c r="D284" s="493"/>
      <c r="E284" s="493"/>
      <c r="F284" s="493"/>
      <c r="G284" s="493"/>
      <c r="H284" s="493"/>
      <c r="I284" s="493"/>
      <c r="J284" s="493"/>
      <c r="K284" s="493"/>
      <c r="L284" s="493"/>
      <c r="M284" s="493"/>
      <c r="N284" s="493"/>
      <c r="O284" s="493"/>
    </row>
    <row r="285">
      <c r="A285" s="323"/>
      <c r="B285" s="323"/>
      <c r="C285" s="323"/>
      <c r="D285" s="493"/>
      <c r="E285" s="493"/>
      <c r="F285" s="493"/>
      <c r="G285" s="493"/>
      <c r="H285" s="493"/>
      <c r="I285" s="493"/>
      <c r="J285" s="493"/>
      <c r="K285" s="493"/>
      <c r="L285" s="493"/>
      <c r="M285" s="493"/>
      <c r="N285" s="493"/>
      <c r="O285" s="493"/>
    </row>
    <row r="286">
      <c r="A286" s="323"/>
      <c r="B286" s="323"/>
      <c r="C286" s="323"/>
      <c r="D286" s="493"/>
      <c r="E286" s="493"/>
      <c r="F286" s="493"/>
      <c r="G286" s="493"/>
      <c r="H286" s="493"/>
      <c r="I286" s="493"/>
      <c r="J286" s="493"/>
      <c r="K286" s="493"/>
      <c r="L286" s="493"/>
      <c r="M286" s="493"/>
      <c r="N286" s="493"/>
      <c r="O286" s="493"/>
    </row>
    <row r="287">
      <c r="A287" s="323"/>
      <c r="B287" s="323"/>
      <c r="C287" s="323"/>
      <c r="D287" s="493"/>
      <c r="E287" s="493"/>
      <c r="F287" s="493"/>
      <c r="G287" s="493"/>
      <c r="H287" s="493"/>
      <c r="I287" s="493"/>
      <c r="J287" s="493"/>
      <c r="K287" s="493"/>
      <c r="L287" s="493"/>
      <c r="M287" s="493"/>
      <c r="N287" s="493"/>
      <c r="O287" s="493"/>
    </row>
    <row r="288">
      <c r="A288" s="323"/>
      <c r="B288" s="323"/>
      <c r="C288" s="323"/>
      <c r="D288" s="493"/>
      <c r="E288" s="493"/>
      <c r="F288" s="493"/>
      <c r="G288" s="493"/>
      <c r="H288" s="493"/>
      <c r="I288" s="493"/>
      <c r="J288" s="493"/>
      <c r="K288" s="493"/>
      <c r="L288" s="493"/>
      <c r="M288" s="493"/>
      <c r="N288" s="493"/>
      <c r="O288" s="493"/>
    </row>
    <row r="289">
      <c r="A289" s="323"/>
      <c r="B289" s="323"/>
      <c r="C289" s="323"/>
      <c r="D289" s="493"/>
      <c r="E289" s="493"/>
      <c r="F289" s="493"/>
      <c r="G289" s="493"/>
      <c r="H289" s="493"/>
      <c r="I289" s="493"/>
      <c r="J289" s="493"/>
      <c r="K289" s="493"/>
      <c r="L289" s="493"/>
      <c r="M289" s="493"/>
      <c r="N289" s="493"/>
      <c r="O289" s="493"/>
    </row>
    <row r="290">
      <c r="A290" s="323"/>
      <c r="B290" s="323"/>
      <c r="C290" s="323"/>
      <c r="D290" s="493"/>
      <c r="E290" s="493"/>
      <c r="F290" s="493"/>
      <c r="G290" s="493"/>
      <c r="H290" s="493"/>
      <c r="I290" s="493"/>
      <c r="J290" s="493"/>
      <c r="K290" s="493"/>
      <c r="L290" s="493"/>
      <c r="M290" s="493"/>
      <c r="N290" s="493"/>
      <c r="O290" s="493"/>
    </row>
    <row r="291">
      <c r="A291" s="323"/>
      <c r="B291" s="323"/>
      <c r="C291" s="323"/>
      <c r="D291" s="493"/>
      <c r="E291" s="493"/>
      <c r="F291" s="493"/>
      <c r="G291" s="493"/>
      <c r="H291" s="493"/>
      <c r="I291" s="493"/>
      <c r="J291" s="493"/>
      <c r="K291" s="493"/>
      <c r="L291" s="493"/>
      <c r="M291" s="493"/>
      <c r="N291" s="493"/>
      <c r="O291" s="493"/>
    </row>
    <row r="292">
      <c r="A292" s="323"/>
      <c r="B292" s="323"/>
      <c r="C292" s="323"/>
      <c r="D292" s="493"/>
      <c r="E292" s="493"/>
      <c r="F292" s="493"/>
      <c r="G292" s="493"/>
      <c r="H292" s="493"/>
      <c r="I292" s="493"/>
      <c r="J292" s="493"/>
      <c r="K292" s="493"/>
      <c r="L292" s="493"/>
      <c r="M292" s="493"/>
      <c r="N292" s="493"/>
      <c r="O292" s="493"/>
    </row>
    <row r="293">
      <c r="A293" s="323"/>
      <c r="B293" s="323"/>
      <c r="C293" s="323"/>
      <c r="D293" s="493"/>
      <c r="E293" s="493"/>
      <c r="F293" s="493"/>
      <c r="G293" s="493"/>
      <c r="H293" s="493"/>
      <c r="I293" s="493"/>
      <c r="J293" s="493"/>
      <c r="K293" s="493"/>
      <c r="L293" s="493"/>
      <c r="M293" s="493"/>
      <c r="N293" s="493"/>
      <c r="O293" s="493"/>
    </row>
    <row r="294">
      <c r="A294" s="323"/>
      <c r="B294" s="323"/>
      <c r="C294" s="323"/>
      <c r="D294" s="493"/>
      <c r="E294" s="493"/>
      <c r="F294" s="493"/>
      <c r="G294" s="493"/>
      <c r="H294" s="493"/>
      <c r="I294" s="493"/>
      <c r="J294" s="493"/>
      <c r="K294" s="493"/>
      <c r="L294" s="493"/>
      <c r="M294" s="493"/>
      <c r="N294" s="493"/>
      <c r="O294" s="493"/>
    </row>
    <row r="295">
      <c r="A295" s="323"/>
      <c r="B295" s="323"/>
      <c r="C295" s="323"/>
      <c r="D295" s="493"/>
      <c r="E295" s="493"/>
      <c r="F295" s="493"/>
      <c r="G295" s="493"/>
      <c r="H295" s="493"/>
      <c r="I295" s="493"/>
      <c r="J295" s="493"/>
      <c r="K295" s="493"/>
      <c r="L295" s="493"/>
      <c r="M295" s="493"/>
      <c r="N295" s="493"/>
      <c r="O295" s="493"/>
    </row>
    <row r="296">
      <c r="A296" s="323"/>
      <c r="B296" s="323"/>
      <c r="C296" s="323"/>
      <c r="D296" s="493"/>
      <c r="E296" s="493"/>
      <c r="F296" s="493"/>
      <c r="G296" s="493"/>
      <c r="H296" s="493"/>
      <c r="I296" s="493"/>
      <c r="J296" s="493"/>
      <c r="K296" s="493"/>
      <c r="L296" s="493"/>
      <c r="M296" s="493"/>
      <c r="N296" s="493"/>
      <c r="O296" s="493"/>
    </row>
    <row r="297">
      <c r="A297" s="323"/>
      <c r="B297" s="323"/>
      <c r="C297" s="323"/>
      <c r="D297" s="493"/>
      <c r="E297" s="493"/>
      <c r="F297" s="493"/>
      <c r="G297" s="493"/>
      <c r="H297" s="493"/>
      <c r="I297" s="493"/>
      <c r="J297" s="493"/>
      <c r="K297" s="493"/>
      <c r="L297" s="493"/>
      <c r="M297" s="493"/>
      <c r="N297" s="493"/>
      <c r="O297" s="493"/>
    </row>
    <row r="298">
      <c r="A298" s="323"/>
      <c r="B298" s="323"/>
      <c r="C298" s="323"/>
      <c r="D298" s="493"/>
      <c r="E298" s="493"/>
      <c r="F298" s="493"/>
      <c r="G298" s="493"/>
      <c r="H298" s="493"/>
      <c r="I298" s="493"/>
      <c r="J298" s="493"/>
      <c r="K298" s="493"/>
      <c r="L298" s="493"/>
      <c r="M298" s="493"/>
      <c r="N298" s="493"/>
      <c r="O298" s="493"/>
    </row>
    <row r="299">
      <c r="A299" s="323"/>
      <c r="B299" s="323"/>
      <c r="C299" s="323"/>
      <c r="D299" s="493"/>
      <c r="E299" s="493"/>
      <c r="F299" s="493"/>
      <c r="G299" s="493"/>
      <c r="H299" s="493"/>
      <c r="I299" s="493"/>
      <c r="J299" s="493"/>
      <c r="K299" s="493"/>
      <c r="L299" s="493"/>
      <c r="M299" s="493"/>
      <c r="N299" s="493"/>
      <c r="O299" s="493"/>
    </row>
    <row r="300">
      <c r="A300" s="323"/>
      <c r="B300" s="323"/>
      <c r="C300" s="323"/>
      <c r="D300" s="493"/>
      <c r="E300" s="493"/>
      <c r="F300" s="493"/>
      <c r="G300" s="493"/>
      <c r="H300" s="493"/>
      <c r="I300" s="493"/>
      <c r="J300" s="493"/>
      <c r="K300" s="493"/>
      <c r="L300" s="493"/>
      <c r="M300" s="493"/>
      <c r="N300" s="493"/>
      <c r="O300" s="493"/>
    </row>
    <row r="301">
      <c r="A301" s="323"/>
      <c r="B301" s="323"/>
      <c r="C301" s="323"/>
      <c r="D301" s="493"/>
      <c r="E301" s="493"/>
      <c r="F301" s="493"/>
      <c r="G301" s="493"/>
      <c r="H301" s="493"/>
      <c r="I301" s="493"/>
      <c r="J301" s="493"/>
      <c r="K301" s="493"/>
      <c r="L301" s="493"/>
      <c r="M301" s="493"/>
      <c r="N301" s="493"/>
      <c r="O301" s="493"/>
    </row>
    <row r="302">
      <c r="A302" s="323"/>
      <c r="B302" s="323"/>
      <c r="C302" s="323"/>
      <c r="D302" s="493"/>
      <c r="E302" s="493"/>
      <c r="F302" s="493"/>
      <c r="G302" s="493"/>
      <c r="H302" s="493"/>
      <c r="I302" s="493"/>
      <c r="J302" s="493"/>
      <c r="K302" s="493"/>
      <c r="L302" s="493"/>
      <c r="M302" s="493"/>
      <c r="N302" s="493"/>
      <c r="O302" s="493"/>
    </row>
    <row r="303">
      <c r="A303" s="323"/>
      <c r="B303" s="323"/>
      <c r="C303" s="323"/>
      <c r="D303" s="493"/>
      <c r="E303" s="493"/>
      <c r="F303" s="493"/>
      <c r="G303" s="493"/>
      <c r="H303" s="493"/>
      <c r="I303" s="493"/>
      <c r="J303" s="493"/>
      <c r="K303" s="493"/>
      <c r="L303" s="493"/>
      <c r="M303" s="493"/>
      <c r="N303" s="493"/>
      <c r="O303" s="493"/>
    </row>
    <row r="304">
      <c r="A304" s="323"/>
      <c r="B304" s="323"/>
      <c r="C304" s="323"/>
      <c r="D304" s="493"/>
      <c r="E304" s="493"/>
      <c r="F304" s="493"/>
      <c r="G304" s="493"/>
      <c r="H304" s="493"/>
      <c r="I304" s="493"/>
      <c r="J304" s="493"/>
      <c r="K304" s="493"/>
      <c r="L304" s="493"/>
      <c r="M304" s="493"/>
      <c r="N304" s="493"/>
      <c r="O304" s="493"/>
    </row>
    <row r="305">
      <c r="A305" s="323"/>
      <c r="B305" s="323"/>
      <c r="C305" s="323"/>
      <c r="D305" s="493"/>
      <c r="E305" s="493"/>
      <c r="F305" s="493"/>
      <c r="G305" s="493"/>
      <c r="H305" s="493"/>
      <c r="I305" s="493"/>
      <c r="J305" s="493"/>
      <c r="K305" s="493"/>
      <c r="L305" s="493"/>
      <c r="M305" s="493"/>
      <c r="N305" s="493"/>
      <c r="O305" s="493"/>
    </row>
    <row r="306">
      <c r="A306" s="323"/>
      <c r="B306" s="323"/>
      <c r="C306" s="323"/>
      <c r="D306" s="493"/>
      <c r="E306" s="493"/>
      <c r="F306" s="493"/>
      <c r="G306" s="493"/>
      <c r="H306" s="493"/>
      <c r="I306" s="493"/>
      <c r="J306" s="493"/>
      <c r="K306" s="493"/>
      <c r="L306" s="493"/>
      <c r="M306" s="493"/>
      <c r="N306" s="493"/>
      <c r="O306" s="493"/>
    </row>
    <row r="307">
      <c r="A307" s="323"/>
      <c r="B307" s="323"/>
      <c r="C307" s="323"/>
      <c r="D307" s="493"/>
      <c r="E307" s="493"/>
      <c r="F307" s="493"/>
      <c r="G307" s="493"/>
      <c r="H307" s="493"/>
      <c r="I307" s="493"/>
      <c r="J307" s="493"/>
      <c r="K307" s="493"/>
      <c r="L307" s="493"/>
      <c r="M307" s="493"/>
      <c r="N307" s="493"/>
      <c r="O307" s="493"/>
    </row>
    <row r="308">
      <c r="A308" s="323"/>
      <c r="B308" s="323"/>
      <c r="C308" s="323"/>
      <c r="D308" s="493"/>
      <c r="E308" s="493"/>
      <c r="F308" s="493"/>
      <c r="G308" s="493"/>
      <c r="H308" s="493"/>
      <c r="I308" s="493"/>
      <c r="J308" s="493"/>
      <c r="K308" s="493"/>
      <c r="L308" s="493"/>
      <c r="M308" s="493"/>
      <c r="N308" s="493"/>
      <c r="O308" s="493"/>
    </row>
    <row r="309">
      <c r="A309" s="323"/>
      <c r="B309" s="323"/>
      <c r="C309" s="323"/>
      <c r="D309" s="493"/>
      <c r="E309" s="493"/>
      <c r="F309" s="493"/>
      <c r="G309" s="493"/>
      <c r="H309" s="493"/>
      <c r="I309" s="493"/>
      <c r="J309" s="493"/>
      <c r="K309" s="493"/>
      <c r="L309" s="493"/>
      <c r="M309" s="493"/>
      <c r="N309" s="493"/>
      <c r="O309" s="493"/>
    </row>
    <row r="310">
      <c r="A310" s="323"/>
      <c r="B310" s="323"/>
      <c r="C310" s="323"/>
      <c r="D310" s="493"/>
      <c r="E310" s="493"/>
      <c r="F310" s="493"/>
      <c r="G310" s="493"/>
      <c r="H310" s="493"/>
      <c r="I310" s="493"/>
      <c r="J310" s="493"/>
      <c r="K310" s="493"/>
      <c r="L310" s="493"/>
      <c r="M310" s="493"/>
      <c r="N310" s="493"/>
      <c r="O310" s="493"/>
    </row>
    <row r="311">
      <c r="A311" s="323"/>
      <c r="B311" s="323"/>
      <c r="C311" s="323"/>
      <c r="D311" s="493"/>
      <c r="E311" s="493"/>
      <c r="F311" s="493"/>
      <c r="G311" s="493"/>
      <c r="H311" s="493"/>
      <c r="I311" s="493"/>
      <c r="J311" s="493"/>
      <c r="K311" s="493"/>
      <c r="L311" s="493"/>
      <c r="M311" s="493"/>
      <c r="N311" s="493"/>
      <c r="O311" s="493"/>
    </row>
    <row r="312">
      <c r="A312" s="323"/>
      <c r="B312" s="323"/>
      <c r="C312" s="323"/>
      <c r="D312" s="493"/>
      <c r="E312" s="493"/>
      <c r="F312" s="493"/>
      <c r="G312" s="493"/>
      <c r="H312" s="493"/>
      <c r="I312" s="493"/>
      <c r="J312" s="493"/>
      <c r="K312" s="493"/>
      <c r="L312" s="493"/>
      <c r="M312" s="493"/>
      <c r="N312" s="493"/>
      <c r="O312" s="493"/>
    </row>
    <row r="313">
      <c r="A313" s="323"/>
      <c r="B313" s="323"/>
      <c r="C313" s="323"/>
      <c r="D313" s="493"/>
      <c r="E313" s="493"/>
      <c r="F313" s="493"/>
      <c r="G313" s="493"/>
      <c r="H313" s="493"/>
      <c r="I313" s="493"/>
      <c r="J313" s="493"/>
      <c r="K313" s="493"/>
      <c r="L313" s="493"/>
      <c r="M313" s="493"/>
      <c r="N313" s="493"/>
      <c r="O313" s="493"/>
    </row>
    <row r="314">
      <c r="A314" s="323"/>
      <c r="B314" s="323"/>
      <c r="C314" s="323"/>
      <c r="D314" s="493"/>
      <c r="E314" s="493"/>
      <c r="F314" s="493"/>
      <c r="G314" s="493"/>
      <c r="H314" s="493"/>
      <c r="I314" s="493"/>
      <c r="J314" s="493"/>
      <c r="K314" s="493"/>
      <c r="L314" s="493"/>
      <c r="M314" s="493"/>
      <c r="N314" s="493"/>
      <c r="O314" s="493"/>
    </row>
    <row r="315">
      <c r="A315" s="323"/>
      <c r="B315" s="323"/>
      <c r="C315" s="323"/>
      <c r="D315" s="493"/>
      <c r="E315" s="493"/>
      <c r="F315" s="493"/>
      <c r="G315" s="493"/>
      <c r="H315" s="493"/>
      <c r="I315" s="493"/>
      <c r="J315" s="493"/>
      <c r="K315" s="493"/>
      <c r="L315" s="493"/>
      <c r="M315" s="493"/>
      <c r="N315" s="493"/>
      <c r="O315" s="493"/>
    </row>
    <row r="316">
      <c r="A316" s="323"/>
      <c r="B316" s="323"/>
      <c r="C316" s="323"/>
      <c r="D316" s="493"/>
      <c r="E316" s="493"/>
      <c r="F316" s="493"/>
      <c r="G316" s="493"/>
      <c r="H316" s="493"/>
      <c r="I316" s="493"/>
      <c r="J316" s="493"/>
      <c r="K316" s="493"/>
      <c r="L316" s="493"/>
      <c r="M316" s="493"/>
      <c r="N316" s="493"/>
      <c r="O316" s="493"/>
    </row>
    <row r="317">
      <c r="A317" s="323"/>
      <c r="B317" s="323"/>
      <c r="C317" s="323"/>
      <c r="D317" s="493"/>
      <c r="E317" s="493"/>
      <c r="F317" s="493"/>
      <c r="G317" s="493"/>
      <c r="H317" s="493"/>
      <c r="I317" s="493"/>
      <c r="J317" s="493"/>
      <c r="K317" s="493"/>
      <c r="L317" s="493"/>
      <c r="M317" s="493"/>
      <c r="N317" s="493"/>
      <c r="O317" s="493"/>
    </row>
    <row r="318">
      <c r="A318" s="323"/>
      <c r="B318" s="323"/>
      <c r="C318" s="323"/>
      <c r="D318" s="493"/>
      <c r="E318" s="493"/>
      <c r="F318" s="493"/>
      <c r="G318" s="493"/>
      <c r="H318" s="493"/>
      <c r="I318" s="493"/>
      <c r="J318" s="493"/>
      <c r="K318" s="493"/>
      <c r="L318" s="493"/>
      <c r="M318" s="493"/>
      <c r="N318" s="493"/>
      <c r="O318" s="493"/>
    </row>
    <row r="319">
      <c r="A319" s="323"/>
      <c r="B319" s="323"/>
      <c r="C319" s="323"/>
      <c r="D319" s="493"/>
      <c r="E319" s="493"/>
      <c r="F319" s="493"/>
      <c r="G319" s="493"/>
      <c r="H319" s="493"/>
      <c r="I319" s="493"/>
      <c r="J319" s="493"/>
      <c r="K319" s="493"/>
      <c r="L319" s="493"/>
      <c r="M319" s="493"/>
      <c r="N319" s="493"/>
      <c r="O319" s="493"/>
    </row>
    <row r="320">
      <c r="A320" s="323"/>
      <c r="B320" s="323"/>
      <c r="C320" s="323"/>
      <c r="D320" s="493"/>
      <c r="E320" s="493"/>
      <c r="F320" s="493"/>
      <c r="G320" s="493"/>
      <c r="H320" s="493"/>
      <c r="I320" s="493"/>
      <c r="J320" s="493"/>
      <c r="K320" s="493"/>
      <c r="L320" s="493"/>
      <c r="M320" s="493"/>
      <c r="N320" s="493"/>
      <c r="O320" s="493"/>
    </row>
    <row r="321">
      <c r="A321" s="323"/>
      <c r="B321" s="323"/>
      <c r="C321" s="323"/>
      <c r="D321" s="493"/>
      <c r="E321" s="493"/>
      <c r="F321" s="493"/>
      <c r="G321" s="493"/>
      <c r="H321" s="493"/>
      <c r="I321" s="493"/>
      <c r="J321" s="493"/>
      <c r="K321" s="493"/>
      <c r="L321" s="493"/>
      <c r="M321" s="493"/>
      <c r="N321" s="493"/>
      <c r="O321" s="493"/>
    </row>
    <row r="322">
      <c r="A322" s="323"/>
      <c r="B322" s="323"/>
      <c r="C322" s="323"/>
      <c r="D322" s="493"/>
      <c r="E322" s="493"/>
      <c r="F322" s="493"/>
      <c r="G322" s="493"/>
      <c r="H322" s="493"/>
      <c r="I322" s="493"/>
      <c r="J322" s="493"/>
      <c r="K322" s="493"/>
      <c r="L322" s="493"/>
      <c r="M322" s="493"/>
      <c r="N322" s="493"/>
      <c r="O322" s="493"/>
    </row>
    <row r="323">
      <c r="A323" s="323"/>
      <c r="B323" s="323"/>
      <c r="C323" s="323"/>
      <c r="D323" s="493"/>
      <c r="E323" s="493"/>
      <c r="F323" s="493"/>
      <c r="G323" s="493"/>
      <c r="H323" s="493"/>
      <c r="I323" s="493"/>
      <c r="J323" s="493"/>
      <c r="K323" s="493"/>
      <c r="L323" s="493"/>
      <c r="M323" s="493"/>
      <c r="N323" s="493"/>
      <c r="O323" s="493"/>
    </row>
    <row r="324">
      <c r="A324" s="323"/>
      <c r="B324" s="323"/>
      <c r="C324" s="323"/>
      <c r="D324" s="493"/>
      <c r="E324" s="493"/>
      <c r="F324" s="493"/>
      <c r="G324" s="493"/>
      <c r="H324" s="493"/>
      <c r="I324" s="493"/>
      <c r="J324" s="493"/>
      <c r="K324" s="493"/>
      <c r="L324" s="493"/>
      <c r="M324" s="493"/>
      <c r="N324" s="493"/>
      <c r="O324" s="493"/>
    </row>
    <row r="325">
      <c r="A325" s="323"/>
      <c r="B325" s="323"/>
      <c r="C325" s="323"/>
      <c r="D325" s="493"/>
      <c r="E325" s="493"/>
      <c r="F325" s="493"/>
      <c r="G325" s="493"/>
      <c r="H325" s="493"/>
      <c r="I325" s="493"/>
      <c r="J325" s="493"/>
      <c r="K325" s="493"/>
      <c r="L325" s="493"/>
      <c r="M325" s="493"/>
      <c r="N325" s="493"/>
      <c r="O325" s="493"/>
    </row>
    <row r="326">
      <c r="A326" s="323"/>
      <c r="B326" s="323"/>
      <c r="C326" s="323"/>
      <c r="D326" s="493"/>
      <c r="E326" s="493"/>
      <c r="F326" s="493"/>
      <c r="G326" s="493"/>
      <c r="H326" s="493"/>
      <c r="I326" s="493"/>
      <c r="J326" s="493"/>
      <c r="K326" s="493"/>
      <c r="L326" s="493"/>
      <c r="M326" s="493"/>
      <c r="N326" s="493"/>
      <c r="O326" s="493"/>
    </row>
    <row r="327">
      <c r="A327" s="323"/>
      <c r="B327" s="323"/>
      <c r="C327" s="323"/>
      <c r="D327" s="493"/>
      <c r="E327" s="493"/>
      <c r="F327" s="493"/>
      <c r="G327" s="493"/>
      <c r="H327" s="493"/>
      <c r="I327" s="493"/>
      <c r="J327" s="493"/>
      <c r="K327" s="493"/>
      <c r="L327" s="493"/>
      <c r="M327" s="493"/>
      <c r="N327" s="493"/>
      <c r="O327" s="493"/>
    </row>
    <row r="328">
      <c r="A328" s="323"/>
      <c r="B328" s="323"/>
      <c r="C328" s="323"/>
      <c r="D328" s="493"/>
      <c r="E328" s="493"/>
      <c r="F328" s="493"/>
      <c r="G328" s="493"/>
      <c r="H328" s="493"/>
      <c r="I328" s="493"/>
      <c r="J328" s="493"/>
      <c r="K328" s="493"/>
      <c r="L328" s="493"/>
      <c r="M328" s="493"/>
      <c r="N328" s="493"/>
      <c r="O328" s="493"/>
    </row>
    <row r="329">
      <c r="A329" s="323"/>
      <c r="B329" s="323"/>
      <c r="C329" s="323"/>
      <c r="D329" s="493"/>
      <c r="E329" s="493"/>
      <c r="F329" s="493"/>
      <c r="G329" s="493"/>
      <c r="H329" s="493"/>
      <c r="I329" s="493"/>
      <c r="J329" s="493"/>
      <c r="K329" s="493"/>
      <c r="L329" s="493"/>
      <c r="M329" s="493"/>
      <c r="N329" s="493"/>
      <c r="O329" s="493"/>
    </row>
    <row r="330">
      <c r="A330" s="323"/>
      <c r="B330" s="323"/>
      <c r="C330" s="323"/>
      <c r="D330" s="493"/>
      <c r="E330" s="493"/>
      <c r="F330" s="493"/>
      <c r="G330" s="493"/>
      <c r="H330" s="493"/>
      <c r="I330" s="493"/>
      <c r="J330" s="493"/>
      <c r="K330" s="493"/>
      <c r="L330" s="493"/>
      <c r="M330" s="493"/>
      <c r="N330" s="493"/>
      <c r="O330" s="493"/>
    </row>
    <row r="331">
      <c r="A331" s="323"/>
      <c r="B331" s="323"/>
      <c r="C331" s="323"/>
      <c r="D331" s="493"/>
      <c r="E331" s="493"/>
      <c r="F331" s="493"/>
      <c r="G331" s="493"/>
      <c r="H331" s="493"/>
      <c r="I331" s="493"/>
      <c r="J331" s="493"/>
      <c r="K331" s="493"/>
      <c r="L331" s="493"/>
      <c r="M331" s="493"/>
      <c r="N331" s="493"/>
      <c r="O331" s="493"/>
    </row>
    <row r="332">
      <c r="A332" s="323"/>
      <c r="B332" s="323"/>
      <c r="C332" s="323"/>
      <c r="D332" s="493"/>
      <c r="E332" s="493"/>
      <c r="F332" s="493"/>
      <c r="G332" s="493"/>
      <c r="H332" s="493"/>
      <c r="I332" s="493"/>
      <c r="J332" s="493"/>
      <c r="K332" s="493"/>
      <c r="L332" s="493"/>
      <c r="M332" s="493"/>
      <c r="N332" s="493"/>
      <c r="O332" s="493"/>
    </row>
    <row r="333">
      <c r="A333" s="323"/>
      <c r="B333" s="323"/>
      <c r="C333" s="323"/>
      <c r="D333" s="493"/>
      <c r="E333" s="493"/>
      <c r="F333" s="493"/>
      <c r="G333" s="493"/>
      <c r="H333" s="493"/>
      <c r="I333" s="493"/>
      <c r="J333" s="493"/>
      <c r="K333" s="493"/>
      <c r="L333" s="493"/>
      <c r="M333" s="493"/>
      <c r="N333" s="493"/>
      <c r="O333" s="493"/>
    </row>
    <row r="334">
      <c r="A334" s="323"/>
      <c r="B334" s="323"/>
      <c r="C334" s="323"/>
      <c r="D334" s="493"/>
      <c r="E334" s="493"/>
      <c r="F334" s="493"/>
      <c r="G334" s="493"/>
      <c r="H334" s="493"/>
      <c r="I334" s="493"/>
      <c r="J334" s="493"/>
      <c r="K334" s="493"/>
      <c r="L334" s="493"/>
      <c r="M334" s="493"/>
      <c r="N334" s="493"/>
      <c r="O334" s="493"/>
    </row>
    <row r="335">
      <c r="A335" s="323"/>
      <c r="B335" s="323"/>
      <c r="C335" s="323"/>
      <c r="D335" s="493"/>
      <c r="E335" s="493"/>
      <c r="F335" s="493"/>
      <c r="G335" s="493"/>
      <c r="H335" s="493"/>
      <c r="I335" s="493"/>
      <c r="J335" s="493"/>
      <c r="K335" s="493"/>
      <c r="L335" s="493"/>
      <c r="M335" s="493"/>
      <c r="N335" s="493"/>
      <c r="O335" s="493"/>
    </row>
    <row r="336">
      <c r="A336" s="323"/>
      <c r="B336" s="323"/>
      <c r="C336" s="323"/>
      <c r="D336" s="493"/>
      <c r="E336" s="493"/>
      <c r="F336" s="493"/>
      <c r="G336" s="493"/>
      <c r="H336" s="493"/>
      <c r="I336" s="493"/>
      <c r="J336" s="493"/>
      <c r="K336" s="493"/>
      <c r="L336" s="493"/>
      <c r="M336" s="493"/>
      <c r="N336" s="493"/>
      <c r="O336" s="493"/>
    </row>
    <row r="337">
      <c r="A337" s="323"/>
      <c r="B337" s="323"/>
      <c r="C337" s="323"/>
      <c r="D337" s="493"/>
      <c r="E337" s="493"/>
      <c r="F337" s="493"/>
      <c r="G337" s="493"/>
      <c r="H337" s="493"/>
      <c r="I337" s="493"/>
      <c r="J337" s="493"/>
      <c r="K337" s="493"/>
      <c r="L337" s="493"/>
      <c r="M337" s="493"/>
      <c r="N337" s="493"/>
      <c r="O337" s="493"/>
    </row>
    <row r="338">
      <c r="A338" s="323"/>
      <c r="B338" s="323"/>
      <c r="C338" s="323"/>
      <c r="D338" s="493"/>
      <c r="E338" s="493"/>
      <c r="F338" s="493"/>
      <c r="G338" s="493"/>
      <c r="H338" s="493"/>
      <c r="I338" s="493"/>
      <c r="J338" s="493"/>
      <c r="K338" s="493"/>
      <c r="L338" s="493"/>
      <c r="M338" s="493"/>
      <c r="N338" s="493"/>
      <c r="O338" s="493"/>
    </row>
    <row r="339">
      <c r="A339" s="323"/>
      <c r="B339" s="323"/>
      <c r="C339" s="323"/>
      <c r="D339" s="493"/>
      <c r="E339" s="493"/>
      <c r="F339" s="493"/>
      <c r="G339" s="493"/>
      <c r="H339" s="493"/>
      <c r="I339" s="493"/>
      <c r="J339" s="493"/>
      <c r="K339" s="493"/>
      <c r="L339" s="493"/>
      <c r="M339" s="493"/>
      <c r="N339" s="493"/>
      <c r="O339" s="493"/>
    </row>
    <row r="340">
      <c r="A340" s="323"/>
      <c r="B340" s="323"/>
      <c r="C340" s="323"/>
      <c r="D340" s="493"/>
      <c r="E340" s="493"/>
      <c r="F340" s="493"/>
      <c r="G340" s="493"/>
      <c r="H340" s="493"/>
      <c r="I340" s="493"/>
      <c r="J340" s="493"/>
      <c r="K340" s="493"/>
      <c r="L340" s="493"/>
      <c r="M340" s="493"/>
      <c r="N340" s="493"/>
      <c r="O340" s="493"/>
    </row>
    <row r="341">
      <c r="A341" s="323"/>
      <c r="B341" s="323"/>
      <c r="C341" s="323"/>
      <c r="D341" s="493"/>
      <c r="E341" s="493"/>
      <c r="F341" s="493"/>
      <c r="G341" s="493"/>
      <c r="H341" s="493"/>
      <c r="I341" s="493"/>
      <c r="J341" s="493"/>
      <c r="K341" s="493"/>
      <c r="L341" s="493"/>
      <c r="M341" s="493"/>
      <c r="N341" s="493"/>
      <c r="O341" s="493"/>
    </row>
    <row r="342">
      <c r="A342" s="323"/>
      <c r="B342" s="323"/>
      <c r="C342" s="323"/>
      <c r="D342" s="493"/>
      <c r="E342" s="493"/>
      <c r="F342" s="493"/>
      <c r="G342" s="493"/>
      <c r="H342" s="493"/>
      <c r="I342" s="493"/>
      <c r="J342" s="493"/>
      <c r="K342" s="493"/>
      <c r="L342" s="493"/>
      <c r="M342" s="493"/>
      <c r="N342" s="493"/>
      <c r="O342" s="493"/>
    </row>
    <row r="343">
      <c r="A343" s="323"/>
      <c r="B343" s="323"/>
      <c r="C343" s="323"/>
      <c r="D343" s="493"/>
      <c r="E343" s="493"/>
      <c r="F343" s="493"/>
      <c r="G343" s="493"/>
      <c r="H343" s="493"/>
      <c r="I343" s="493"/>
      <c r="J343" s="493"/>
      <c r="K343" s="493"/>
      <c r="L343" s="493"/>
      <c r="M343" s="493"/>
      <c r="N343" s="493"/>
      <c r="O343" s="493"/>
    </row>
    <row r="344">
      <c r="A344" s="323"/>
      <c r="B344" s="323"/>
      <c r="C344" s="323"/>
      <c r="D344" s="493"/>
      <c r="E344" s="493"/>
      <c r="F344" s="493"/>
      <c r="G344" s="493"/>
      <c r="H344" s="493"/>
      <c r="I344" s="493"/>
      <c r="J344" s="493"/>
      <c r="K344" s="493"/>
      <c r="L344" s="493"/>
      <c r="M344" s="493"/>
      <c r="N344" s="493"/>
      <c r="O344" s="493"/>
    </row>
    <row r="345">
      <c r="A345" s="323"/>
      <c r="B345" s="323"/>
      <c r="C345" s="323"/>
      <c r="D345" s="493"/>
      <c r="E345" s="493"/>
      <c r="F345" s="493"/>
      <c r="G345" s="493"/>
      <c r="H345" s="493"/>
      <c r="I345" s="493"/>
      <c r="J345" s="493"/>
      <c r="K345" s="493"/>
      <c r="L345" s="493"/>
      <c r="M345" s="493"/>
      <c r="N345" s="493"/>
      <c r="O345" s="493"/>
    </row>
    <row r="346">
      <c r="A346" s="323"/>
      <c r="B346" s="323"/>
      <c r="C346" s="323"/>
      <c r="D346" s="493"/>
      <c r="E346" s="493"/>
      <c r="F346" s="493"/>
      <c r="G346" s="493"/>
      <c r="H346" s="493"/>
      <c r="I346" s="493"/>
      <c r="J346" s="493"/>
      <c r="K346" s="493"/>
      <c r="L346" s="493"/>
      <c r="M346" s="493"/>
      <c r="N346" s="493"/>
      <c r="O346" s="493"/>
    </row>
    <row r="347">
      <c r="A347" s="323"/>
      <c r="B347" s="323"/>
      <c r="C347" s="323"/>
      <c r="D347" s="493"/>
      <c r="E347" s="493"/>
      <c r="F347" s="493"/>
      <c r="G347" s="493"/>
      <c r="H347" s="493"/>
      <c r="I347" s="493"/>
      <c r="J347" s="493"/>
      <c r="K347" s="493"/>
      <c r="L347" s="493"/>
      <c r="M347" s="493"/>
      <c r="N347" s="493"/>
      <c r="O347" s="493"/>
    </row>
    <row r="348">
      <c r="A348" s="323"/>
      <c r="B348" s="323"/>
      <c r="C348" s="323"/>
      <c r="D348" s="493"/>
      <c r="E348" s="493"/>
      <c r="F348" s="493"/>
      <c r="G348" s="493"/>
      <c r="H348" s="493"/>
      <c r="I348" s="493"/>
      <c r="J348" s="493"/>
      <c r="K348" s="493"/>
      <c r="L348" s="493"/>
      <c r="M348" s="493"/>
      <c r="N348" s="493"/>
      <c r="O348" s="493"/>
    </row>
    <row r="349">
      <c r="A349" s="323"/>
      <c r="B349" s="323"/>
      <c r="C349" s="323"/>
      <c r="D349" s="493"/>
      <c r="E349" s="493"/>
      <c r="F349" s="493"/>
      <c r="G349" s="493"/>
      <c r="H349" s="493"/>
      <c r="I349" s="493"/>
      <c r="J349" s="493"/>
      <c r="K349" s="493"/>
      <c r="L349" s="493"/>
      <c r="M349" s="493"/>
      <c r="N349" s="493"/>
      <c r="O349" s="493"/>
    </row>
    <row r="350">
      <c r="A350" s="323"/>
      <c r="B350" s="323"/>
      <c r="C350" s="323"/>
      <c r="D350" s="493"/>
      <c r="E350" s="493"/>
      <c r="F350" s="493"/>
      <c r="G350" s="493"/>
      <c r="H350" s="493"/>
      <c r="I350" s="493"/>
      <c r="J350" s="493"/>
      <c r="K350" s="493"/>
      <c r="L350" s="493"/>
      <c r="M350" s="493"/>
      <c r="N350" s="493"/>
      <c r="O350" s="493"/>
    </row>
    <row r="351">
      <c r="A351" s="323"/>
      <c r="B351" s="323"/>
      <c r="C351" s="323"/>
      <c r="D351" s="493"/>
      <c r="E351" s="493"/>
      <c r="F351" s="493"/>
      <c r="G351" s="493"/>
      <c r="H351" s="493"/>
      <c r="I351" s="493"/>
      <c r="J351" s="493"/>
      <c r="K351" s="493"/>
      <c r="L351" s="493"/>
      <c r="M351" s="493"/>
      <c r="N351" s="493"/>
      <c r="O351" s="493"/>
    </row>
    <row r="352">
      <c r="A352" s="323"/>
      <c r="B352" s="323"/>
      <c r="C352" s="323"/>
      <c r="D352" s="493"/>
      <c r="E352" s="493"/>
      <c r="F352" s="493"/>
      <c r="G352" s="493"/>
      <c r="H352" s="493"/>
      <c r="I352" s="493"/>
      <c r="J352" s="493"/>
      <c r="K352" s="493"/>
      <c r="L352" s="493"/>
      <c r="M352" s="493"/>
      <c r="N352" s="493"/>
      <c r="O352" s="493"/>
    </row>
    <row r="353">
      <c r="A353" s="323"/>
      <c r="B353" s="323"/>
      <c r="C353" s="323"/>
      <c r="D353" s="493"/>
      <c r="E353" s="493"/>
      <c r="F353" s="493"/>
      <c r="G353" s="493"/>
      <c r="H353" s="493"/>
      <c r="I353" s="493"/>
      <c r="J353" s="493"/>
      <c r="K353" s="493"/>
      <c r="L353" s="493"/>
      <c r="M353" s="493"/>
      <c r="N353" s="493"/>
      <c r="O353" s="493"/>
    </row>
    <row r="354">
      <c r="A354" s="323"/>
      <c r="B354" s="323"/>
      <c r="C354" s="323"/>
      <c r="D354" s="493"/>
      <c r="E354" s="493"/>
      <c r="F354" s="493"/>
      <c r="G354" s="493"/>
      <c r="H354" s="493"/>
      <c r="I354" s="493"/>
      <c r="J354" s="493"/>
      <c r="K354" s="493"/>
      <c r="L354" s="493"/>
      <c r="M354" s="493"/>
      <c r="N354" s="493"/>
      <c r="O354" s="493"/>
    </row>
    <row r="355">
      <c r="A355" s="323"/>
      <c r="B355" s="323"/>
      <c r="C355" s="323"/>
      <c r="D355" s="493"/>
      <c r="E355" s="493"/>
      <c r="F355" s="493"/>
      <c r="G355" s="493"/>
      <c r="H355" s="493"/>
      <c r="I355" s="493"/>
      <c r="J355" s="493"/>
      <c r="K355" s="493"/>
      <c r="L355" s="493"/>
      <c r="M355" s="493"/>
      <c r="N355" s="493"/>
      <c r="O355" s="493"/>
    </row>
    <row r="356">
      <c r="A356" s="323"/>
      <c r="B356" s="323"/>
      <c r="C356" s="323"/>
      <c r="D356" s="493"/>
      <c r="E356" s="493"/>
      <c r="F356" s="493"/>
      <c r="G356" s="493"/>
      <c r="H356" s="493"/>
      <c r="I356" s="493"/>
      <c r="J356" s="493"/>
      <c r="K356" s="493"/>
      <c r="L356" s="493"/>
      <c r="M356" s="493"/>
      <c r="N356" s="493"/>
      <c r="O356" s="493"/>
    </row>
    <row r="357">
      <c r="A357" s="323"/>
      <c r="B357" s="323"/>
      <c r="C357" s="323"/>
      <c r="D357" s="493"/>
      <c r="E357" s="493"/>
      <c r="F357" s="493"/>
      <c r="G357" s="493"/>
      <c r="H357" s="493"/>
      <c r="I357" s="493"/>
      <c r="J357" s="493"/>
      <c r="K357" s="493"/>
      <c r="L357" s="493"/>
      <c r="M357" s="493"/>
      <c r="N357" s="493"/>
      <c r="O357" s="493"/>
    </row>
    <row r="358">
      <c r="A358" s="323"/>
      <c r="B358" s="323"/>
      <c r="C358" s="323"/>
      <c r="D358" s="493"/>
      <c r="E358" s="493"/>
      <c r="F358" s="493"/>
      <c r="G358" s="493"/>
      <c r="H358" s="493"/>
      <c r="I358" s="493"/>
      <c r="J358" s="493"/>
      <c r="K358" s="493"/>
      <c r="L358" s="493"/>
      <c r="M358" s="493"/>
      <c r="N358" s="493"/>
      <c r="O358" s="493"/>
    </row>
    <row r="359">
      <c r="A359" s="323"/>
      <c r="B359" s="323"/>
      <c r="C359" s="323"/>
      <c r="D359" s="493"/>
      <c r="E359" s="493"/>
      <c r="F359" s="493"/>
      <c r="G359" s="493"/>
      <c r="H359" s="493"/>
      <c r="I359" s="493"/>
      <c r="J359" s="493"/>
      <c r="K359" s="493"/>
      <c r="L359" s="493"/>
      <c r="M359" s="493"/>
      <c r="N359" s="493"/>
      <c r="O359" s="493"/>
    </row>
    <row r="360">
      <c r="A360" s="323"/>
      <c r="B360" s="323"/>
      <c r="C360" s="323"/>
      <c r="D360" s="493"/>
      <c r="E360" s="493"/>
      <c r="F360" s="493"/>
      <c r="G360" s="493"/>
      <c r="H360" s="493"/>
      <c r="I360" s="493"/>
      <c r="J360" s="493"/>
      <c r="K360" s="493"/>
      <c r="L360" s="493"/>
      <c r="M360" s="493"/>
      <c r="N360" s="493"/>
      <c r="O360" s="493"/>
    </row>
    <row r="361">
      <c r="A361" s="323"/>
      <c r="B361" s="323"/>
      <c r="C361" s="323"/>
      <c r="D361" s="493"/>
      <c r="E361" s="493"/>
      <c r="F361" s="493"/>
      <c r="G361" s="493"/>
      <c r="H361" s="493"/>
      <c r="I361" s="493"/>
      <c r="J361" s="493"/>
      <c r="K361" s="493"/>
      <c r="L361" s="493"/>
      <c r="M361" s="493"/>
      <c r="N361" s="493"/>
      <c r="O361" s="493"/>
    </row>
    <row r="362">
      <c r="A362" s="323"/>
      <c r="B362" s="323"/>
      <c r="C362" s="323"/>
      <c r="D362" s="493"/>
      <c r="E362" s="493"/>
      <c r="F362" s="493"/>
      <c r="G362" s="493"/>
      <c r="H362" s="493"/>
      <c r="I362" s="493"/>
      <c r="J362" s="493"/>
      <c r="K362" s="493"/>
      <c r="L362" s="493"/>
      <c r="M362" s="493"/>
      <c r="N362" s="493"/>
      <c r="O362" s="493"/>
    </row>
    <row r="363">
      <c r="A363" s="323"/>
      <c r="B363" s="323"/>
      <c r="C363" s="323"/>
      <c r="D363" s="493"/>
      <c r="E363" s="493"/>
      <c r="F363" s="493"/>
      <c r="G363" s="493"/>
      <c r="H363" s="493"/>
      <c r="I363" s="493"/>
      <c r="J363" s="493"/>
      <c r="K363" s="493"/>
      <c r="L363" s="493"/>
      <c r="M363" s="493"/>
      <c r="N363" s="493"/>
      <c r="O363" s="493"/>
    </row>
    <row r="364">
      <c r="A364" s="323"/>
      <c r="B364" s="323"/>
      <c r="C364" s="323"/>
      <c r="D364" s="493"/>
      <c r="E364" s="493"/>
      <c r="F364" s="493"/>
      <c r="G364" s="493"/>
      <c r="H364" s="493"/>
      <c r="I364" s="493"/>
      <c r="J364" s="493"/>
      <c r="K364" s="493"/>
      <c r="L364" s="493"/>
      <c r="M364" s="493"/>
      <c r="N364" s="493"/>
      <c r="O364" s="493"/>
    </row>
    <row r="365">
      <c r="A365" s="323"/>
      <c r="B365" s="323"/>
      <c r="C365" s="323"/>
      <c r="D365" s="493"/>
      <c r="E365" s="493"/>
      <c r="F365" s="493"/>
      <c r="G365" s="493"/>
      <c r="H365" s="493"/>
      <c r="I365" s="493"/>
      <c r="J365" s="493"/>
      <c r="K365" s="493"/>
      <c r="L365" s="493"/>
      <c r="M365" s="493"/>
      <c r="N365" s="493"/>
      <c r="O365" s="493"/>
    </row>
    <row r="366">
      <c r="A366" s="323"/>
      <c r="B366" s="323"/>
      <c r="C366" s="323"/>
      <c r="D366" s="493"/>
      <c r="E366" s="493"/>
      <c r="F366" s="493"/>
      <c r="G366" s="493"/>
      <c r="H366" s="493"/>
      <c r="I366" s="493"/>
      <c r="J366" s="493"/>
      <c r="K366" s="493"/>
      <c r="L366" s="493"/>
      <c r="M366" s="493"/>
      <c r="N366" s="493"/>
      <c r="O366" s="493"/>
    </row>
    <row r="367">
      <c r="A367" s="323"/>
      <c r="B367" s="323"/>
      <c r="C367" s="323"/>
      <c r="D367" s="493"/>
      <c r="E367" s="493"/>
      <c r="F367" s="493"/>
      <c r="G367" s="493"/>
      <c r="H367" s="493"/>
      <c r="I367" s="493"/>
      <c r="J367" s="493"/>
      <c r="K367" s="493"/>
      <c r="L367" s="493"/>
      <c r="M367" s="493"/>
      <c r="N367" s="493"/>
      <c r="O367" s="493"/>
    </row>
    <row r="368">
      <c r="A368" s="323"/>
      <c r="B368" s="323"/>
      <c r="C368" s="323"/>
      <c r="D368" s="493"/>
      <c r="E368" s="493"/>
      <c r="F368" s="493"/>
      <c r="G368" s="493"/>
      <c r="H368" s="493"/>
      <c r="I368" s="493"/>
      <c r="J368" s="493"/>
      <c r="K368" s="493"/>
      <c r="L368" s="493"/>
      <c r="M368" s="493"/>
      <c r="N368" s="493"/>
      <c r="O368" s="493"/>
    </row>
    <row r="369">
      <c r="A369" s="323"/>
      <c r="B369" s="323"/>
      <c r="C369" s="323"/>
      <c r="D369" s="493"/>
      <c r="E369" s="493"/>
      <c r="F369" s="493"/>
      <c r="G369" s="493"/>
      <c r="H369" s="493"/>
      <c r="I369" s="493"/>
      <c r="J369" s="493"/>
      <c r="K369" s="493"/>
      <c r="L369" s="493"/>
      <c r="M369" s="493"/>
      <c r="N369" s="493"/>
      <c r="O369" s="493"/>
    </row>
    <row r="370">
      <c r="A370" s="323"/>
      <c r="B370" s="323"/>
      <c r="C370" s="323"/>
      <c r="D370" s="493"/>
      <c r="E370" s="493"/>
      <c r="F370" s="493"/>
      <c r="G370" s="493"/>
      <c r="H370" s="493"/>
      <c r="I370" s="493"/>
      <c r="J370" s="493"/>
      <c r="K370" s="493"/>
      <c r="L370" s="493"/>
      <c r="M370" s="493"/>
      <c r="N370" s="493"/>
      <c r="O370" s="493"/>
    </row>
    <row r="371">
      <c r="A371" s="323"/>
      <c r="B371" s="323"/>
      <c r="C371" s="323"/>
      <c r="D371" s="493"/>
      <c r="E371" s="493"/>
      <c r="F371" s="493"/>
      <c r="G371" s="493"/>
      <c r="H371" s="493"/>
      <c r="I371" s="493"/>
      <c r="J371" s="493"/>
      <c r="K371" s="493"/>
      <c r="L371" s="493"/>
      <c r="M371" s="493"/>
      <c r="N371" s="493"/>
      <c r="O371" s="493"/>
    </row>
    <row r="372">
      <c r="A372" s="323"/>
      <c r="B372" s="323"/>
      <c r="C372" s="323"/>
      <c r="D372" s="493"/>
      <c r="E372" s="493"/>
      <c r="F372" s="493"/>
      <c r="G372" s="493"/>
      <c r="H372" s="493"/>
      <c r="I372" s="493"/>
      <c r="J372" s="493"/>
      <c r="K372" s="493"/>
      <c r="L372" s="493"/>
      <c r="M372" s="493"/>
      <c r="N372" s="493"/>
      <c r="O372" s="493"/>
    </row>
    <row r="373">
      <c r="A373" s="323"/>
      <c r="B373" s="323"/>
      <c r="C373" s="323"/>
      <c r="D373" s="493"/>
      <c r="E373" s="493"/>
      <c r="F373" s="493"/>
      <c r="G373" s="493"/>
      <c r="H373" s="493"/>
      <c r="I373" s="493"/>
      <c r="J373" s="493"/>
      <c r="K373" s="493"/>
      <c r="L373" s="493"/>
      <c r="M373" s="493"/>
      <c r="N373" s="493"/>
      <c r="O373" s="493"/>
    </row>
    <row r="374">
      <c r="A374" s="323"/>
      <c r="B374" s="323"/>
      <c r="C374" s="323"/>
      <c r="D374" s="493"/>
      <c r="E374" s="493"/>
      <c r="F374" s="493"/>
      <c r="G374" s="493"/>
      <c r="H374" s="493"/>
      <c r="I374" s="493"/>
      <c r="J374" s="493"/>
      <c r="K374" s="493"/>
      <c r="L374" s="493"/>
      <c r="M374" s="493"/>
      <c r="N374" s="493"/>
      <c r="O374" s="493"/>
    </row>
    <row r="375">
      <c r="A375" s="323"/>
      <c r="B375" s="323"/>
      <c r="C375" s="323"/>
      <c r="D375" s="493"/>
      <c r="E375" s="493"/>
      <c r="F375" s="493"/>
      <c r="G375" s="493"/>
      <c r="H375" s="493"/>
      <c r="I375" s="493"/>
      <c r="J375" s="493"/>
      <c r="K375" s="493"/>
      <c r="L375" s="493"/>
      <c r="M375" s="493"/>
      <c r="N375" s="493"/>
      <c r="O375" s="493"/>
    </row>
    <row r="376">
      <c r="A376" s="323"/>
      <c r="B376" s="323"/>
      <c r="C376" s="323"/>
      <c r="D376" s="493"/>
      <c r="E376" s="493"/>
      <c r="F376" s="493"/>
      <c r="G376" s="493"/>
      <c r="H376" s="493"/>
      <c r="I376" s="493"/>
      <c r="J376" s="493"/>
      <c r="K376" s="493"/>
      <c r="L376" s="493"/>
      <c r="M376" s="493"/>
      <c r="N376" s="493"/>
      <c r="O376" s="493"/>
    </row>
    <row r="377">
      <c r="A377" s="323"/>
      <c r="B377" s="323"/>
      <c r="C377" s="323"/>
      <c r="D377" s="493"/>
      <c r="E377" s="493"/>
      <c r="F377" s="493"/>
      <c r="G377" s="493"/>
      <c r="H377" s="493"/>
      <c r="I377" s="493"/>
      <c r="J377" s="493"/>
      <c r="K377" s="493"/>
      <c r="L377" s="493"/>
      <c r="M377" s="493"/>
      <c r="N377" s="493"/>
      <c r="O377" s="493"/>
    </row>
    <row r="378">
      <c r="A378" s="323"/>
      <c r="B378" s="323"/>
      <c r="C378" s="323"/>
      <c r="D378" s="493"/>
      <c r="E378" s="493"/>
      <c r="F378" s="493"/>
      <c r="G378" s="493"/>
      <c r="H378" s="493"/>
      <c r="I378" s="493"/>
      <c r="J378" s="493"/>
      <c r="K378" s="493"/>
      <c r="L378" s="493"/>
      <c r="M378" s="493"/>
      <c r="N378" s="493"/>
      <c r="O378" s="493"/>
    </row>
    <row r="379">
      <c r="A379" s="323"/>
      <c r="B379" s="323"/>
      <c r="C379" s="323"/>
      <c r="D379" s="493"/>
      <c r="E379" s="493"/>
      <c r="F379" s="493"/>
      <c r="G379" s="493"/>
      <c r="H379" s="493"/>
      <c r="I379" s="493"/>
      <c r="J379" s="493"/>
      <c r="K379" s="493"/>
      <c r="L379" s="493"/>
      <c r="M379" s="493"/>
      <c r="N379" s="493"/>
      <c r="O379" s="493"/>
    </row>
    <row r="380">
      <c r="A380" s="323"/>
      <c r="B380" s="323"/>
      <c r="C380" s="323"/>
      <c r="D380" s="493"/>
      <c r="E380" s="493"/>
      <c r="F380" s="493"/>
      <c r="G380" s="493"/>
      <c r="H380" s="493"/>
      <c r="I380" s="493"/>
      <c r="J380" s="493"/>
      <c r="K380" s="493"/>
      <c r="L380" s="493"/>
      <c r="M380" s="493"/>
      <c r="N380" s="493"/>
      <c r="O380" s="493"/>
    </row>
    <row r="381">
      <c r="A381" s="323"/>
      <c r="B381" s="323"/>
      <c r="C381" s="323"/>
      <c r="D381" s="493"/>
      <c r="E381" s="493"/>
      <c r="F381" s="493"/>
      <c r="G381" s="493"/>
      <c r="H381" s="493"/>
      <c r="I381" s="493"/>
      <c r="J381" s="493"/>
      <c r="K381" s="493"/>
      <c r="L381" s="493"/>
      <c r="M381" s="493"/>
      <c r="N381" s="493"/>
      <c r="O381" s="493"/>
    </row>
    <row r="382">
      <c r="A382" s="323"/>
      <c r="B382" s="323"/>
      <c r="C382" s="323"/>
      <c r="D382" s="493"/>
      <c r="E382" s="493"/>
      <c r="F382" s="493"/>
      <c r="G382" s="493"/>
      <c r="H382" s="493"/>
      <c r="I382" s="493"/>
      <c r="J382" s="493"/>
      <c r="K382" s="493"/>
      <c r="L382" s="493"/>
      <c r="M382" s="493"/>
      <c r="N382" s="493"/>
      <c r="O382" s="493"/>
    </row>
    <row r="383">
      <c r="A383" s="323"/>
      <c r="B383" s="323"/>
      <c r="C383" s="323"/>
      <c r="D383" s="493"/>
      <c r="E383" s="493"/>
      <c r="F383" s="493"/>
      <c r="G383" s="493"/>
      <c r="H383" s="493"/>
      <c r="I383" s="493"/>
      <c r="J383" s="493"/>
      <c r="K383" s="493"/>
      <c r="L383" s="493"/>
      <c r="M383" s="493"/>
      <c r="N383" s="493"/>
      <c r="O383" s="493"/>
    </row>
    <row r="384">
      <c r="A384" s="323"/>
      <c r="B384" s="323"/>
      <c r="C384" s="323"/>
      <c r="D384" s="493"/>
      <c r="E384" s="493"/>
      <c r="F384" s="493"/>
      <c r="G384" s="493"/>
      <c r="H384" s="493"/>
      <c r="I384" s="493"/>
      <c r="J384" s="493"/>
      <c r="K384" s="493"/>
      <c r="L384" s="493"/>
      <c r="M384" s="493"/>
      <c r="N384" s="493"/>
      <c r="O384" s="493"/>
    </row>
    <row r="385">
      <c r="A385" s="323"/>
      <c r="B385" s="323"/>
      <c r="C385" s="323"/>
      <c r="D385" s="493"/>
      <c r="E385" s="493"/>
      <c r="F385" s="493"/>
      <c r="G385" s="493"/>
      <c r="H385" s="493"/>
      <c r="I385" s="493"/>
      <c r="J385" s="493"/>
      <c r="K385" s="493"/>
      <c r="L385" s="493"/>
      <c r="M385" s="493"/>
      <c r="N385" s="493"/>
      <c r="O385" s="493"/>
    </row>
    <row r="386">
      <c r="A386" s="323"/>
      <c r="B386" s="323"/>
      <c r="C386" s="323"/>
      <c r="D386" s="493"/>
      <c r="E386" s="493"/>
      <c r="F386" s="493"/>
      <c r="G386" s="493"/>
      <c r="H386" s="493"/>
      <c r="I386" s="493"/>
      <c r="J386" s="493"/>
      <c r="K386" s="493"/>
      <c r="L386" s="493"/>
      <c r="M386" s="493"/>
      <c r="N386" s="493"/>
      <c r="O386" s="493"/>
    </row>
    <row r="387">
      <c r="A387" s="323"/>
      <c r="B387" s="323"/>
      <c r="C387" s="323"/>
      <c r="D387" s="493"/>
      <c r="E387" s="493"/>
      <c r="F387" s="493"/>
      <c r="G387" s="493"/>
      <c r="H387" s="493"/>
      <c r="I387" s="493"/>
      <c r="J387" s="493"/>
      <c r="K387" s="493"/>
      <c r="L387" s="493"/>
      <c r="M387" s="493"/>
      <c r="N387" s="493"/>
      <c r="O387" s="493"/>
    </row>
    <row r="388">
      <c r="A388" s="323"/>
      <c r="B388" s="323"/>
      <c r="C388" s="323"/>
      <c r="D388" s="493"/>
      <c r="E388" s="493"/>
      <c r="F388" s="493"/>
      <c r="G388" s="493"/>
      <c r="H388" s="493"/>
      <c r="I388" s="493"/>
      <c r="J388" s="493"/>
      <c r="K388" s="493"/>
      <c r="L388" s="493"/>
      <c r="M388" s="493"/>
      <c r="N388" s="493"/>
      <c r="O388" s="493"/>
    </row>
    <row r="389">
      <c r="A389" s="323"/>
      <c r="B389" s="323"/>
      <c r="C389" s="323"/>
      <c r="D389" s="493"/>
      <c r="E389" s="493"/>
      <c r="F389" s="493"/>
      <c r="G389" s="493"/>
      <c r="H389" s="493"/>
      <c r="I389" s="493"/>
      <c r="J389" s="493"/>
      <c r="K389" s="493"/>
      <c r="L389" s="493"/>
      <c r="M389" s="493"/>
      <c r="N389" s="493"/>
      <c r="O389" s="493"/>
    </row>
    <row r="390">
      <c r="A390" s="323"/>
      <c r="B390" s="323"/>
      <c r="C390" s="323"/>
      <c r="D390" s="493"/>
      <c r="E390" s="493"/>
      <c r="F390" s="493"/>
      <c r="G390" s="493"/>
      <c r="H390" s="493"/>
      <c r="I390" s="493"/>
      <c r="J390" s="493"/>
      <c r="K390" s="493"/>
      <c r="L390" s="493"/>
      <c r="M390" s="493"/>
      <c r="N390" s="493"/>
      <c r="O390" s="493"/>
    </row>
    <row r="391">
      <c r="A391" s="323"/>
      <c r="B391" s="323"/>
      <c r="C391" s="323"/>
      <c r="D391" s="493"/>
      <c r="E391" s="493"/>
      <c r="F391" s="493"/>
      <c r="G391" s="493"/>
      <c r="H391" s="493"/>
      <c r="I391" s="493"/>
      <c r="J391" s="493"/>
      <c r="K391" s="493"/>
      <c r="L391" s="493"/>
      <c r="M391" s="493"/>
      <c r="N391" s="493"/>
      <c r="O391" s="493"/>
    </row>
    <row r="392">
      <c r="A392" s="323"/>
      <c r="B392" s="323"/>
      <c r="C392" s="323"/>
      <c r="D392" s="493"/>
      <c r="E392" s="493"/>
      <c r="F392" s="493"/>
      <c r="G392" s="493"/>
      <c r="H392" s="493"/>
      <c r="I392" s="493"/>
      <c r="J392" s="493"/>
      <c r="K392" s="493"/>
      <c r="L392" s="493"/>
      <c r="M392" s="493"/>
      <c r="N392" s="493"/>
      <c r="O392" s="493"/>
    </row>
    <row r="393">
      <c r="A393" s="323"/>
      <c r="B393" s="323"/>
      <c r="C393" s="323"/>
      <c r="D393" s="493"/>
      <c r="E393" s="493"/>
      <c r="F393" s="493"/>
      <c r="G393" s="493"/>
      <c r="H393" s="493"/>
      <c r="I393" s="493"/>
      <c r="J393" s="493"/>
      <c r="K393" s="493"/>
      <c r="L393" s="493"/>
      <c r="M393" s="493"/>
      <c r="N393" s="493"/>
      <c r="O393" s="493"/>
    </row>
    <row r="394">
      <c r="A394" s="323"/>
      <c r="B394" s="323"/>
      <c r="C394" s="323"/>
      <c r="D394" s="493"/>
      <c r="E394" s="493"/>
      <c r="F394" s="493"/>
      <c r="G394" s="493"/>
      <c r="H394" s="493"/>
      <c r="I394" s="493"/>
      <c r="J394" s="493"/>
      <c r="K394" s="493"/>
      <c r="L394" s="493"/>
      <c r="M394" s="493"/>
      <c r="N394" s="493"/>
      <c r="O394" s="493"/>
    </row>
    <row r="395">
      <c r="A395" s="323"/>
      <c r="B395" s="323"/>
      <c r="C395" s="323"/>
      <c r="D395" s="493"/>
      <c r="E395" s="493"/>
      <c r="F395" s="493"/>
      <c r="G395" s="493"/>
      <c r="H395" s="493"/>
      <c r="I395" s="493"/>
      <c r="J395" s="493"/>
      <c r="K395" s="493"/>
      <c r="L395" s="493"/>
      <c r="M395" s="493"/>
      <c r="N395" s="493"/>
      <c r="O395" s="493"/>
    </row>
    <row r="396">
      <c r="A396" s="323"/>
      <c r="B396" s="323"/>
      <c r="C396" s="323"/>
      <c r="D396" s="493"/>
      <c r="E396" s="493"/>
      <c r="F396" s="493"/>
      <c r="G396" s="493"/>
      <c r="H396" s="493"/>
      <c r="I396" s="493"/>
      <c r="J396" s="493"/>
      <c r="K396" s="493"/>
      <c r="L396" s="493"/>
      <c r="M396" s="493"/>
      <c r="N396" s="493"/>
      <c r="O396" s="493"/>
    </row>
    <row r="397">
      <c r="A397" s="323"/>
      <c r="B397" s="323"/>
      <c r="C397" s="323"/>
      <c r="D397" s="493"/>
      <c r="E397" s="493"/>
      <c r="F397" s="493"/>
      <c r="G397" s="493"/>
      <c r="H397" s="493"/>
      <c r="I397" s="493"/>
      <c r="J397" s="493"/>
      <c r="K397" s="493"/>
      <c r="L397" s="493"/>
      <c r="M397" s="493"/>
      <c r="N397" s="493"/>
      <c r="O397" s="493"/>
    </row>
    <row r="398">
      <c r="A398" s="323"/>
      <c r="B398" s="323"/>
      <c r="C398" s="323"/>
      <c r="D398" s="493"/>
      <c r="E398" s="493"/>
      <c r="F398" s="493"/>
      <c r="G398" s="493"/>
      <c r="H398" s="493"/>
      <c r="I398" s="493"/>
      <c r="J398" s="493"/>
      <c r="K398" s="493"/>
      <c r="L398" s="493"/>
      <c r="M398" s="493"/>
      <c r="N398" s="493"/>
      <c r="O398" s="493"/>
    </row>
    <row r="399">
      <c r="A399" s="323"/>
      <c r="B399" s="323"/>
      <c r="C399" s="323"/>
      <c r="D399" s="493"/>
      <c r="E399" s="493"/>
      <c r="F399" s="493"/>
      <c r="G399" s="493"/>
      <c r="H399" s="493"/>
      <c r="I399" s="493"/>
      <c r="J399" s="493"/>
      <c r="K399" s="493"/>
      <c r="L399" s="493"/>
      <c r="M399" s="493"/>
      <c r="N399" s="493"/>
      <c r="O399" s="493"/>
    </row>
    <row r="400">
      <c r="A400" s="323"/>
      <c r="B400" s="323"/>
      <c r="C400" s="323"/>
      <c r="D400" s="493"/>
      <c r="E400" s="493"/>
      <c r="F400" s="493"/>
      <c r="G400" s="493"/>
      <c r="H400" s="493"/>
      <c r="I400" s="493"/>
      <c r="J400" s="493"/>
      <c r="K400" s="493"/>
      <c r="L400" s="493"/>
      <c r="M400" s="493"/>
      <c r="N400" s="493"/>
      <c r="O400" s="493"/>
    </row>
    <row r="401">
      <c r="A401" s="323"/>
      <c r="B401" s="323"/>
      <c r="C401" s="323"/>
      <c r="D401" s="493"/>
      <c r="E401" s="493"/>
      <c r="F401" s="493"/>
      <c r="G401" s="493"/>
      <c r="H401" s="493"/>
      <c r="I401" s="493"/>
      <c r="J401" s="493"/>
      <c r="K401" s="493"/>
      <c r="L401" s="493"/>
      <c r="M401" s="493"/>
      <c r="N401" s="493"/>
      <c r="O401" s="493"/>
    </row>
    <row r="402">
      <c r="A402" s="323"/>
      <c r="B402" s="323"/>
      <c r="C402" s="323"/>
      <c r="D402" s="493"/>
      <c r="E402" s="493"/>
      <c r="F402" s="493"/>
      <c r="G402" s="493"/>
      <c r="H402" s="493"/>
      <c r="I402" s="493"/>
      <c r="J402" s="493"/>
      <c r="K402" s="493"/>
      <c r="L402" s="493"/>
      <c r="M402" s="493"/>
      <c r="N402" s="493"/>
      <c r="O402" s="493"/>
    </row>
    <row r="403">
      <c r="A403" s="323"/>
      <c r="B403" s="323"/>
      <c r="C403" s="323"/>
      <c r="D403" s="493"/>
      <c r="E403" s="493"/>
      <c r="F403" s="493"/>
      <c r="G403" s="493"/>
      <c r="H403" s="493"/>
      <c r="I403" s="493"/>
      <c r="J403" s="493"/>
      <c r="K403" s="493"/>
      <c r="L403" s="493"/>
      <c r="M403" s="493"/>
      <c r="N403" s="493"/>
      <c r="O403" s="493"/>
    </row>
    <row r="404">
      <c r="A404" s="323"/>
      <c r="B404" s="323"/>
      <c r="C404" s="323"/>
      <c r="D404" s="493"/>
      <c r="E404" s="493"/>
      <c r="F404" s="493"/>
      <c r="G404" s="493"/>
      <c r="H404" s="493"/>
      <c r="I404" s="493"/>
      <c r="J404" s="493"/>
      <c r="K404" s="493"/>
      <c r="L404" s="493"/>
      <c r="M404" s="493"/>
      <c r="N404" s="493"/>
      <c r="O404" s="493"/>
    </row>
    <row r="405">
      <c r="A405" s="323"/>
      <c r="B405" s="323"/>
      <c r="C405" s="323"/>
      <c r="D405" s="493"/>
      <c r="E405" s="493"/>
      <c r="F405" s="493"/>
      <c r="G405" s="493"/>
      <c r="H405" s="493"/>
      <c r="I405" s="493"/>
      <c r="J405" s="493"/>
      <c r="K405" s="493"/>
      <c r="L405" s="493"/>
      <c r="M405" s="493"/>
      <c r="N405" s="493"/>
      <c r="O405" s="493"/>
    </row>
    <row r="406">
      <c r="A406" s="323"/>
      <c r="B406" s="323"/>
      <c r="C406" s="323"/>
      <c r="D406" s="493"/>
      <c r="E406" s="493"/>
      <c r="F406" s="493"/>
      <c r="G406" s="493"/>
      <c r="H406" s="493"/>
      <c r="I406" s="493"/>
      <c r="J406" s="493"/>
      <c r="K406" s="493"/>
      <c r="L406" s="493"/>
      <c r="M406" s="493"/>
      <c r="N406" s="493"/>
      <c r="O406" s="493"/>
    </row>
    <row r="407">
      <c r="A407" s="323"/>
      <c r="B407" s="323"/>
      <c r="C407" s="323"/>
      <c r="D407" s="493"/>
      <c r="E407" s="493"/>
      <c r="F407" s="493"/>
      <c r="G407" s="493"/>
      <c r="H407" s="493"/>
      <c r="I407" s="493"/>
      <c r="J407" s="493"/>
      <c r="K407" s="493"/>
      <c r="L407" s="493"/>
      <c r="M407" s="493"/>
      <c r="N407" s="493"/>
      <c r="O407" s="493"/>
    </row>
    <row r="408">
      <c r="A408" s="323"/>
      <c r="B408" s="323"/>
      <c r="C408" s="323"/>
      <c r="D408" s="493"/>
      <c r="E408" s="493"/>
      <c r="F408" s="493"/>
      <c r="G408" s="493"/>
      <c r="H408" s="493"/>
      <c r="I408" s="493"/>
      <c r="J408" s="493"/>
      <c r="K408" s="493"/>
      <c r="L408" s="493"/>
      <c r="M408" s="493"/>
      <c r="N408" s="493"/>
      <c r="O408" s="493"/>
    </row>
    <row r="409">
      <c r="A409" s="323"/>
      <c r="B409" s="323"/>
      <c r="C409" s="323"/>
      <c r="D409" s="493"/>
      <c r="E409" s="493"/>
      <c r="F409" s="493"/>
      <c r="G409" s="493"/>
      <c r="H409" s="493"/>
      <c r="I409" s="493"/>
      <c r="J409" s="493"/>
      <c r="K409" s="493"/>
      <c r="L409" s="493"/>
      <c r="M409" s="493"/>
      <c r="N409" s="493"/>
      <c r="O409" s="493"/>
    </row>
    <row r="410">
      <c r="A410" s="323"/>
      <c r="B410" s="323"/>
      <c r="C410" s="323"/>
      <c r="D410" s="493"/>
      <c r="E410" s="493"/>
      <c r="F410" s="493"/>
      <c r="G410" s="493"/>
      <c r="H410" s="493"/>
      <c r="I410" s="493"/>
      <c r="J410" s="493"/>
      <c r="K410" s="493"/>
      <c r="L410" s="493"/>
      <c r="M410" s="493"/>
      <c r="N410" s="493"/>
      <c r="O410" s="493"/>
    </row>
    <row r="411">
      <c r="A411" s="323"/>
      <c r="B411" s="323"/>
      <c r="C411" s="323"/>
      <c r="D411" s="493"/>
      <c r="E411" s="493"/>
      <c r="F411" s="493"/>
      <c r="G411" s="493"/>
      <c r="H411" s="493"/>
      <c r="I411" s="493"/>
      <c r="J411" s="493"/>
      <c r="K411" s="493"/>
      <c r="L411" s="493"/>
      <c r="M411" s="493"/>
      <c r="N411" s="493"/>
      <c r="O411" s="493"/>
    </row>
    <row r="412">
      <c r="A412" s="323"/>
      <c r="B412" s="323"/>
      <c r="C412" s="323"/>
      <c r="D412" s="493"/>
      <c r="E412" s="493"/>
      <c r="F412" s="493"/>
      <c r="G412" s="493"/>
      <c r="H412" s="493"/>
      <c r="I412" s="493"/>
      <c r="J412" s="493"/>
      <c r="K412" s="493"/>
      <c r="L412" s="493"/>
      <c r="M412" s="493"/>
      <c r="N412" s="493"/>
      <c r="O412" s="493"/>
    </row>
    <row r="413">
      <c r="A413" s="323"/>
      <c r="B413" s="323"/>
      <c r="C413" s="323"/>
      <c r="D413" s="493"/>
      <c r="E413" s="493"/>
      <c r="F413" s="493"/>
      <c r="G413" s="493"/>
      <c r="H413" s="493"/>
      <c r="I413" s="493"/>
      <c r="J413" s="493"/>
      <c r="K413" s="493"/>
      <c r="L413" s="493"/>
      <c r="M413" s="493"/>
      <c r="N413" s="493"/>
      <c r="O413" s="493"/>
    </row>
    <row r="414">
      <c r="A414" s="323"/>
      <c r="B414" s="323"/>
      <c r="C414" s="323"/>
      <c r="D414" s="493"/>
      <c r="E414" s="493"/>
      <c r="F414" s="493"/>
      <c r="G414" s="493"/>
      <c r="H414" s="493"/>
      <c r="I414" s="493"/>
      <c r="J414" s="493"/>
      <c r="K414" s="493"/>
      <c r="L414" s="493"/>
      <c r="M414" s="493"/>
      <c r="N414" s="493"/>
      <c r="O414" s="493"/>
    </row>
    <row r="415">
      <c r="A415" s="323"/>
      <c r="B415" s="323"/>
      <c r="C415" s="323"/>
      <c r="D415" s="493"/>
      <c r="E415" s="493"/>
      <c r="F415" s="493"/>
      <c r="G415" s="493"/>
      <c r="H415" s="493"/>
      <c r="I415" s="493"/>
      <c r="J415" s="493"/>
      <c r="K415" s="493"/>
      <c r="L415" s="493"/>
      <c r="M415" s="493"/>
      <c r="N415" s="493"/>
      <c r="O415" s="493"/>
    </row>
    <row r="416">
      <c r="A416" s="323"/>
      <c r="B416" s="323"/>
      <c r="C416" s="323"/>
      <c r="D416" s="493"/>
      <c r="E416" s="493"/>
      <c r="F416" s="493"/>
      <c r="G416" s="493"/>
      <c r="H416" s="493"/>
      <c r="I416" s="493"/>
      <c r="J416" s="493"/>
      <c r="K416" s="493"/>
      <c r="L416" s="493"/>
      <c r="M416" s="493"/>
      <c r="N416" s="493"/>
      <c r="O416" s="493"/>
    </row>
    <row r="417">
      <c r="A417" s="323"/>
      <c r="B417" s="323"/>
      <c r="C417" s="323"/>
      <c r="D417" s="493"/>
      <c r="E417" s="493"/>
      <c r="F417" s="493"/>
      <c r="G417" s="493"/>
      <c r="H417" s="493"/>
      <c r="I417" s="493"/>
      <c r="J417" s="493"/>
      <c r="K417" s="493"/>
      <c r="L417" s="493"/>
      <c r="M417" s="493"/>
      <c r="N417" s="493"/>
      <c r="O417" s="493"/>
    </row>
    <row r="418">
      <c r="A418" s="323"/>
      <c r="B418" s="323"/>
      <c r="C418" s="323"/>
      <c r="D418" s="493"/>
      <c r="E418" s="493"/>
      <c r="F418" s="493"/>
      <c r="G418" s="493"/>
      <c r="H418" s="493"/>
      <c r="I418" s="493"/>
      <c r="J418" s="493"/>
      <c r="K418" s="493"/>
      <c r="L418" s="493"/>
      <c r="M418" s="493"/>
      <c r="N418" s="493"/>
      <c r="O418" s="493"/>
    </row>
    <row r="419">
      <c r="A419" s="323"/>
      <c r="B419" s="323"/>
      <c r="C419" s="323"/>
      <c r="D419" s="493"/>
      <c r="E419" s="493"/>
      <c r="F419" s="493"/>
      <c r="G419" s="493"/>
      <c r="H419" s="493"/>
      <c r="I419" s="493"/>
      <c r="J419" s="493"/>
      <c r="K419" s="493"/>
      <c r="L419" s="493"/>
      <c r="M419" s="493"/>
      <c r="N419" s="493"/>
      <c r="O419" s="493"/>
    </row>
    <row r="420">
      <c r="A420" s="323"/>
      <c r="B420" s="323"/>
      <c r="C420" s="323"/>
      <c r="D420" s="493"/>
      <c r="E420" s="493"/>
      <c r="F420" s="493"/>
      <c r="G420" s="493"/>
      <c r="H420" s="493"/>
      <c r="I420" s="493"/>
      <c r="J420" s="493"/>
      <c r="K420" s="493"/>
      <c r="L420" s="493"/>
      <c r="M420" s="493"/>
      <c r="N420" s="493"/>
      <c r="O420" s="493"/>
    </row>
    <row r="421">
      <c r="A421" s="323"/>
      <c r="B421" s="323"/>
      <c r="C421" s="323"/>
      <c r="D421" s="493"/>
      <c r="E421" s="493"/>
      <c r="F421" s="493"/>
      <c r="G421" s="493"/>
      <c r="H421" s="493"/>
      <c r="I421" s="493"/>
      <c r="J421" s="493"/>
      <c r="K421" s="493"/>
      <c r="L421" s="493"/>
      <c r="M421" s="493"/>
      <c r="N421" s="493"/>
      <c r="O421" s="493"/>
    </row>
    <row r="422">
      <c r="A422" s="323"/>
      <c r="B422" s="323"/>
      <c r="C422" s="323"/>
      <c r="D422" s="493"/>
      <c r="E422" s="493"/>
      <c r="F422" s="493"/>
      <c r="G422" s="493"/>
      <c r="H422" s="493"/>
      <c r="I422" s="493"/>
      <c r="J422" s="493"/>
      <c r="K422" s="493"/>
      <c r="L422" s="493"/>
      <c r="M422" s="493"/>
      <c r="N422" s="493"/>
      <c r="O422" s="493"/>
    </row>
    <row r="423">
      <c r="A423" s="323"/>
      <c r="B423" s="323"/>
      <c r="C423" s="323"/>
      <c r="D423" s="493"/>
      <c r="E423" s="493"/>
      <c r="F423" s="493"/>
      <c r="G423" s="493"/>
      <c r="H423" s="493"/>
      <c r="I423" s="493"/>
      <c r="J423" s="493"/>
      <c r="K423" s="493"/>
      <c r="L423" s="493"/>
      <c r="M423" s="493"/>
      <c r="N423" s="493"/>
      <c r="O423" s="493"/>
    </row>
    <row r="424">
      <c r="A424" s="323"/>
      <c r="B424" s="323"/>
      <c r="C424" s="323"/>
      <c r="D424" s="493"/>
      <c r="E424" s="493"/>
      <c r="F424" s="493"/>
      <c r="G424" s="493"/>
      <c r="H424" s="493"/>
      <c r="I424" s="493"/>
      <c r="J424" s="493"/>
      <c r="K424" s="493"/>
      <c r="L424" s="493"/>
      <c r="M424" s="493"/>
      <c r="N424" s="493"/>
      <c r="O424" s="493"/>
    </row>
    <row r="425">
      <c r="A425" s="323"/>
      <c r="B425" s="323"/>
      <c r="C425" s="323"/>
      <c r="D425" s="493"/>
      <c r="E425" s="493"/>
      <c r="F425" s="493"/>
      <c r="G425" s="493"/>
      <c r="H425" s="493"/>
      <c r="I425" s="493"/>
      <c r="J425" s="493"/>
      <c r="K425" s="493"/>
      <c r="L425" s="493"/>
      <c r="M425" s="493"/>
      <c r="N425" s="493"/>
      <c r="O425" s="493"/>
    </row>
    <row r="426">
      <c r="A426" s="323"/>
      <c r="B426" s="323"/>
      <c r="C426" s="323"/>
      <c r="D426" s="493"/>
      <c r="E426" s="493"/>
      <c r="F426" s="493"/>
      <c r="G426" s="493"/>
      <c r="H426" s="493"/>
      <c r="I426" s="493"/>
      <c r="J426" s="493"/>
      <c r="K426" s="493"/>
      <c r="L426" s="493"/>
      <c r="M426" s="493"/>
      <c r="N426" s="493"/>
      <c r="O426" s="493"/>
    </row>
    <row r="427">
      <c r="A427" s="323"/>
      <c r="B427" s="323"/>
      <c r="C427" s="323"/>
      <c r="D427" s="493"/>
      <c r="E427" s="493"/>
      <c r="F427" s="493"/>
      <c r="G427" s="493"/>
      <c r="H427" s="493"/>
      <c r="I427" s="493"/>
      <c r="J427" s="493"/>
      <c r="K427" s="493"/>
      <c r="L427" s="493"/>
      <c r="M427" s="493"/>
      <c r="N427" s="493"/>
      <c r="O427" s="493"/>
    </row>
    <row r="428">
      <c r="A428" s="323"/>
      <c r="B428" s="323"/>
      <c r="C428" s="323"/>
      <c r="D428" s="493"/>
      <c r="E428" s="493"/>
      <c r="F428" s="493"/>
      <c r="G428" s="493"/>
      <c r="H428" s="493"/>
      <c r="I428" s="493"/>
      <c r="J428" s="493"/>
      <c r="K428" s="493"/>
      <c r="L428" s="493"/>
      <c r="M428" s="493"/>
      <c r="N428" s="493"/>
      <c r="O428" s="493"/>
    </row>
    <row r="429">
      <c r="A429" s="323"/>
      <c r="B429" s="323"/>
      <c r="C429" s="323"/>
      <c r="D429" s="493"/>
      <c r="E429" s="493"/>
      <c r="F429" s="493"/>
      <c r="G429" s="493"/>
      <c r="H429" s="493"/>
      <c r="I429" s="493"/>
      <c r="J429" s="493"/>
      <c r="K429" s="493"/>
      <c r="L429" s="493"/>
      <c r="M429" s="493"/>
      <c r="N429" s="493"/>
      <c r="O429" s="493"/>
    </row>
    <row r="430">
      <c r="A430" s="323"/>
      <c r="B430" s="323"/>
      <c r="C430" s="323"/>
      <c r="D430" s="493"/>
      <c r="E430" s="493"/>
      <c r="F430" s="493"/>
      <c r="G430" s="493"/>
      <c r="H430" s="493"/>
      <c r="I430" s="493"/>
      <c r="J430" s="493"/>
      <c r="K430" s="493"/>
      <c r="L430" s="493"/>
      <c r="M430" s="493"/>
      <c r="N430" s="493"/>
      <c r="O430" s="493"/>
    </row>
    <row r="431">
      <c r="A431" s="323"/>
      <c r="B431" s="323"/>
      <c r="C431" s="323"/>
      <c r="D431" s="493"/>
      <c r="E431" s="493"/>
      <c r="F431" s="493"/>
      <c r="G431" s="493"/>
      <c r="H431" s="493"/>
      <c r="I431" s="493"/>
      <c r="J431" s="493"/>
      <c r="K431" s="493"/>
      <c r="L431" s="493"/>
      <c r="M431" s="493"/>
      <c r="N431" s="493"/>
      <c r="O431" s="493"/>
    </row>
    <row r="432">
      <c r="A432" s="323"/>
      <c r="B432" s="323"/>
      <c r="C432" s="323"/>
      <c r="D432" s="493"/>
      <c r="E432" s="493"/>
      <c r="F432" s="493"/>
      <c r="G432" s="493"/>
      <c r="H432" s="493"/>
      <c r="I432" s="493"/>
      <c r="J432" s="493"/>
      <c r="K432" s="493"/>
      <c r="L432" s="493"/>
      <c r="M432" s="493"/>
      <c r="N432" s="493"/>
      <c r="O432" s="493"/>
    </row>
    <row r="433">
      <c r="A433" s="323"/>
      <c r="B433" s="323"/>
      <c r="C433" s="323"/>
      <c r="D433" s="493"/>
      <c r="E433" s="493"/>
      <c r="F433" s="493"/>
      <c r="G433" s="493"/>
      <c r="H433" s="493"/>
      <c r="I433" s="493"/>
      <c r="J433" s="493"/>
      <c r="K433" s="493"/>
      <c r="L433" s="493"/>
      <c r="M433" s="493"/>
      <c r="N433" s="493"/>
      <c r="O433" s="493"/>
    </row>
    <row r="434">
      <c r="A434" s="323"/>
      <c r="B434" s="323"/>
      <c r="C434" s="323"/>
      <c r="D434" s="493"/>
      <c r="E434" s="493"/>
      <c r="F434" s="493"/>
      <c r="G434" s="493"/>
      <c r="H434" s="493"/>
      <c r="I434" s="493"/>
      <c r="J434" s="493"/>
      <c r="K434" s="493"/>
      <c r="L434" s="493"/>
      <c r="M434" s="493"/>
      <c r="N434" s="493"/>
      <c r="O434" s="493"/>
    </row>
    <row r="435">
      <c r="A435" s="323"/>
      <c r="B435" s="323"/>
      <c r="C435" s="323"/>
      <c r="D435" s="493"/>
      <c r="E435" s="493"/>
      <c r="F435" s="493"/>
      <c r="G435" s="493"/>
      <c r="H435" s="493"/>
      <c r="I435" s="493"/>
      <c r="J435" s="493"/>
      <c r="K435" s="493"/>
      <c r="L435" s="493"/>
      <c r="M435" s="493"/>
      <c r="N435" s="493"/>
      <c r="O435" s="493"/>
    </row>
    <row r="436">
      <c r="A436" s="323"/>
      <c r="B436" s="323"/>
      <c r="C436" s="323"/>
      <c r="D436" s="493"/>
      <c r="E436" s="493"/>
      <c r="F436" s="493"/>
      <c r="G436" s="493"/>
      <c r="H436" s="493"/>
      <c r="I436" s="493"/>
      <c r="J436" s="493"/>
      <c r="K436" s="493"/>
      <c r="L436" s="493"/>
      <c r="M436" s="493"/>
      <c r="N436" s="493"/>
      <c r="O436" s="493"/>
    </row>
    <row r="437">
      <c r="A437" s="323"/>
      <c r="B437" s="323"/>
      <c r="C437" s="323"/>
      <c r="D437" s="493"/>
      <c r="E437" s="493"/>
      <c r="F437" s="493"/>
      <c r="G437" s="493"/>
      <c r="H437" s="493"/>
      <c r="I437" s="493"/>
      <c r="J437" s="493"/>
      <c r="K437" s="493"/>
      <c r="L437" s="493"/>
      <c r="M437" s="493"/>
      <c r="N437" s="493"/>
      <c r="O437" s="493"/>
    </row>
    <row r="438">
      <c r="A438" s="323"/>
      <c r="B438" s="323"/>
      <c r="C438" s="323"/>
      <c r="D438" s="493"/>
      <c r="E438" s="493"/>
      <c r="F438" s="493"/>
      <c r="G438" s="493"/>
      <c r="H438" s="493"/>
      <c r="I438" s="493"/>
      <c r="J438" s="493"/>
      <c r="K438" s="493"/>
      <c r="L438" s="493"/>
      <c r="M438" s="493"/>
      <c r="N438" s="493"/>
      <c r="O438" s="493"/>
    </row>
    <row r="439">
      <c r="A439" s="323"/>
      <c r="B439" s="323"/>
      <c r="C439" s="323"/>
      <c r="D439" s="493"/>
      <c r="E439" s="493"/>
      <c r="F439" s="493"/>
      <c r="G439" s="493"/>
      <c r="H439" s="493"/>
      <c r="I439" s="493"/>
      <c r="J439" s="493"/>
      <c r="K439" s="493"/>
      <c r="L439" s="493"/>
      <c r="M439" s="493"/>
      <c r="N439" s="493"/>
      <c r="O439" s="493"/>
    </row>
    <row r="440">
      <c r="A440" s="323"/>
      <c r="B440" s="323"/>
      <c r="C440" s="323"/>
      <c r="D440" s="493"/>
      <c r="E440" s="493"/>
      <c r="F440" s="493"/>
      <c r="G440" s="493"/>
      <c r="H440" s="493"/>
      <c r="I440" s="493"/>
      <c r="J440" s="493"/>
      <c r="K440" s="493"/>
      <c r="L440" s="493"/>
      <c r="M440" s="493"/>
      <c r="N440" s="493"/>
      <c r="O440" s="493"/>
    </row>
    <row r="441">
      <c r="A441" s="323"/>
      <c r="B441" s="323"/>
      <c r="C441" s="323"/>
      <c r="D441" s="493"/>
      <c r="E441" s="493"/>
      <c r="F441" s="493"/>
      <c r="G441" s="493"/>
      <c r="H441" s="493"/>
      <c r="I441" s="493"/>
      <c r="J441" s="493"/>
      <c r="K441" s="493"/>
      <c r="L441" s="493"/>
      <c r="M441" s="493"/>
      <c r="N441" s="493"/>
      <c r="O441" s="493"/>
    </row>
    <row r="442">
      <c r="A442" s="323"/>
      <c r="B442" s="323"/>
      <c r="C442" s="323"/>
      <c r="D442" s="493"/>
      <c r="E442" s="493"/>
      <c r="F442" s="493"/>
      <c r="G442" s="493"/>
      <c r="H442" s="493"/>
      <c r="I442" s="493"/>
      <c r="J442" s="493"/>
      <c r="K442" s="493"/>
      <c r="L442" s="493"/>
      <c r="M442" s="493"/>
      <c r="N442" s="493"/>
      <c r="O442" s="493"/>
    </row>
    <row r="443">
      <c r="A443" s="323"/>
      <c r="B443" s="323"/>
      <c r="C443" s="323"/>
      <c r="D443" s="493"/>
      <c r="E443" s="493"/>
      <c r="F443" s="493"/>
      <c r="G443" s="493"/>
      <c r="H443" s="493"/>
      <c r="I443" s="493"/>
      <c r="J443" s="493"/>
      <c r="K443" s="493"/>
      <c r="L443" s="493"/>
      <c r="M443" s="493"/>
      <c r="N443" s="493"/>
      <c r="O443" s="493"/>
    </row>
    <row r="444">
      <c r="A444" s="323"/>
      <c r="B444" s="323"/>
      <c r="C444" s="323"/>
      <c r="D444" s="493"/>
      <c r="E444" s="493"/>
      <c r="F444" s="493"/>
      <c r="G444" s="493"/>
      <c r="H444" s="493"/>
      <c r="I444" s="493"/>
      <c r="J444" s="493"/>
      <c r="K444" s="493"/>
      <c r="L444" s="493"/>
      <c r="M444" s="493"/>
      <c r="N444" s="493"/>
      <c r="O444" s="493"/>
    </row>
    <row r="445">
      <c r="A445" s="323"/>
      <c r="B445" s="323"/>
      <c r="C445" s="323"/>
      <c r="D445" s="493"/>
      <c r="E445" s="493"/>
      <c r="F445" s="493"/>
      <c r="G445" s="493"/>
      <c r="H445" s="493"/>
      <c r="I445" s="493"/>
      <c r="J445" s="493"/>
      <c r="K445" s="493"/>
      <c r="L445" s="493"/>
      <c r="M445" s="493"/>
      <c r="N445" s="493"/>
      <c r="O445" s="493"/>
    </row>
    <row r="446">
      <c r="A446" s="323"/>
      <c r="B446" s="323"/>
      <c r="C446" s="323"/>
      <c r="D446" s="493"/>
      <c r="E446" s="493"/>
      <c r="F446" s="493"/>
      <c r="G446" s="493"/>
      <c r="H446" s="493"/>
      <c r="I446" s="493"/>
      <c r="J446" s="493"/>
      <c r="K446" s="493"/>
      <c r="L446" s="493"/>
      <c r="M446" s="493"/>
      <c r="N446" s="493"/>
      <c r="O446" s="493"/>
    </row>
    <row r="447">
      <c r="A447" s="323"/>
      <c r="B447" s="323"/>
      <c r="C447" s="323"/>
      <c r="D447" s="493"/>
      <c r="E447" s="493"/>
      <c r="F447" s="493"/>
      <c r="G447" s="493"/>
      <c r="H447" s="493"/>
      <c r="I447" s="493"/>
      <c r="J447" s="493"/>
      <c r="K447" s="493"/>
      <c r="L447" s="493"/>
      <c r="M447" s="493"/>
      <c r="N447" s="493"/>
      <c r="O447" s="493"/>
    </row>
    <row r="448">
      <c r="A448" s="323"/>
      <c r="B448" s="323"/>
      <c r="C448" s="323"/>
      <c r="D448" s="493"/>
      <c r="E448" s="493"/>
      <c r="F448" s="493"/>
      <c r="G448" s="493"/>
      <c r="H448" s="493"/>
      <c r="I448" s="493"/>
      <c r="J448" s="493"/>
      <c r="K448" s="493"/>
      <c r="L448" s="493"/>
      <c r="M448" s="493"/>
      <c r="N448" s="493"/>
      <c r="O448" s="493"/>
    </row>
    <row r="449">
      <c r="A449" s="323"/>
      <c r="B449" s="323"/>
      <c r="C449" s="323"/>
      <c r="D449" s="493"/>
      <c r="E449" s="493"/>
      <c r="F449" s="493"/>
      <c r="G449" s="493"/>
      <c r="H449" s="493"/>
      <c r="I449" s="493"/>
      <c r="J449" s="493"/>
      <c r="K449" s="493"/>
      <c r="L449" s="493"/>
      <c r="M449" s="493"/>
      <c r="N449" s="493"/>
      <c r="O449" s="493"/>
    </row>
    <row r="450">
      <c r="A450" s="323"/>
      <c r="B450" s="323"/>
      <c r="C450" s="323"/>
      <c r="D450" s="493"/>
      <c r="E450" s="493"/>
      <c r="F450" s="493"/>
      <c r="G450" s="493"/>
      <c r="H450" s="493"/>
      <c r="I450" s="493"/>
      <c r="J450" s="493"/>
      <c r="K450" s="493"/>
      <c r="L450" s="493"/>
      <c r="M450" s="493"/>
      <c r="N450" s="493"/>
      <c r="O450" s="493"/>
    </row>
    <row r="451">
      <c r="A451" s="323"/>
      <c r="B451" s="323"/>
      <c r="C451" s="323"/>
      <c r="D451" s="493"/>
      <c r="E451" s="493"/>
      <c r="F451" s="493"/>
      <c r="G451" s="493"/>
      <c r="H451" s="493"/>
      <c r="I451" s="493"/>
      <c r="J451" s="493"/>
      <c r="K451" s="493"/>
      <c r="L451" s="493"/>
      <c r="M451" s="493"/>
      <c r="N451" s="493"/>
      <c r="O451" s="493"/>
    </row>
    <row r="452">
      <c r="A452" s="323"/>
      <c r="B452" s="323"/>
      <c r="C452" s="323"/>
      <c r="D452" s="493"/>
      <c r="E452" s="493"/>
      <c r="F452" s="493"/>
      <c r="G452" s="493"/>
      <c r="H452" s="493"/>
      <c r="I452" s="493"/>
      <c r="J452" s="493"/>
      <c r="K452" s="493"/>
      <c r="L452" s="493"/>
      <c r="M452" s="493"/>
      <c r="N452" s="493"/>
      <c r="O452" s="493"/>
    </row>
    <row r="453">
      <c r="A453" s="323"/>
      <c r="B453" s="323"/>
      <c r="C453" s="323"/>
      <c r="D453" s="493"/>
      <c r="E453" s="493"/>
      <c r="F453" s="493"/>
      <c r="G453" s="493"/>
      <c r="H453" s="493"/>
      <c r="I453" s="493"/>
      <c r="J453" s="493"/>
      <c r="K453" s="493"/>
      <c r="L453" s="493"/>
      <c r="M453" s="493"/>
      <c r="N453" s="493"/>
      <c r="O453" s="493"/>
    </row>
    <row r="454">
      <c r="A454" s="323"/>
      <c r="B454" s="323"/>
      <c r="C454" s="323"/>
      <c r="D454" s="493"/>
      <c r="E454" s="493"/>
      <c r="F454" s="493"/>
      <c r="G454" s="493"/>
      <c r="H454" s="493"/>
      <c r="I454" s="493"/>
      <c r="J454" s="493"/>
      <c r="K454" s="493"/>
      <c r="L454" s="493"/>
      <c r="M454" s="493"/>
      <c r="N454" s="493"/>
      <c r="O454" s="493"/>
    </row>
    <row r="455">
      <c r="A455" s="323"/>
      <c r="B455" s="323"/>
      <c r="C455" s="323"/>
      <c r="D455" s="493"/>
      <c r="E455" s="493"/>
      <c r="F455" s="493"/>
      <c r="G455" s="493"/>
      <c r="H455" s="493"/>
      <c r="I455" s="493"/>
      <c r="J455" s="493"/>
      <c r="K455" s="493"/>
      <c r="L455" s="493"/>
      <c r="M455" s="493"/>
      <c r="N455" s="493"/>
      <c r="O455" s="493"/>
    </row>
    <row r="456">
      <c r="A456" s="323"/>
      <c r="B456" s="323"/>
      <c r="C456" s="323"/>
      <c r="D456" s="493"/>
      <c r="E456" s="493"/>
      <c r="F456" s="493"/>
      <c r="G456" s="493"/>
      <c r="H456" s="493"/>
      <c r="I456" s="493"/>
      <c r="J456" s="493"/>
      <c r="K456" s="493"/>
      <c r="L456" s="493"/>
      <c r="M456" s="493"/>
      <c r="N456" s="493"/>
      <c r="O456" s="493"/>
    </row>
    <row r="457">
      <c r="A457" s="323"/>
      <c r="B457" s="323"/>
      <c r="C457" s="323"/>
      <c r="D457" s="493"/>
      <c r="E457" s="493"/>
      <c r="F457" s="493"/>
      <c r="G457" s="493"/>
      <c r="H457" s="493"/>
      <c r="I457" s="493"/>
      <c r="J457" s="493"/>
      <c r="K457" s="493"/>
      <c r="L457" s="493"/>
      <c r="M457" s="493"/>
      <c r="N457" s="493"/>
      <c r="O457" s="493"/>
    </row>
    <row r="458">
      <c r="A458" s="323"/>
      <c r="B458" s="323"/>
      <c r="C458" s="323"/>
      <c r="D458" s="493"/>
      <c r="E458" s="493"/>
      <c r="F458" s="493"/>
      <c r="G458" s="493"/>
      <c r="H458" s="493"/>
      <c r="I458" s="493"/>
      <c r="J458" s="493"/>
      <c r="K458" s="493"/>
      <c r="L458" s="493"/>
      <c r="M458" s="493"/>
      <c r="N458" s="493"/>
      <c r="O458" s="493"/>
    </row>
    <row r="459">
      <c r="A459" s="323"/>
      <c r="B459" s="323"/>
      <c r="C459" s="323"/>
      <c r="D459" s="493"/>
      <c r="E459" s="493"/>
      <c r="F459" s="493"/>
      <c r="G459" s="493"/>
      <c r="H459" s="493"/>
      <c r="I459" s="493"/>
      <c r="J459" s="493"/>
      <c r="K459" s="493"/>
      <c r="L459" s="493"/>
      <c r="M459" s="493"/>
      <c r="N459" s="493"/>
      <c r="O459" s="493"/>
    </row>
    <row r="460">
      <c r="A460" s="323"/>
      <c r="B460" s="323"/>
      <c r="C460" s="323"/>
      <c r="D460" s="493"/>
      <c r="E460" s="493"/>
      <c r="F460" s="493"/>
      <c r="G460" s="493"/>
      <c r="H460" s="493"/>
      <c r="I460" s="493"/>
      <c r="J460" s="493"/>
      <c r="K460" s="493"/>
      <c r="L460" s="493"/>
      <c r="M460" s="493"/>
      <c r="N460" s="493"/>
      <c r="O460" s="493"/>
    </row>
    <row r="461">
      <c r="A461" s="323"/>
      <c r="B461" s="323"/>
      <c r="C461" s="323"/>
      <c r="D461" s="493"/>
      <c r="E461" s="493"/>
      <c r="F461" s="493"/>
      <c r="G461" s="493"/>
      <c r="H461" s="493"/>
      <c r="I461" s="493"/>
      <c r="J461" s="493"/>
      <c r="K461" s="493"/>
      <c r="L461" s="493"/>
      <c r="M461" s="493"/>
      <c r="N461" s="493"/>
      <c r="O461" s="493"/>
    </row>
    <row r="462">
      <c r="A462" s="323"/>
      <c r="B462" s="323"/>
      <c r="C462" s="323"/>
      <c r="D462" s="493"/>
      <c r="E462" s="493"/>
      <c r="F462" s="493"/>
      <c r="G462" s="493"/>
      <c r="H462" s="493"/>
      <c r="I462" s="493"/>
      <c r="J462" s="493"/>
      <c r="K462" s="493"/>
      <c r="L462" s="493"/>
      <c r="M462" s="493"/>
      <c r="N462" s="493"/>
      <c r="O462" s="493"/>
    </row>
    <row r="463">
      <c r="A463" s="323"/>
      <c r="B463" s="323"/>
      <c r="C463" s="323"/>
      <c r="D463" s="493"/>
      <c r="E463" s="493"/>
      <c r="F463" s="493"/>
      <c r="G463" s="493"/>
      <c r="H463" s="493"/>
      <c r="I463" s="493"/>
      <c r="J463" s="493"/>
      <c r="K463" s="493"/>
      <c r="L463" s="493"/>
      <c r="M463" s="493"/>
      <c r="N463" s="493"/>
      <c r="O463" s="493"/>
    </row>
    <row r="464">
      <c r="A464" s="323"/>
      <c r="B464" s="323"/>
      <c r="C464" s="323"/>
      <c r="D464" s="493"/>
      <c r="E464" s="493"/>
      <c r="F464" s="493"/>
      <c r="G464" s="493"/>
      <c r="H464" s="493"/>
      <c r="I464" s="493"/>
      <c r="J464" s="493"/>
      <c r="K464" s="493"/>
      <c r="L464" s="493"/>
      <c r="M464" s="493"/>
      <c r="N464" s="493"/>
      <c r="O464" s="493"/>
    </row>
    <row r="465">
      <c r="A465" s="323"/>
      <c r="B465" s="323"/>
      <c r="C465" s="323"/>
      <c r="D465" s="493"/>
      <c r="E465" s="493"/>
      <c r="F465" s="493"/>
      <c r="G465" s="493"/>
      <c r="H465" s="493"/>
      <c r="I465" s="493"/>
      <c r="J465" s="493"/>
      <c r="K465" s="493"/>
      <c r="L465" s="493"/>
      <c r="M465" s="493"/>
      <c r="N465" s="493"/>
      <c r="O465" s="493"/>
    </row>
    <row r="466">
      <c r="A466" s="323"/>
      <c r="B466" s="323"/>
      <c r="C466" s="323"/>
      <c r="D466" s="493"/>
      <c r="E466" s="493"/>
      <c r="F466" s="493"/>
      <c r="G466" s="493"/>
      <c r="H466" s="493"/>
      <c r="I466" s="493"/>
      <c r="J466" s="493"/>
      <c r="K466" s="493"/>
      <c r="L466" s="493"/>
      <c r="M466" s="493"/>
      <c r="N466" s="493"/>
      <c r="O466" s="493"/>
    </row>
    <row r="467">
      <c r="A467" s="323"/>
      <c r="B467" s="323"/>
      <c r="C467" s="323"/>
      <c r="D467" s="493"/>
      <c r="E467" s="493"/>
      <c r="F467" s="493"/>
      <c r="G467" s="493"/>
      <c r="H467" s="493"/>
      <c r="I467" s="493"/>
      <c r="J467" s="493"/>
      <c r="K467" s="493"/>
      <c r="L467" s="493"/>
      <c r="M467" s="493"/>
      <c r="N467" s="493"/>
      <c r="O467" s="493"/>
    </row>
    <row r="468">
      <c r="A468" s="323"/>
      <c r="B468" s="323"/>
      <c r="C468" s="323"/>
      <c r="D468" s="493"/>
      <c r="E468" s="493"/>
      <c r="F468" s="493"/>
      <c r="G468" s="493"/>
      <c r="H468" s="493"/>
      <c r="I468" s="493"/>
      <c r="J468" s="493"/>
      <c r="K468" s="493"/>
      <c r="L468" s="493"/>
      <c r="M468" s="493"/>
      <c r="N468" s="493"/>
      <c r="O468" s="493"/>
    </row>
    <row r="469">
      <c r="A469" s="323"/>
      <c r="B469" s="323"/>
      <c r="C469" s="323"/>
      <c r="D469" s="493"/>
      <c r="E469" s="493"/>
      <c r="F469" s="493"/>
      <c r="G469" s="493"/>
      <c r="H469" s="493"/>
      <c r="I469" s="493"/>
      <c r="J469" s="493"/>
      <c r="K469" s="493"/>
      <c r="L469" s="493"/>
      <c r="M469" s="493"/>
      <c r="N469" s="493"/>
      <c r="O469" s="493"/>
    </row>
    <row r="470">
      <c r="A470" s="323"/>
      <c r="B470" s="323"/>
      <c r="C470" s="323"/>
      <c r="D470" s="493"/>
      <c r="E470" s="493"/>
      <c r="F470" s="493"/>
      <c r="G470" s="493"/>
      <c r="H470" s="493"/>
      <c r="I470" s="493"/>
      <c r="J470" s="493"/>
      <c r="K470" s="493"/>
      <c r="L470" s="493"/>
      <c r="M470" s="493"/>
      <c r="N470" s="493"/>
      <c r="O470" s="493"/>
    </row>
    <row r="471">
      <c r="A471" s="323"/>
      <c r="B471" s="323"/>
      <c r="C471" s="323"/>
      <c r="D471" s="493"/>
      <c r="E471" s="493"/>
      <c r="F471" s="493"/>
      <c r="G471" s="493"/>
      <c r="H471" s="493"/>
      <c r="I471" s="493"/>
      <c r="J471" s="493"/>
      <c r="K471" s="493"/>
      <c r="L471" s="493"/>
      <c r="M471" s="493"/>
      <c r="N471" s="493"/>
      <c r="O471" s="493"/>
    </row>
    <row r="472">
      <c r="A472" s="323"/>
      <c r="B472" s="323"/>
      <c r="C472" s="323"/>
      <c r="D472" s="493"/>
      <c r="E472" s="493"/>
      <c r="F472" s="493"/>
      <c r="G472" s="493"/>
      <c r="H472" s="493"/>
      <c r="I472" s="493"/>
      <c r="J472" s="493"/>
      <c r="K472" s="493"/>
      <c r="L472" s="493"/>
      <c r="M472" s="493"/>
      <c r="N472" s="493"/>
      <c r="O472" s="493"/>
    </row>
    <row r="473">
      <c r="A473" s="323"/>
      <c r="B473" s="323"/>
      <c r="C473" s="323"/>
      <c r="D473" s="493"/>
      <c r="E473" s="493"/>
      <c r="F473" s="493"/>
      <c r="G473" s="493"/>
      <c r="H473" s="493"/>
      <c r="I473" s="493"/>
      <c r="J473" s="493"/>
      <c r="K473" s="493"/>
      <c r="L473" s="493"/>
      <c r="M473" s="493"/>
      <c r="N473" s="493"/>
      <c r="O473" s="493"/>
    </row>
    <row r="474">
      <c r="A474" s="323"/>
      <c r="B474" s="323"/>
      <c r="C474" s="323"/>
      <c r="D474" s="493"/>
      <c r="E474" s="493"/>
      <c r="F474" s="493"/>
      <c r="G474" s="493"/>
      <c r="H474" s="493"/>
      <c r="I474" s="493"/>
      <c r="J474" s="493"/>
      <c r="K474" s="493"/>
      <c r="L474" s="493"/>
      <c r="M474" s="493"/>
      <c r="N474" s="493"/>
      <c r="O474" s="493"/>
    </row>
    <row r="475">
      <c r="A475" s="323"/>
      <c r="B475" s="323"/>
      <c r="C475" s="323"/>
      <c r="D475" s="493"/>
      <c r="E475" s="493"/>
      <c r="F475" s="493"/>
      <c r="G475" s="493"/>
      <c r="H475" s="493"/>
      <c r="I475" s="493"/>
      <c r="J475" s="493"/>
      <c r="K475" s="493"/>
      <c r="L475" s="493"/>
      <c r="M475" s="493"/>
      <c r="N475" s="493"/>
      <c r="O475" s="493"/>
    </row>
    <row r="476">
      <c r="A476" s="323"/>
      <c r="B476" s="323"/>
      <c r="C476" s="323"/>
      <c r="D476" s="493"/>
      <c r="E476" s="493"/>
      <c r="F476" s="493"/>
      <c r="G476" s="493"/>
      <c r="H476" s="493"/>
      <c r="I476" s="493"/>
      <c r="J476" s="493"/>
      <c r="K476" s="493"/>
      <c r="L476" s="493"/>
      <c r="M476" s="493"/>
      <c r="N476" s="493"/>
      <c r="O476" s="493"/>
    </row>
    <row r="477">
      <c r="A477" s="323"/>
      <c r="B477" s="323"/>
      <c r="C477" s="323"/>
      <c r="D477" s="493"/>
      <c r="E477" s="493"/>
      <c r="F477" s="493"/>
      <c r="G477" s="493"/>
      <c r="H477" s="493"/>
      <c r="I477" s="493"/>
      <c r="J477" s="493"/>
      <c r="K477" s="493"/>
      <c r="L477" s="493"/>
      <c r="M477" s="493"/>
      <c r="N477" s="493"/>
      <c r="O477" s="493"/>
    </row>
    <row r="478">
      <c r="A478" s="323"/>
      <c r="B478" s="323"/>
      <c r="C478" s="323"/>
      <c r="D478" s="493"/>
      <c r="E478" s="493"/>
      <c r="F478" s="493"/>
      <c r="G478" s="493"/>
      <c r="H478" s="493"/>
      <c r="I478" s="493"/>
      <c r="J478" s="493"/>
      <c r="K478" s="493"/>
      <c r="L478" s="493"/>
      <c r="M478" s="493"/>
      <c r="N478" s="493"/>
      <c r="O478" s="493"/>
    </row>
    <row r="479">
      <c r="A479" s="323"/>
      <c r="B479" s="323"/>
      <c r="C479" s="323"/>
      <c r="D479" s="493"/>
      <c r="E479" s="493"/>
      <c r="F479" s="493"/>
      <c r="G479" s="493"/>
      <c r="H479" s="493"/>
      <c r="I479" s="493"/>
      <c r="J479" s="493"/>
      <c r="K479" s="493"/>
      <c r="L479" s="493"/>
      <c r="M479" s="493"/>
      <c r="N479" s="493"/>
      <c r="O479" s="493"/>
    </row>
    <row r="480">
      <c r="A480" s="323"/>
      <c r="B480" s="323"/>
      <c r="C480" s="323"/>
      <c r="D480" s="493"/>
      <c r="E480" s="493"/>
      <c r="F480" s="493"/>
      <c r="G480" s="493"/>
      <c r="H480" s="493"/>
      <c r="I480" s="493"/>
      <c r="J480" s="493"/>
      <c r="K480" s="493"/>
      <c r="L480" s="493"/>
      <c r="M480" s="493"/>
      <c r="N480" s="493"/>
      <c r="O480" s="493"/>
    </row>
    <row r="481">
      <c r="A481" s="323"/>
      <c r="B481" s="323"/>
      <c r="C481" s="323"/>
      <c r="D481" s="493"/>
      <c r="E481" s="493"/>
      <c r="F481" s="493"/>
      <c r="G481" s="493"/>
      <c r="H481" s="493"/>
      <c r="I481" s="493"/>
      <c r="J481" s="493"/>
      <c r="K481" s="493"/>
      <c r="L481" s="493"/>
      <c r="M481" s="493"/>
      <c r="N481" s="493"/>
      <c r="O481" s="493"/>
    </row>
    <row r="482">
      <c r="A482" s="323"/>
      <c r="B482" s="323"/>
      <c r="C482" s="323"/>
      <c r="D482" s="493"/>
      <c r="E482" s="493"/>
      <c r="F482" s="493"/>
      <c r="G482" s="493"/>
      <c r="H482" s="493"/>
      <c r="I482" s="493"/>
      <c r="J482" s="493"/>
      <c r="K482" s="493"/>
      <c r="L482" s="493"/>
      <c r="M482" s="493"/>
      <c r="N482" s="493"/>
      <c r="O482" s="493"/>
    </row>
    <row r="483">
      <c r="A483" s="323"/>
      <c r="B483" s="323"/>
      <c r="C483" s="323"/>
      <c r="D483" s="493"/>
      <c r="E483" s="493"/>
      <c r="F483" s="493"/>
      <c r="G483" s="493"/>
      <c r="H483" s="493"/>
      <c r="I483" s="493"/>
      <c r="J483" s="493"/>
      <c r="K483" s="493"/>
      <c r="L483" s="493"/>
      <c r="M483" s="493"/>
      <c r="N483" s="493"/>
      <c r="O483" s="493"/>
    </row>
    <row r="484">
      <c r="A484" s="323"/>
      <c r="B484" s="323"/>
      <c r="C484" s="323"/>
      <c r="D484" s="493"/>
      <c r="E484" s="493"/>
      <c r="F484" s="493"/>
      <c r="G484" s="493"/>
      <c r="H484" s="493"/>
      <c r="I484" s="493"/>
      <c r="J484" s="493"/>
      <c r="K484" s="493"/>
      <c r="L484" s="493"/>
      <c r="M484" s="493"/>
      <c r="N484" s="493"/>
      <c r="O484" s="493"/>
    </row>
    <row r="485">
      <c r="A485" s="323"/>
      <c r="B485" s="323"/>
      <c r="C485" s="323"/>
      <c r="D485" s="493"/>
      <c r="E485" s="493"/>
      <c r="F485" s="493"/>
      <c r="G485" s="493"/>
      <c r="H485" s="493"/>
      <c r="I485" s="493"/>
      <c r="J485" s="493"/>
      <c r="K485" s="493"/>
      <c r="L485" s="493"/>
      <c r="M485" s="493"/>
      <c r="N485" s="493"/>
      <c r="O485" s="493"/>
    </row>
    <row r="486">
      <c r="A486" s="323"/>
      <c r="B486" s="323"/>
      <c r="C486" s="323"/>
      <c r="D486" s="493"/>
      <c r="E486" s="493"/>
      <c r="F486" s="493"/>
      <c r="G486" s="493"/>
      <c r="H486" s="493"/>
      <c r="I486" s="493"/>
      <c r="J486" s="493"/>
      <c r="K486" s="493"/>
      <c r="L486" s="493"/>
      <c r="M486" s="493"/>
      <c r="N486" s="493"/>
      <c r="O486" s="493"/>
    </row>
    <row r="487">
      <c r="A487" s="323"/>
      <c r="B487" s="323"/>
      <c r="C487" s="323"/>
      <c r="D487" s="493"/>
      <c r="E487" s="493"/>
      <c r="F487" s="493"/>
      <c r="G487" s="493"/>
      <c r="H487" s="493"/>
      <c r="I487" s="493"/>
      <c r="J487" s="493"/>
      <c r="K487" s="493"/>
      <c r="L487" s="493"/>
      <c r="M487" s="493"/>
      <c r="N487" s="493"/>
      <c r="O487" s="493"/>
    </row>
    <row r="488">
      <c r="A488" s="323"/>
      <c r="B488" s="323"/>
      <c r="C488" s="323"/>
      <c r="D488" s="493"/>
      <c r="E488" s="493"/>
      <c r="F488" s="493"/>
      <c r="G488" s="493"/>
      <c r="H488" s="493"/>
      <c r="I488" s="493"/>
      <c r="J488" s="493"/>
      <c r="K488" s="493"/>
      <c r="L488" s="493"/>
      <c r="M488" s="493"/>
      <c r="N488" s="493"/>
      <c r="O488" s="493"/>
    </row>
    <row r="489">
      <c r="A489" s="323"/>
      <c r="B489" s="323"/>
      <c r="C489" s="323"/>
      <c r="D489" s="493"/>
      <c r="E489" s="493"/>
      <c r="F489" s="493"/>
      <c r="G489" s="493"/>
      <c r="H489" s="493"/>
      <c r="I489" s="493"/>
      <c r="J489" s="493"/>
      <c r="K489" s="493"/>
      <c r="L489" s="493"/>
      <c r="M489" s="493"/>
      <c r="N489" s="493"/>
      <c r="O489" s="493"/>
    </row>
    <row r="490">
      <c r="A490" s="323"/>
      <c r="B490" s="323"/>
      <c r="C490" s="323"/>
      <c r="D490" s="493"/>
      <c r="E490" s="493"/>
      <c r="F490" s="493"/>
      <c r="G490" s="493"/>
      <c r="H490" s="493"/>
      <c r="I490" s="493"/>
      <c r="J490" s="493"/>
      <c r="K490" s="493"/>
      <c r="L490" s="493"/>
      <c r="M490" s="493"/>
      <c r="N490" s="493"/>
      <c r="O490" s="493"/>
    </row>
    <row r="491">
      <c r="A491" s="323"/>
      <c r="B491" s="323"/>
      <c r="C491" s="323"/>
      <c r="D491" s="493"/>
      <c r="E491" s="493"/>
      <c r="F491" s="493"/>
      <c r="G491" s="493"/>
      <c r="H491" s="493"/>
      <c r="I491" s="493"/>
      <c r="J491" s="493"/>
      <c r="K491" s="493"/>
      <c r="L491" s="493"/>
      <c r="M491" s="493"/>
      <c r="N491" s="493"/>
      <c r="O491" s="493"/>
    </row>
    <row r="492">
      <c r="A492" s="323"/>
      <c r="B492" s="323"/>
      <c r="C492" s="323"/>
      <c r="D492" s="493"/>
      <c r="E492" s="493"/>
      <c r="F492" s="493"/>
      <c r="G492" s="493"/>
      <c r="H492" s="493"/>
      <c r="I492" s="493"/>
      <c r="J492" s="493"/>
      <c r="K492" s="493"/>
      <c r="L492" s="493"/>
      <c r="M492" s="493"/>
      <c r="N492" s="493"/>
      <c r="O492" s="493"/>
    </row>
    <row r="493">
      <c r="A493" s="323"/>
      <c r="B493" s="323"/>
      <c r="C493" s="323"/>
      <c r="D493" s="493"/>
      <c r="E493" s="493"/>
      <c r="F493" s="493"/>
      <c r="G493" s="493"/>
      <c r="H493" s="493"/>
      <c r="I493" s="493"/>
      <c r="J493" s="493"/>
      <c r="K493" s="493"/>
      <c r="L493" s="493"/>
      <c r="M493" s="493"/>
      <c r="N493" s="493"/>
      <c r="O493" s="493"/>
    </row>
    <row r="494">
      <c r="A494" s="323"/>
      <c r="B494" s="323"/>
      <c r="C494" s="323"/>
      <c r="D494" s="493"/>
      <c r="E494" s="493"/>
      <c r="F494" s="493"/>
      <c r="G494" s="493"/>
      <c r="H494" s="493"/>
      <c r="I494" s="493"/>
      <c r="J494" s="493"/>
      <c r="K494" s="493"/>
      <c r="L494" s="493"/>
      <c r="M494" s="493"/>
      <c r="N494" s="493"/>
      <c r="O494" s="493"/>
    </row>
    <row r="495">
      <c r="A495" s="323"/>
      <c r="B495" s="323"/>
      <c r="C495" s="323"/>
      <c r="D495" s="493"/>
      <c r="E495" s="493"/>
      <c r="F495" s="493"/>
      <c r="G495" s="493"/>
      <c r="H495" s="493"/>
      <c r="I495" s="493"/>
      <c r="J495" s="493"/>
      <c r="K495" s="493"/>
      <c r="L495" s="493"/>
      <c r="M495" s="493"/>
      <c r="N495" s="493"/>
      <c r="O495" s="493"/>
    </row>
    <row r="496">
      <c r="A496" s="323"/>
      <c r="B496" s="323"/>
      <c r="C496" s="323"/>
      <c r="D496" s="493"/>
      <c r="E496" s="493"/>
      <c r="F496" s="493"/>
      <c r="G496" s="493"/>
      <c r="H496" s="493"/>
      <c r="I496" s="493"/>
      <c r="J496" s="493"/>
      <c r="K496" s="493"/>
      <c r="L496" s="493"/>
      <c r="M496" s="493"/>
      <c r="N496" s="493"/>
      <c r="O496" s="493"/>
    </row>
    <row r="497">
      <c r="A497" s="323"/>
      <c r="B497" s="323"/>
      <c r="C497" s="323"/>
      <c r="D497" s="493"/>
      <c r="E497" s="493"/>
      <c r="F497" s="493"/>
      <c r="G497" s="493"/>
      <c r="H497" s="493"/>
      <c r="I497" s="493"/>
      <c r="J497" s="493"/>
      <c r="K497" s="493"/>
      <c r="L497" s="493"/>
      <c r="M497" s="493"/>
      <c r="N497" s="493"/>
      <c r="O497" s="493"/>
    </row>
    <row r="498">
      <c r="A498" s="323"/>
      <c r="B498" s="323"/>
      <c r="C498" s="323"/>
      <c r="D498" s="493"/>
      <c r="E498" s="493"/>
      <c r="F498" s="493"/>
      <c r="G498" s="493"/>
      <c r="H498" s="493"/>
      <c r="I498" s="493"/>
      <c r="J498" s="493"/>
      <c r="K498" s="493"/>
      <c r="L498" s="493"/>
      <c r="M498" s="493"/>
      <c r="N498" s="493"/>
      <c r="O498" s="493"/>
    </row>
    <row r="499">
      <c r="A499" s="323"/>
      <c r="B499" s="323"/>
      <c r="C499" s="323"/>
      <c r="D499" s="493"/>
      <c r="E499" s="493"/>
      <c r="F499" s="493"/>
      <c r="G499" s="493"/>
      <c r="H499" s="493"/>
      <c r="I499" s="493"/>
      <c r="J499" s="493"/>
      <c r="K499" s="493"/>
      <c r="L499" s="493"/>
      <c r="M499" s="493"/>
      <c r="N499" s="493"/>
      <c r="O499" s="493"/>
    </row>
    <row r="500">
      <c r="A500" s="323"/>
      <c r="B500" s="323"/>
      <c r="C500" s="323"/>
      <c r="D500" s="493"/>
      <c r="E500" s="493"/>
      <c r="F500" s="493"/>
      <c r="G500" s="493"/>
      <c r="H500" s="493"/>
      <c r="I500" s="493"/>
      <c r="J500" s="493"/>
      <c r="K500" s="493"/>
      <c r="L500" s="493"/>
      <c r="M500" s="493"/>
      <c r="N500" s="493"/>
      <c r="O500" s="493"/>
    </row>
    <row r="501">
      <c r="A501" s="323"/>
      <c r="B501" s="323"/>
      <c r="C501" s="323"/>
      <c r="D501" s="493"/>
      <c r="E501" s="493"/>
      <c r="F501" s="493"/>
      <c r="G501" s="493"/>
      <c r="H501" s="493"/>
      <c r="I501" s="493"/>
      <c r="J501" s="493"/>
      <c r="K501" s="493"/>
      <c r="L501" s="493"/>
      <c r="M501" s="493"/>
      <c r="N501" s="493"/>
      <c r="O501" s="493"/>
    </row>
    <row r="502">
      <c r="A502" s="323"/>
      <c r="B502" s="323"/>
      <c r="C502" s="323"/>
      <c r="D502" s="493"/>
      <c r="E502" s="493"/>
      <c r="F502" s="493"/>
      <c r="G502" s="493"/>
      <c r="H502" s="493"/>
      <c r="I502" s="493"/>
      <c r="J502" s="493"/>
      <c r="K502" s="493"/>
      <c r="L502" s="493"/>
      <c r="M502" s="493"/>
      <c r="N502" s="493"/>
      <c r="O502" s="493"/>
    </row>
    <row r="503">
      <c r="A503" s="323"/>
      <c r="B503" s="323"/>
      <c r="C503" s="323"/>
      <c r="D503" s="493"/>
      <c r="E503" s="493"/>
      <c r="F503" s="493"/>
      <c r="G503" s="493"/>
      <c r="H503" s="493"/>
      <c r="I503" s="493"/>
      <c r="J503" s="493"/>
      <c r="K503" s="493"/>
      <c r="L503" s="493"/>
      <c r="M503" s="493"/>
      <c r="N503" s="493"/>
      <c r="O503" s="493"/>
    </row>
    <row r="504">
      <c r="A504" s="323"/>
      <c r="B504" s="323"/>
      <c r="C504" s="323"/>
      <c r="D504" s="493"/>
      <c r="E504" s="493"/>
      <c r="F504" s="493"/>
      <c r="G504" s="493"/>
      <c r="H504" s="493"/>
      <c r="I504" s="493"/>
      <c r="J504" s="493"/>
      <c r="K504" s="493"/>
      <c r="L504" s="493"/>
      <c r="M504" s="493"/>
      <c r="N504" s="493"/>
      <c r="O504" s="493"/>
    </row>
    <row r="505">
      <c r="A505" s="323"/>
      <c r="B505" s="323"/>
      <c r="C505" s="323"/>
      <c r="D505" s="493"/>
      <c r="E505" s="493"/>
      <c r="F505" s="493"/>
      <c r="G505" s="493"/>
      <c r="H505" s="493"/>
      <c r="I505" s="493"/>
      <c r="J505" s="493"/>
      <c r="K505" s="493"/>
      <c r="L505" s="493"/>
      <c r="M505" s="493"/>
      <c r="N505" s="493"/>
      <c r="O505" s="493"/>
    </row>
    <row r="506">
      <c r="A506" s="323"/>
      <c r="B506" s="323"/>
      <c r="C506" s="323"/>
      <c r="D506" s="493"/>
      <c r="E506" s="493"/>
      <c r="F506" s="493"/>
      <c r="G506" s="493"/>
      <c r="H506" s="493"/>
      <c r="I506" s="493"/>
      <c r="J506" s="493"/>
      <c r="K506" s="493"/>
      <c r="L506" s="493"/>
      <c r="M506" s="493"/>
      <c r="N506" s="493"/>
      <c r="O506" s="493"/>
    </row>
    <row r="507">
      <c r="A507" s="323"/>
      <c r="B507" s="323"/>
      <c r="C507" s="323"/>
      <c r="D507" s="493"/>
      <c r="E507" s="493"/>
      <c r="F507" s="493"/>
      <c r="G507" s="493"/>
      <c r="H507" s="493"/>
      <c r="I507" s="493"/>
      <c r="J507" s="493"/>
      <c r="K507" s="493"/>
      <c r="L507" s="493"/>
      <c r="M507" s="493"/>
      <c r="N507" s="493"/>
      <c r="O507" s="493"/>
    </row>
    <row r="508">
      <c r="A508" s="323"/>
      <c r="B508" s="323"/>
      <c r="C508" s="323"/>
      <c r="D508" s="493"/>
      <c r="E508" s="493"/>
      <c r="F508" s="493"/>
      <c r="G508" s="493"/>
      <c r="H508" s="493"/>
      <c r="I508" s="493"/>
      <c r="J508" s="493"/>
      <c r="K508" s="493"/>
      <c r="L508" s="493"/>
      <c r="M508" s="493"/>
      <c r="N508" s="493"/>
      <c r="O508" s="493"/>
    </row>
    <row r="509">
      <c r="A509" s="323"/>
      <c r="B509" s="323"/>
      <c r="C509" s="323"/>
      <c r="D509" s="493"/>
      <c r="E509" s="493"/>
      <c r="F509" s="493"/>
      <c r="G509" s="493"/>
      <c r="H509" s="493"/>
      <c r="I509" s="493"/>
      <c r="J509" s="493"/>
      <c r="K509" s="493"/>
      <c r="L509" s="493"/>
      <c r="M509" s="493"/>
      <c r="N509" s="493"/>
      <c r="O509" s="493"/>
    </row>
    <row r="510">
      <c r="A510" s="323"/>
      <c r="B510" s="323"/>
      <c r="C510" s="323"/>
      <c r="D510" s="493"/>
      <c r="E510" s="493"/>
      <c r="F510" s="493"/>
      <c r="G510" s="493"/>
      <c r="H510" s="493"/>
      <c r="I510" s="493"/>
      <c r="J510" s="493"/>
      <c r="K510" s="493"/>
      <c r="L510" s="493"/>
      <c r="M510" s="493"/>
      <c r="N510" s="493"/>
      <c r="O510" s="493"/>
    </row>
    <row r="511">
      <c r="A511" s="323"/>
      <c r="B511" s="323"/>
      <c r="C511" s="323"/>
      <c r="D511" s="493"/>
      <c r="E511" s="493"/>
      <c r="F511" s="493"/>
      <c r="G511" s="493"/>
      <c r="H511" s="493"/>
      <c r="I511" s="493"/>
      <c r="J511" s="493"/>
      <c r="K511" s="493"/>
      <c r="L511" s="493"/>
      <c r="M511" s="493"/>
      <c r="N511" s="493"/>
      <c r="O511" s="493"/>
    </row>
    <row r="512">
      <c r="A512" s="323"/>
      <c r="B512" s="323"/>
      <c r="C512" s="323"/>
      <c r="D512" s="493"/>
      <c r="E512" s="493"/>
      <c r="F512" s="493"/>
      <c r="G512" s="493"/>
      <c r="H512" s="493"/>
      <c r="I512" s="493"/>
      <c r="J512" s="493"/>
      <c r="K512" s="493"/>
      <c r="L512" s="493"/>
      <c r="M512" s="493"/>
      <c r="N512" s="493"/>
      <c r="O512" s="493"/>
    </row>
    <row r="513">
      <c r="A513" s="323"/>
      <c r="B513" s="323"/>
      <c r="C513" s="323"/>
      <c r="D513" s="493"/>
      <c r="E513" s="493"/>
      <c r="F513" s="493"/>
      <c r="G513" s="493"/>
      <c r="H513" s="493"/>
      <c r="I513" s="493"/>
      <c r="J513" s="493"/>
      <c r="K513" s="493"/>
      <c r="L513" s="493"/>
      <c r="M513" s="493"/>
      <c r="N513" s="493"/>
      <c r="O513" s="493"/>
    </row>
    <row r="514">
      <c r="A514" s="323"/>
      <c r="B514" s="323"/>
      <c r="C514" s="323"/>
      <c r="D514" s="493"/>
      <c r="E514" s="493"/>
      <c r="F514" s="493"/>
      <c r="G514" s="493"/>
      <c r="H514" s="493"/>
      <c r="I514" s="493"/>
      <c r="J514" s="493"/>
      <c r="K514" s="493"/>
      <c r="L514" s="493"/>
      <c r="M514" s="493"/>
      <c r="N514" s="493"/>
      <c r="O514" s="493"/>
    </row>
    <row r="515">
      <c r="A515" s="323"/>
      <c r="B515" s="323"/>
      <c r="C515" s="323"/>
      <c r="D515" s="493"/>
      <c r="E515" s="493"/>
      <c r="F515" s="493"/>
      <c r="G515" s="493"/>
      <c r="H515" s="493"/>
      <c r="I515" s="493"/>
      <c r="J515" s="493"/>
      <c r="K515" s="493"/>
      <c r="L515" s="493"/>
      <c r="M515" s="493"/>
      <c r="N515" s="493"/>
      <c r="O515" s="493"/>
    </row>
    <row r="516">
      <c r="A516" s="323"/>
      <c r="B516" s="323"/>
      <c r="C516" s="323"/>
      <c r="D516" s="493"/>
      <c r="E516" s="493"/>
      <c r="F516" s="493"/>
      <c r="G516" s="493"/>
      <c r="H516" s="493"/>
      <c r="I516" s="493"/>
      <c r="J516" s="493"/>
      <c r="K516" s="493"/>
      <c r="L516" s="493"/>
      <c r="M516" s="493"/>
      <c r="N516" s="493"/>
      <c r="O516" s="493"/>
    </row>
    <row r="517">
      <c r="A517" s="323"/>
      <c r="B517" s="323"/>
      <c r="C517" s="323"/>
      <c r="D517" s="493"/>
      <c r="E517" s="493"/>
      <c r="F517" s="493"/>
      <c r="G517" s="493"/>
      <c r="H517" s="493"/>
      <c r="I517" s="493"/>
      <c r="J517" s="493"/>
      <c r="K517" s="493"/>
      <c r="L517" s="493"/>
      <c r="M517" s="493"/>
      <c r="N517" s="493"/>
      <c r="O517" s="493"/>
    </row>
    <row r="518">
      <c r="A518" s="323"/>
      <c r="B518" s="323"/>
      <c r="C518" s="323"/>
      <c r="D518" s="493"/>
      <c r="E518" s="493"/>
      <c r="F518" s="493"/>
      <c r="G518" s="493"/>
      <c r="H518" s="493"/>
      <c r="I518" s="493"/>
      <c r="J518" s="493"/>
      <c r="K518" s="493"/>
      <c r="L518" s="493"/>
      <c r="M518" s="493"/>
      <c r="N518" s="493"/>
      <c r="O518" s="493"/>
    </row>
    <row r="519">
      <c r="A519" s="323"/>
      <c r="B519" s="323"/>
      <c r="C519" s="323"/>
      <c r="D519" s="493"/>
      <c r="E519" s="493"/>
      <c r="F519" s="493"/>
      <c r="G519" s="493"/>
      <c r="H519" s="493"/>
      <c r="I519" s="493"/>
      <c r="J519" s="493"/>
      <c r="K519" s="493"/>
      <c r="L519" s="493"/>
      <c r="M519" s="493"/>
      <c r="N519" s="493"/>
      <c r="O519" s="493"/>
    </row>
    <row r="520">
      <c r="A520" s="323"/>
      <c r="B520" s="323"/>
      <c r="C520" s="323"/>
      <c r="D520" s="493"/>
      <c r="E520" s="493"/>
      <c r="F520" s="493"/>
      <c r="G520" s="493"/>
      <c r="H520" s="493"/>
      <c r="I520" s="493"/>
      <c r="J520" s="493"/>
      <c r="K520" s="493"/>
      <c r="L520" s="493"/>
      <c r="M520" s="493"/>
      <c r="N520" s="493"/>
      <c r="O520" s="493"/>
    </row>
    <row r="521">
      <c r="A521" s="323"/>
      <c r="B521" s="323"/>
      <c r="C521" s="323"/>
      <c r="D521" s="493"/>
      <c r="E521" s="493"/>
      <c r="F521" s="493"/>
      <c r="G521" s="493"/>
      <c r="H521" s="493"/>
      <c r="I521" s="493"/>
      <c r="J521" s="493"/>
      <c r="K521" s="493"/>
      <c r="L521" s="493"/>
      <c r="M521" s="493"/>
      <c r="N521" s="493"/>
      <c r="O521" s="493"/>
    </row>
    <row r="522">
      <c r="A522" s="323"/>
      <c r="B522" s="323"/>
      <c r="C522" s="323"/>
      <c r="D522" s="493"/>
      <c r="E522" s="493"/>
      <c r="F522" s="493"/>
      <c r="G522" s="493"/>
      <c r="H522" s="493"/>
      <c r="I522" s="493"/>
      <c r="J522" s="493"/>
      <c r="K522" s="493"/>
      <c r="L522" s="493"/>
      <c r="M522" s="493"/>
      <c r="N522" s="493"/>
      <c r="O522" s="493"/>
    </row>
    <row r="523">
      <c r="A523" s="323"/>
      <c r="B523" s="323"/>
      <c r="C523" s="323"/>
      <c r="D523" s="493"/>
      <c r="E523" s="493"/>
      <c r="F523" s="493"/>
      <c r="G523" s="493"/>
      <c r="H523" s="493"/>
      <c r="I523" s="493"/>
      <c r="J523" s="493"/>
      <c r="K523" s="493"/>
      <c r="L523" s="493"/>
      <c r="M523" s="493"/>
      <c r="N523" s="493"/>
      <c r="O523" s="493"/>
    </row>
    <row r="524">
      <c r="A524" s="323"/>
      <c r="B524" s="323"/>
      <c r="C524" s="323"/>
      <c r="D524" s="493"/>
      <c r="E524" s="493"/>
      <c r="F524" s="493"/>
      <c r="G524" s="493"/>
      <c r="H524" s="493"/>
      <c r="I524" s="493"/>
      <c r="J524" s="493"/>
      <c r="K524" s="493"/>
      <c r="L524" s="493"/>
      <c r="M524" s="493"/>
      <c r="N524" s="493"/>
      <c r="O524" s="493"/>
    </row>
    <row r="525">
      <c r="A525" s="323"/>
      <c r="B525" s="323"/>
      <c r="C525" s="323"/>
      <c r="D525" s="493"/>
      <c r="E525" s="493"/>
      <c r="F525" s="493"/>
      <c r="G525" s="493"/>
      <c r="H525" s="493"/>
      <c r="I525" s="493"/>
      <c r="J525" s="493"/>
      <c r="K525" s="493"/>
      <c r="L525" s="493"/>
      <c r="M525" s="493"/>
      <c r="N525" s="493"/>
      <c r="O525" s="493"/>
    </row>
    <row r="526">
      <c r="A526" s="323"/>
      <c r="B526" s="323"/>
      <c r="C526" s="323"/>
      <c r="D526" s="493"/>
      <c r="E526" s="493"/>
      <c r="F526" s="493"/>
      <c r="G526" s="493"/>
      <c r="H526" s="493"/>
      <c r="I526" s="493"/>
      <c r="J526" s="493"/>
      <c r="K526" s="493"/>
      <c r="L526" s="493"/>
      <c r="M526" s="493"/>
      <c r="N526" s="493"/>
      <c r="O526" s="493"/>
    </row>
    <row r="527">
      <c r="A527" s="323"/>
      <c r="B527" s="323"/>
      <c r="C527" s="323"/>
      <c r="D527" s="493"/>
      <c r="E527" s="493"/>
      <c r="F527" s="493"/>
      <c r="G527" s="493"/>
      <c r="H527" s="493"/>
      <c r="I527" s="493"/>
      <c r="J527" s="493"/>
      <c r="K527" s="493"/>
      <c r="L527" s="493"/>
      <c r="M527" s="493"/>
      <c r="N527" s="493"/>
      <c r="O527" s="493"/>
    </row>
    <row r="528">
      <c r="A528" s="323"/>
      <c r="B528" s="323"/>
      <c r="C528" s="323"/>
      <c r="D528" s="493"/>
      <c r="E528" s="493"/>
      <c r="F528" s="493"/>
      <c r="G528" s="493"/>
      <c r="H528" s="493"/>
      <c r="I528" s="493"/>
      <c r="J528" s="493"/>
      <c r="K528" s="493"/>
      <c r="L528" s="493"/>
      <c r="M528" s="493"/>
      <c r="N528" s="493"/>
      <c r="O528" s="493"/>
    </row>
    <row r="529">
      <c r="A529" s="323"/>
      <c r="B529" s="323"/>
      <c r="C529" s="323"/>
      <c r="D529" s="493"/>
      <c r="E529" s="493"/>
      <c r="F529" s="493"/>
      <c r="G529" s="493"/>
      <c r="H529" s="493"/>
      <c r="I529" s="493"/>
      <c r="J529" s="493"/>
      <c r="K529" s="493"/>
      <c r="L529" s="493"/>
      <c r="M529" s="493"/>
      <c r="N529" s="493"/>
      <c r="O529" s="493"/>
    </row>
    <row r="530">
      <c r="A530" s="323"/>
      <c r="B530" s="323"/>
      <c r="C530" s="323"/>
      <c r="D530" s="493"/>
      <c r="E530" s="493"/>
      <c r="F530" s="493"/>
      <c r="G530" s="493"/>
      <c r="H530" s="493"/>
      <c r="I530" s="493"/>
      <c r="J530" s="493"/>
      <c r="K530" s="493"/>
      <c r="L530" s="493"/>
      <c r="M530" s="493"/>
      <c r="N530" s="493"/>
      <c r="O530" s="493"/>
    </row>
    <row r="531">
      <c r="A531" s="323"/>
      <c r="B531" s="323"/>
      <c r="C531" s="323"/>
      <c r="D531" s="493"/>
      <c r="E531" s="493"/>
      <c r="F531" s="493"/>
      <c r="G531" s="493"/>
      <c r="H531" s="493"/>
      <c r="I531" s="493"/>
      <c r="J531" s="493"/>
      <c r="K531" s="493"/>
      <c r="L531" s="493"/>
      <c r="M531" s="493"/>
      <c r="N531" s="493"/>
      <c r="O531" s="493"/>
    </row>
    <row r="532">
      <c r="A532" s="323"/>
      <c r="B532" s="323"/>
      <c r="C532" s="323"/>
      <c r="D532" s="493"/>
      <c r="E532" s="493"/>
      <c r="F532" s="493"/>
      <c r="G532" s="493"/>
      <c r="H532" s="493"/>
      <c r="I532" s="493"/>
      <c r="J532" s="493"/>
      <c r="K532" s="493"/>
      <c r="L532" s="493"/>
      <c r="M532" s="493"/>
      <c r="N532" s="493"/>
      <c r="O532" s="493"/>
    </row>
    <row r="533">
      <c r="A533" s="323"/>
      <c r="B533" s="323"/>
      <c r="C533" s="323"/>
      <c r="D533" s="493"/>
      <c r="E533" s="493"/>
      <c r="F533" s="493"/>
      <c r="G533" s="493"/>
      <c r="H533" s="493"/>
      <c r="I533" s="493"/>
      <c r="J533" s="493"/>
      <c r="K533" s="493"/>
      <c r="L533" s="493"/>
      <c r="M533" s="493"/>
      <c r="N533" s="493"/>
      <c r="O533" s="493"/>
    </row>
    <row r="534">
      <c r="A534" s="323"/>
      <c r="B534" s="323"/>
      <c r="C534" s="323"/>
      <c r="D534" s="493"/>
      <c r="E534" s="493"/>
      <c r="F534" s="493"/>
      <c r="G534" s="493"/>
      <c r="H534" s="493"/>
      <c r="I534" s="493"/>
      <c r="J534" s="493"/>
      <c r="K534" s="493"/>
      <c r="L534" s="493"/>
      <c r="M534" s="493"/>
      <c r="N534" s="493"/>
      <c r="O534" s="493"/>
    </row>
    <row r="535">
      <c r="A535" s="323"/>
      <c r="B535" s="323"/>
      <c r="C535" s="323"/>
      <c r="D535" s="493"/>
      <c r="E535" s="493"/>
      <c r="F535" s="493"/>
      <c r="G535" s="493"/>
      <c r="H535" s="493"/>
      <c r="I535" s="493"/>
      <c r="J535" s="493"/>
      <c r="K535" s="493"/>
      <c r="L535" s="493"/>
      <c r="M535" s="493"/>
      <c r="N535" s="493"/>
      <c r="O535" s="493"/>
    </row>
    <row r="536">
      <c r="A536" s="323"/>
      <c r="B536" s="323"/>
      <c r="C536" s="323"/>
      <c r="D536" s="493"/>
      <c r="E536" s="493"/>
      <c r="F536" s="493"/>
      <c r="G536" s="493"/>
      <c r="H536" s="493"/>
      <c r="I536" s="493"/>
      <c r="J536" s="493"/>
      <c r="K536" s="493"/>
      <c r="L536" s="493"/>
      <c r="M536" s="493"/>
      <c r="N536" s="493"/>
      <c r="O536" s="493"/>
    </row>
    <row r="537">
      <c r="A537" s="323"/>
      <c r="B537" s="323"/>
      <c r="C537" s="323"/>
      <c r="D537" s="493"/>
      <c r="E537" s="493"/>
      <c r="F537" s="493"/>
      <c r="G537" s="493"/>
      <c r="H537" s="493"/>
      <c r="I537" s="493"/>
      <c r="J537" s="493"/>
      <c r="K537" s="493"/>
      <c r="L537" s="493"/>
      <c r="M537" s="493"/>
      <c r="N537" s="493"/>
      <c r="O537" s="493"/>
    </row>
    <row r="538">
      <c r="A538" s="323"/>
      <c r="B538" s="323"/>
      <c r="C538" s="323"/>
      <c r="D538" s="493"/>
      <c r="E538" s="493"/>
      <c r="F538" s="493"/>
      <c r="G538" s="493"/>
      <c r="H538" s="493"/>
      <c r="I538" s="493"/>
      <c r="J538" s="493"/>
      <c r="K538" s="493"/>
      <c r="L538" s="493"/>
      <c r="M538" s="493"/>
      <c r="N538" s="493"/>
      <c r="O538" s="493"/>
    </row>
    <row r="539">
      <c r="A539" s="323"/>
      <c r="B539" s="323"/>
      <c r="C539" s="323"/>
      <c r="D539" s="493"/>
      <c r="E539" s="493"/>
      <c r="F539" s="493"/>
      <c r="G539" s="493"/>
      <c r="H539" s="493"/>
      <c r="I539" s="493"/>
      <c r="J539" s="493"/>
      <c r="K539" s="493"/>
      <c r="L539" s="493"/>
      <c r="M539" s="493"/>
      <c r="N539" s="493"/>
      <c r="O539" s="493"/>
    </row>
    <row r="540">
      <c r="A540" s="323"/>
      <c r="B540" s="323"/>
      <c r="C540" s="323"/>
      <c r="D540" s="493"/>
      <c r="E540" s="493"/>
      <c r="F540" s="493"/>
      <c r="G540" s="493"/>
      <c r="H540" s="493"/>
      <c r="I540" s="493"/>
      <c r="J540" s="493"/>
      <c r="K540" s="493"/>
      <c r="L540" s="493"/>
      <c r="M540" s="493"/>
      <c r="N540" s="493"/>
      <c r="O540" s="493"/>
    </row>
    <row r="541">
      <c r="A541" s="323"/>
      <c r="B541" s="323"/>
      <c r="C541" s="323"/>
      <c r="D541" s="493"/>
      <c r="E541" s="493"/>
      <c r="F541" s="493"/>
      <c r="G541" s="493"/>
      <c r="H541" s="493"/>
      <c r="I541" s="493"/>
      <c r="J541" s="493"/>
      <c r="K541" s="493"/>
      <c r="L541" s="493"/>
      <c r="M541" s="493"/>
      <c r="N541" s="493"/>
      <c r="O541" s="493"/>
    </row>
    <row r="542">
      <c r="A542" s="323"/>
      <c r="B542" s="323"/>
      <c r="C542" s="323"/>
      <c r="D542" s="493"/>
      <c r="E542" s="493"/>
      <c r="F542" s="493"/>
      <c r="G542" s="493"/>
      <c r="H542" s="493"/>
      <c r="I542" s="493"/>
      <c r="J542" s="493"/>
      <c r="K542" s="493"/>
      <c r="L542" s="493"/>
      <c r="M542" s="493"/>
      <c r="N542" s="493"/>
      <c r="O542" s="493"/>
    </row>
    <row r="543">
      <c r="A543" s="323"/>
      <c r="B543" s="323"/>
      <c r="C543" s="323"/>
      <c r="D543" s="493"/>
      <c r="E543" s="493"/>
      <c r="F543" s="493"/>
      <c r="G543" s="493"/>
      <c r="H543" s="493"/>
      <c r="I543" s="493"/>
      <c r="J543" s="493"/>
      <c r="K543" s="493"/>
      <c r="L543" s="493"/>
      <c r="M543" s="493"/>
      <c r="N543" s="493"/>
      <c r="O543" s="493"/>
    </row>
    <row r="544">
      <c r="A544" s="323"/>
      <c r="B544" s="323"/>
      <c r="C544" s="323"/>
      <c r="D544" s="493"/>
      <c r="E544" s="493"/>
      <c r="F544" s="493"/>
      <c r="G544" s="493"/>
      <c r="H544" s="493"/>
      <c r="I544" s="493"/>
      <c r="J544" s="493"/>
      <c r="K544" s="493"/>
      <c r="L544" s="493"/>
      <c r="M544" s="493"/>
      <c r="N544" s="493"/>
      <c r="O544" s="493"/>
    </row>
    <row r="545">
      <c r="A545" s="323"/>
      <c r="B545" s="323"/>
      <c r="C545" s="323"/>
      <c r="D545" s="493"/>
      <c r="E545" s="493"/>
      <c r="F545" s="493"/>
      <c r="G545" s="493"/>
      <c r="H545" s="493"/>
      <c r="I545" s="493"/>
      <c r="J545" s="493"/>
      <c r="K545" s="493"/>
      <c r="L545" s="493"/>
      <c r="M545" s="493"/>
      <c r="N545" s="493"/>
      <c r="O545" s="493"/>
    </row>
    <row r="546">
      <c r="A546" s="323"/>
      <c r="B546" s="323"/>
      <c r="C546" s="323"/>
      <c r="D546" s="493"/>
      <c r="E546" s="493"/>
      <c r="F546" s="493"/>
      <c r="G546" s="493"/>
      <c r="H546" s="493"/>
      <c r="I546" s="493"/>
      <c r="J546" s="493"/>
      <c r="K546" s="493"/>
      <c r="L546" s="493"/>
      <c r="M546" s="493"/>
      <c r="N546" s="493"/>
      <c r="O546" s="493"/>
    </row>
    <row r="547">
      <c r="A547" s="323"/>
      <c r="B547" s="323"/>
      <c r="C547" s="323"/>
      <c r="D547" s="493"/>
      <c r="E547" s="493"/>
      <c r="F547" s="493"/>
      <c r="G547" s="493"/>
      <c r="H547" s="493"/>
      <c r="I547" s="493"/>
      <c r="J547" s="493"/>
      <c r="K547" s="493"/>
      <c r="L547" s="493"/>
      <c r="M547" s="493"/>
      <c r="N547" s="493"/>
      <c r="O547" s="493"/>
    </row>
    <row r="548">
      <c r="A548" s="323"/>
      <c r="B548" s="323"/>
      <c r="C548" s="323"/>
      <c r="D548" s="493"/>
      <c r="E548" s="493"/>
      <c r="F548" s="493"/>
      <c r="G548" s="493"/>
      <c r="H548" s="493"/>
      <c r="I548" s="493"/>
      <c r="J548" s="493"/>
      <c r="K548" s="493"/>
      <c r="L548" s="493"/>
      <c r="M548" s="493"/>
      <c r="N548" s="493"/>
      <c r="O548" s="493"/>
    </row>
    <row r="549">
      <c r="A549" s="323"/>
      <c r="B549" s="323"/>
      <c r="C549" s="323"/>
      <c r="D549" s="493"/>
      <c r="E549" s="493"/>
      <c r="F549" s="493"/>
      <c r="G549" s="493"/>
      <c r="H549" s="493"/>
      <c r="I549" s="493"/>
      <c r="J549" s="493"/>
      <c r="K549" s="493"/>
      <c r="L549" s="493"/>
      <c r="M549" s="493"/>
      <c r="N549" s="493"/>
      <c r="O549" s="493"/>
    </row>
    <row r="550">
      <c r="A550" s="323"/>
      <c r="B550" s="323"/>
      <c r="C550" s="323"/>
      <c r="D550" s="493"/>
      <c r="E550" s="493"/>
      <c r="F550" s="493"/>
      <c r="G550" s="493"/>
      <c r="H550" s="493"/>
      <c r="I550" s="493"/>
      <c r="J550" s="493"/>
      <c r="K550" s="493"/>
      <c r="L550" s="493"/>
      <c r="M550" s="493"/>
      <c r="N550" s="493"/>
      <c r="O550" s="493"/>
    </row>
    <row r="551">
      <c r="A551" s="323"/>
      <c r="B551" s="323"/>
      <c r="C551" s="323"/>
      <c r="D551" s="493"/>
      <c r="E551" s="493"/>
      <c r="F551" s="493"/>
      <c r="G551" s="493"/>
      <c r="H551" s="493"/>
      <c r="I551" s="493"/>
      <c r="J551" s="493"/>
      <c r="K551" s="493"/>
      <c r="L551" s="493"/>
      <c r="M551" s="493"/>
      <c r="N551" s="493"/>
      <c r="O551" s="493"/>
    </row>
    <row r="552">
      <c r="A552" s="323"/>
      <c r="B552" s="323"/>
      <c r="C552" s="323"/>
      <c r="D552" s="493"/>
      <c r="E552" s="493"/>
      <c r="F552" s="493"/>
      <c r="G552" s="493"/>
      <c r="H552" s="493"/>
      <c r="I552" s="493"/>
      <c r="J552" s="493"/>
      <c r="K552" s="493"/>
      <c r="L552" s="493"/>
      <c r="M552" s="493"/>
      <c r="N552" s="493"/>
      <c r="O552" s="493"/>
    </row>
    <row r="553">
      <c r="A553" s="323"/>
      <c r="B553" s="323"/>
      <c r="C553" s="323"/>
      <c r="D553" s="493"/>
      <c r="E553" s="493"/>
      <c r="F553" s="493"/>
      <c r="G553" s="493"/>
      <c r="H553" s="493"/>
      <c r="I553" s="493"/>
      <c r="J553" s="493"/>
      <c r="K553" s="493"/>
      <c r="L553" s="493"/>
      <c r="M553" s="493"/>
      <c r="N553" s="493"/>
      <c r="O553" s="493"/>
    </row>
    <row r="554">
      <c r="A554" s="323"/>
      <c r="B554" s="323"/>
      <c r="C554" s="323"/>
      <c r="D554" s="493"/>
      <c r="E554" s="493"/>
      <c r="F554" s="493"/>
      <c r="G554" s="493"/>
      <c r="H554" s="493"/>
      <c r="I554" s="493"/>
      <c r="J554" s="493"/>
      <c r="K554" s="493"/>
      <c r="L554" s="493"/>
      <c r="M554" s="493"/>
      <c r="N554" s="493"/>
      <c r="O554" s="493"/>
    </row>
    <row r="555">
      <c r="A555" s="323"/>
      <c r="B555" s="323"/>
      <c r="C555" s="323"/>
      <c r="D555" s="493"/>
      <c r="E555" s="493"/>
      <c r="F555" s="493"/>
      <c r="G555" s="493"/>
      <c r="H555" s="493"/>
      <c r="I555" s="493"/>
      <c r="J555" s="493"/>
      <c r="K555" s="493"/>
      <c r="L555" s="493"/>
      <c r="M555" s="493"/>
      <c r="N555" s="493"/>
      <c r="O555" s="493"/>
    </row>
    <row r="556">
      <c r="A556" s="323"/>
      <c r="B556" s="323"/>
      <c r="C556" s="323"/>
      <c r="D556" s="493"/>
      <c r="E556" s="493"/>
      <c r="F556" s="493"/>
      <c r="G556" s="493"/>
      <c r="H556" s="493"/>
      <c r="I556" s="493"/>
      <c r="J556" s="493"/>
      <c r="K556" s="493"/>
      <c r="L556" s="493"/>
      <c r="M556" s="493"/>
      <c r="N556" s="493"/>
      <c r="O556" s="493"/>
    </row>
    <row r="557">
      <c r="A557" s="323"/>
      <c r="B557" s="323"/>
      <c r="C557" s="323"/>
      <c r="D557" s="493"/>
      <c r="E557" s="493"/>
      <c r="F557" s="493"/>
      <c r="G557" s="493"/>
      <c r="H557" s="493"/>
      <c r="I557" s="493"/>
      <c r="J557" s="493"/>
      <c r="K557" s="493"/>
      <c r="L557" s="493"/>
      <c r="M557" s="493"/>
      <c r="N557" s="493"/>
      <c r="O557" s="493"/>
    </row>
    <row r="558">
      <c r="A558" s="323"/>
      <c r="B558" s="323"/>
      <c r="C558" s="323"/>
      <c r="D558" s="493"/>
      <c r="E558" s="493"/>
      <c r="F558" s="493"/>
      <c r="G558" s="493"/>
      <c r="H558" s="493"/>
      <c r="I558" s="493"/>
      <c r="J558" s="493"/>
      <c r="K558" s="493"/>
      <c r="L558" s="493"/>
      <c r="M558" s="493"/>
      <c r="N558" s="493"/>
      <c r="O558" s="493"/>
    </row>
    <row r="559">
      <c r="A559" s="323"/>
      <c r="B559" s="323"/>
      <c r="C559" s="323"/>
      <c r="D559" s="493"/>
      <c r="E559" s="493"/>
      <c r="F559" s="493"/>
      <c r="G559" s="493"/>
      <c r="H559" s="493"/>
      <c r="I559" s="493"/>
      <c r="J559" s="493"/>
      <c r="K559" s="493"/>
      <c r="L559" s="493"/>
      <c r="M559" s="493"/>
      <c r="N559" s="493"/>
      <c r="O559" s="493"/>
    </row>
    <row r="560">
      <c r="A560" s="323"/>
      <c r="B560" s="323"/>
      <c r="C560" s="323"/>
      <c r="D560" s="493"/>
      <c r="E560" s="493"/>
      <c r="F560" s="493"/>
      <c r="G560" s="493"/>
      <c r="H560" s="493"/>
      <c r="I560" s="493"/>
      <c r="J560" s="493"/>
      <c r="K560" s="493"/>
      <c r="L560" s="493"/>
      <c r="M560" s="493"/>
      <c r="N560" s="493"/>
      <c r="O560" s="493"/>
    </row>
    <row r="561">
      <c r="A561" s="323"/>
      <c r="B561" s="323"/>
      <c r="C561" s="323"/>
      <c r="D561" s="493"/>
      <c r="E561" s="493"/>
      <c r="F561" s="493"/>
      <c r="G561" s="493"/>
      <c r="H561" s="493"/>
      <c r="I561" s="493"/>
      <c r="J561" s="493"/>
      <c r="K561" s="493"/>
      <c r="L561" s="493"/>
      <c r="M561" s="493"/>
      <c r="N561" s="493"/>
      <c r="O561" s="493"/>
    </row>
    <row r="562">
      <c r="A562" s="323"/>
      <c r="B562" s="323"/>
      <c r="C562" s="323"/>
      <c r="D562" s="493"/>
      <c r="E562" s="493"/>
      <c r="F562" s="493"/>
      <c r="G562" s="493"/>
      <c r="H562" s="493"/>
      <c r="I562" s="493"/>
      <c r="J562" s="493"/>
      <c r="K562" s="493"/>
      <c r="L562" s="493"/>
      <c r="M562" s="493"/>
      <c r="N562" s="493"/>
      <c r="O562" s="493"/>
    </row>
    <row r="563">
      <c r="A563" s="323"/>
      <c r="B563" s="323"/>
      <c r="C563" s="323"/>
      <c r="D563" s="493"/>
      <c r="E563" s="493"/>
      <c r="F563" s="493"/>
      <c r="G563" s="493"/>
      <c r="H563" s="493"/>
      <c r="I563" s="493"/>
      <c r="J563" s="493"/>
      <c r="K563" s="493"/>
      <c r="L563" s="493"/>
      <c r="M563" s="493"/>
      <c r="N563" s="493"/>
      <c r="O563" s="493"/>
    </row>
    <row r="564">
      <c r="A564" s="323"/>
      <c r="B564" s="323"/>
      <c r="C564" s="323"/>
      <c r="D564" s="493"/>
      <c r="E564" s="493"/>
      <c r="F564" s="493"/>
      <c r="G564" s="493"/>
      <c r="H564" s="493"/>
      <c r="I564" s="493"/>
      <c r="J564" s="493"/>
      <c r="K564" s="493"/>
      <c r="L564" s="493"/>
      <c r="M564" s="493"/>
      <c r="N564" s="493"/>
      <c r="O564" s="493"/>
    </row>
    <row r="565">
      <c r="A565" s="323"/>
      <c r="B565" s="323"/>
      <c r="C565" s="323"/>
      <c r="D565" s="493"/>
      <c r="E565" s="493"/>
      <c r="F565" s="493"/>
      <c r="G565" s="493"/>
      <c r="H565" s="493"/>
      <c r="I565" s="493"/>
      <c r="J565" s="493"/>
      <c r="K565" s="493"/>
      <c r="L565" s="493"/>
      <c r="M565" s="493"/>
      <c r="N565" s="493"/>
      <c r="O565" s="493"/>
    </row>
    <row r="566">
      <c r="A566" s="323"/>
      <c r="B566" s="323"/>
      <c r="C566" s="323"/>
      <c r="D566" s="493"/>
      <c r="E566" s="493"/>
      <c r="F566" s="493"/>
      <c r="G566" s="493"/>
      <c r="H566" s="493"/>
      <c r="I566" s="493"/>
      <c r="J566" s="493"/>
      <c r="K566" s="493"/>
      <c r="L566" s="493"/>
      <c r="M566" s="493"/>
      <c r="N566" s="493"/>
      <c r="O566" s="493"/>
    </row>
    <row r="567">
      <c r="A567" s="323"/>
      <c r="B567" s="323"/>
      <c r="C567" s="323"/>
      <c r="D567" s="493"/>
      <c r="E567" s="493"/>
      <c r="F567" s="493"/>
      <c r="G567" s="493"/>
      <c r="H567" s="493"/>
      <c r="I567" s="493"/>
      <c r="J567" s="493"/>
      <c r="K567" s="493"/>
      <c r="L567" s="493"/>
      <c r="M567" s="493"/>
      <c r="N567" s="493"/>
      <c r="O567" s="493"/>
    </row>
    <row r="568">
      <c r="A568" s="323"/>
      <c r="B568" s="323"/>
      <c r="C568" s="323"/>
      <c r="D568" s="493"/>
      <c r="E568" s="493"/>
      <c r="F568" s="493"/>
      <c r="G568" s="493"/>
      <c r="H568" s="493"/>
      <c r="I568" s="493"/>
      <c r="J568" s="493"/>
      <c r="K568" s="493"/>
      <c r="L568" s="493"/>
      <c r="M568" s="493"/>
      <c r="N568" s="493"/>
      <c r="O568" s="493"/>
    </row>
    <row r="569">
      <c r="A569" s="323"/>
      <c r="B569" s="323"/>
      <c r="C569" s="323"/>
      <c r="D569" s="493"/>
      <c r="E569" s="493"/>
      <c r="F569" s="493"/>
      <c r="G569" s="493"/>
      <c r="H569" s="493"/>
      <c r="I569" s="493"/>
      <c r="J569" s="493"/>
      <c r="K569" s="493"/>
      <c r="L569" s="493"/>
      <c r="M569" s="493"/>
      <c r="N569" s="493"/>
      <c r="O569" s="493"/>
    </row>
    <row r="570">
      <c r="A570" s="323"/>
      <c r="B570" s="323"/>
      <c r="C570" s="323"/>
      <c r="D570" s="493"/>
      <c r="E570" s="493"/>
      <c r="F570" s="493"/>
      <c r="G570" s="493"/>
      <c r="H570" s="493"/>
      <c r="I570" s="493"/>
      <c r="J570" s="493"/>
      <c r="K570" s="493"/>
      <c r="L570" s="493"/>
      <c r="M570" s="493"/>
      <c r="N570" s="493"/>
      <c r="O570" s="493"/>
    </row>
    <row r="571">
      <c r="A571" s="323"/>
      <c r="B571" s="323"/>
      <c r="C571" s="323"/>
      <c r="D571" s="493"/>
      <c r="E571" s="493"/>
      <c r="F571" s="493"/>
      <c r="G571" s="493"/>
      <c r="H571" s="493"/>
      <c r="I571" s="493"/>
      <c r="J571" s="493"/>
      <c r="K571" s="493"/>
      <c r="L571" s="493"/>
      <c r="M571" s="493"/>
      <c r="N571" s="493"/>
      <c r="O571" s="493"/>
    </row>
    <row r="572">
      <c r="A572" s="323"/>
      <c r="B572" s="323"/>
      <c r="C572" s="323"/>
      <c r="D572" s="493"/>
      <c r="E572" s="493"/>
      <c r="F572" s="493"/>
      <c r="G572" s="493"/>
      <c r="H572" s="493"/>
      <c r="I572" s="493"/>
      <c r="J572" s="493"/>
      <c r="K572" s="493"/>
      <c r="L572" s="493"/>
      <c r="M572" s="493"/>
      <c r="N572" s="493"/>
      <c r="O572" s="493"/>
    </row>
    <row r="573">
      <c r="A573" s="323"/>
      <c r="B573" s="323"/>
      <c r="C573" s="323"/>
      <c r="D573" s="493"/>
      <c r="E573" s="493"/>
      <c r="F573" s="493"/>
      <c r="G573" s="493"/>
      <c r="H573" s="493"/>
      <c r="I573" s="493"/>
      <c r="J573" s="493"/>
      <c r="K573" s="493"/>
      <c r="L573" s="493"/>
      <c r="M573" s="493"/>
      <c r="N573" s="493"/>
      <c r="O573" s="493"/>
    </row>
    <row r="574">
      <c r="A574" s="323"/>
      <c r="B574" s="323"/>
      <c r="C574" s="323"/>
      <c r="D574" s="493"/>
      <c r="E574" s="493"/>
      <c r="F574" s="493"/>
      <c r="G574" s="493"/>
      <c r="H574" s="493"/>
      <c r="I574" s="493"/>
      <c r="J574" s="493"/>
      <c r="K574" s="493"/>
      <c r="L574" s="493"/>
      <c r="M574" s="493"/>
      <c r="N574" s="493"/>
      <c r="O574" s="493"/>
    </row>
    <row r="575">
      <c r="A575" s="323"/>
      <c r="B575" s="323"/>
      <c r="C575" s="323"/>
      <c r="D575" s="493"/>
      <c r="E575" s="493"/>
      <c r="F575" s="493"/>
      <c r="G575" s="493"/>
      <c r="H575" s="493"/>
      <c r="I575" s="493"/>
      <c r="J575" s="493"/>
      <c r="K575" s="493"/>
      <c r="L575" s="493"/>
      <c r="M575" s="493"/>
      <c r="N575" s="493"/>
      <c r="O575" s="493"/>
    </row>
    <row r="576">
      <c r="A576" s="323"/>
      <c r="B576" s="323"/>
      <c r="C576" s="323"/>
      <c r="D576" s="493"/>
      <c r="E576" s="493"/>
      <c r="F576" s="493"/>
      <c r="G576" s="493"/>
      <c r="H576" s="493"/>
      <c r="I576" s="493"/>
      <c r="J576" s="493"/>
      <c r="K576" s="493"/>
      <c r="L576" s="493"/>
      <c r="M576" s="493"/>
      <c r="N576" s="493"/>
      <c r="O576" s="493"/>
    </row>
    <row r="577">
      <c r="A577" s="323"/>
      <c r="B577" s="323"/>
      <c r="C577" s="323"/>
      <c r="D577" s="493"/>
      <c r="E577" s="493"/>
      <c r="F577" s="493"/>
      <c r="G577" s="493"/>
      <c r="H577" s="493"/>
      <c r="I577" s="493"/>
      <c r="J577" s="493"/>
      <c r="K577" s="493"/>
      <c r="L577" s="493"/>
      <c r="M577" s="493"/>
      <c r="N577" s="493"/>
      <c r="O577" s="493"/>
    </row>
    <row r="578">
      <c r="A578" s="323"/>
      <c r="B578" s="323"/>
      <c r="C578" s="323"/>
      <c r="D578" s="493"/>
      <c r="E578" s="493"/>
      <c r="F578" s="493"/>
      <c r="G578" s="493"/>
      <c r="H578" s="493"/>
      <c r="I578" s="493"/>
      <c r="J578" s="493"/>
      <c r="K578" s="493"/>
      <c r="L578" s="493"/>
      <c r="M578" s="493"/>
      <c r="N578" s="493"/>
      <c r="O578" s="493"/>
    </row>
    <row r="579">
      <c r="A579" s="323"/>
      <c r="B579" s="323"/>
      <c r="C579" s="323"/>
      <c r="D579" s="493"/>
      <c r="E579" s="493"/>
      <c r="F579" s="493"/>
      <c r="G579" s="493"/>
      <c r="H579" s="493"/>
      <c r="I579" s="493"/>
      <c r="J579" s="493"/>
      <c r="K579" s="493"/>
      <c r="L579" s="493"/>
      <c r="M579" s="493"/>
      <c r="N579" s="493"/>
      <c r="O579" s="493"/>
    </row>
    <row r="580">
      <c r="A580" s="323"/>
      <c r="B580" s="323"/>
      <c r="C580" s="323"/>
      <c r="D580" s="493"/>
      <c r="E580" s="493"/>
      <c r="F580" s="493"/>
      <c r="G580" s="493"/>
      <c r="H580" s="493"/>
      <c r="I580" s="493"/>
      <c r="J580" s="493"/>
      <c r="K580" s="493"/>
      <c r="L580" s="493"/>
      <c r="M580" s="493"/>
      <c r="N580" s="493"/>
      <c r="O580" s="493"/>
    </row>
    <row r="581">
      <c r="A581" s="323"/>
      <c r="B581" s="323"/>
      <c r="C581" s="323"/>
      <c r="D581" s="493"/>
      <c r="E581" s="493"/>
      <c r="F581" s="493"/>
      <c r="G581" s="493"/>
      <c r="H581" s="493"/>
      <c r="I581" s="493"/>
      <c r="J581" s="493"/>
      <c r="K581" s="493"/>
      <c r="L581" s="493"/>
      <c r="M581" s="493"/>
      <c r="N581" s="493"/>
      <c r="O581" s="493"/>
    </row>
    <row r="582">
      <c r="A582" s="323"/>
      <c r="B582" s="323"/>
      <c r="C582" s="323"/>
      <c r="D582" s="493"/>
      <c r="E582" s="493"/>
      <c r="F582" s="493"/>
      <c r="G582" s="493"/>
      <c r="H582" s="493"/>
      <c r="I582" s="493"/>
      <c r="J582" s="493"/>
      <c r="K582" s="493"/>
      <c r="L582" s="493"/>
      <c r="M582" s="493"/>
      <c r="N582" s="493"/>
      <c r="O582" s="493"/>
    </row>
    <row r="583">
      <c r="A583" s="323"/>
      <c r="B583" s="323"/>
      <c r="C583" s="323"/>
      <c r="D583" s="493"/>
      <c r="E583" s="493"/>
      <c r="F583" s="493"/>
      <c r="G583" s="493"/>
      <c r="H583" s="493"/>
      <c r="I583" s="493"/>
      <c r="J583" s="493"/>
      <c r="K583" s="493"/>
      <c r="L583" s="493"/>
      <c r="M583" s="493"/>
      <c r="N583" s="493"/>
      <c r="O583" s="493"/>
    </row>
    <row r="584">
      <c r="A584" s="323"/>
      <c r="B584" s="323"/>
      <c r="C584" s="323"/>
      <c r="D584" s="493"/>
      <c r="E584" s="493"/>
      <c r="F584" s="493"/>
      <c r="G584" s="493"/>
      <c r="H584" s="493"/>
      <c r="I584" s="493"/>
      <c r="J584" s="493"/>
      <c r="K584" s="493"/>
      <c r="L584" s="493"/>
      <c r="M584" s="493"/>
      <c r="N584" s="493"/>
      <c r="O584" s="493"/>
    </row>
    <row r="585">
      <c r="A585" s="323"/>
      <c r="B585" s="323"/>
      <c r="C585" s="323"/>
      <c r="D585" s="493"/>
      <c r="E585" s="493"/>
      <c r="F585" s="493"/>
      <c r="G585" s="493"/>
      <c r="H585" s="493"/>
      <c r="I585" s="493"/>
      <c r="J585" s="493"/>
      <c r="K585" s="493"/>
      <c r="L585" s="493"/>
      <c r="M585" s="493"/>
      <c r="N585" s="493"/>
      <c r="O585" s="493"/>
    </row>
    <row r="586">
      <c r="A586" s="323"/>
      <c r="B586" s="323"/>
      <c r="C586" s="323"/>
      <c r="D586" s="493"/>
      <c r="E586" s="493"/>
      <c r="F586" s="493"/>
      <c r="G586" s="493"/>
      <c r="H586" s="493"/>
      <c r="I586" s="493"/>
      <c r="J586" s="493"/>
      <c r="K586" s="493"/>
      <c r="L586" s="493"/>
      <c r="M586" s="493"/>
      <c r="N586" s="493"/>
      <c r="O586" s="493"/>
    </row>
    <row r="587">
      <c r="A587" s="323"/>
      <c r="B587" s="323"/>
      <c r="C587" s="323"/>
      <c r="D587" s="493"/>
      <c r="E587" s="493"/>
      <c r="F587" s="493"/>
      <c r="G587" s="493"/>
      <c r="H587" s="493"/>
      <c r="I587" s="493"/>
      <c r="J587" s="493"/>
      <c r="K587" s="493"/>
      <c r="L587" s="493"/>
      <c r="M587" s="493"/>
      <c r="N587" s="493"/>
      <c r="O587" s="493"/>
    </row>
    <row r="588">
      <c r="A588" s="323"/>
      <c r="B588" s="323"/>
      <c r="C588" s="323"/>
      <c r="D588" s="493"/>
      <c r="E588" s="493"/>
      <c r="F588" s="493"/>
      <c r="G588" s="493"/>
      <c r="H588" s="493"/>
      <c r="I588" s="493"/>
      <c r="J588" s="493"/>
      <c r="K588" s="493"/>
      <c r="L588" s="493"/>
      <c r="M588" s="493"/>
      <c r="N588" s="493"/>
      <c r="O588" s="493"/>
    </row>
    <row r="589">
      <c r="A589" s="323"/>
      <c r="B589" s="323"/>
      <c r="C589" s="323"/>
      <c r="D589" s="493"/>
      <c r="E589" s="493"/>
      <c r="F589" s="493"/>
      <c r="G589" s="493"/>
      <c r="H589" s="493"/>
      <c r="I589" s="493"/>
      <c r="J589" s="493"/>
      <c r="K589" s="493"/>
      <c r="L589" s="493"/>
      <c r="M589" s="493"/>
      <c r="N589" s="493"/>
      <c r="O589" s="493"/>
    </row>
    <row r="590">
      <c r="A590" s="323"/>
      <c r="B590" s="323"/>
      <c r="C590" s="323"/>
      <c r="D590" s="493"/>
      <c r="E590" s="493"/>
      <c r="F590" s="493"/>
      <c r="G590" s="493"/>
      <c r="H590" s="493"/>
      <c r="I590" s="493"/>
      <c r="J590" s="493"/>
      <c r="K590" s="493"/>
      <c r="L590" s="493"/>
      <c r="M590" s="493"/>
      <c r="N590" s="493"/>
      <c r="O590" s="493"/>
    </row>
    <row r="591">
      <c r="A591" s="323"/>
      <c r="B591" s="323"/>
      <c r="C591" s="323"/>
      <c r="D591" s="493"/>
      <c r="E591" s="493"/>
      <c r="F591" s="493"/>
      <c r="G591" s="493"/>
      <c r="H591" s="493"/>
      <c r="I591" s="493"/>
      <c r="J591" s="493"/>
      <c r="K591" s="493"/>
      <c r="L591" s="493"/>
      <c r="M591" s="493"/>
      <c r="N591" s="493"/>
      <c r="O591" s="493"/>
    </row>
    <row r="592">
      <c r="A592" s="323"/>
      <c r="B592" s="323"/>
      <c r="C592" s="323"/>
      <c r="D592" s="493"/>
      <c r="E592" s="493"/>
      <c r="F592" s="493"/>
      <c r="G592" s="493"/>
      <c r="H592" s="493"/>
      <c r="I592" s="493"/>
      <c r="J592" s="493"/>
      <c r="K592" s="493"/>
      <c r="L592" s="493"/>
      <c r="M592" s="493"/>
      <c r="N592" s="493"/>
      <c r="O592" s="493"/>
    </row>
    <row r="593">
      <c r="A593" s="323"/>
      <c r="B593" s="323"/>
      <c r="C593" s="323"/>
      <c r="D593" s="493"/>
      <c r="E593" s="493"/>
      <c r="F593" s="493"/>
      <c r="G593" s="493"/>
      <c r="H593" s="493"/>
      <c r="I593" s="493"/>
      <c r="J593" s="493"/>
      <c r="K593" s="493"/>
      <c r="L593" s="493"/>
      <c r="M593" s="493"/>
      <c r="N593" s="493"/>
      <c r="O593" s="493"/>
    </row>
    <row r="594">
      <c r="A594" s="323"/>
      <c r="B594" s="323"/>
      <c r="C594" s="323"/>
      <c r="D594" s="493"/>
      <c r="E594" s="493"/>
      <c r="F594" s="493"/>
      <c r="G594" s="493"/>
      <c r="H594" s="493"/>
      <c r="I594" s="493"/>
      <c r="J594" s="493"/>
      <c r="K594" s="493"/>
      <c r="L594" s="493"/>
      <c r="M594" s="493"/>
      <c r="N594" s="493"/>
      <c r="O594" s="493"/>
    </row>
    <row r="595">
      <c r="A595" s="323"/>
      <c r="B595" s="323"/>
      <c r="C595" s="323"/>
      <c r="D595" s="493"/>
      <c r="E595" s="493"/>
      <c r="F595" s="493"/>
      <c r="G595" s="493"/>
      <c r="H595" s="493"/>
      <c r="I595" s="493"/>
      <c r="J595" s="493"/>
      <c r="K595" s="493"/>
      <c r="L595" s="493"/>
      <c r="M595" s="493"/>
      <c r="N595" s="493"/>
      <c r="O595" s="493"/>
    </row>
    <row r="596">
      <c r="A596" s="323"/>
      <c r="B596" s="323"/>
      <c r="C596" s="323"/>
      <c r="D596" s="493"/>
      <c r="E596" s="493"/>
      <c r="F596" s="493"/>
      <c r="G596" s="493"/>
      <c r="H596" s="493"/>
      <c r="I596" s="493"/>
      <c r="J596" s="493"/>
      <c r="K596" s="493"/>
      <c r="L596" s="493"/>
      <c r="M596" s="493"/>
      <c r="N596" s="493"/>
      <c r="O596" s="493"/>
    </row>
    <row r="597">
      <c r="A597" s="323"/>
      <c r="B597" s="323"/>
      <c r="C597" s="323"/>
      <c r="D597" s="493"/>
      <c r="E597" s="493"/>
      <c r="F597" s="493"/>
      <c r="G597" s="493"/>
      <c r="H597" s="493"/>
      <c r="I597" s="493"/>
      <c r="J597" s="493"/>
      <c r="K597" s="493"/>
      <c r="L597" s="493"/>
      <c r="M597" s="493"/>
      <c r="N597" s="493"/>
      <c r="O597" s="493"/>
    </row>
    <row r="598">
      <c r="A598" s="323"/>
      <c r="B598" s="323"/>
      <c r="C598" s="323"/>
      <c r="D598" s="493"/>
      <c r="E598" s="493"/>
      <c r="F598" s="493"/>
      <c r="G598" s="493"/>
      <c r="H598" s="493"/>
      <c r="I598" s="493"/>
      <c r="J598" s="493"/>
      <c r="K598" s="493"/>
      <c r="L598" s="493"/>
      <c r="M598" s="493"/>
      <c r="N598" s="493"/>
      <c r="O598" s="493"/>
    </row>
    <row r="599">
      <c r="A599" s="323"/>
      <c r="B599" s="323"/>
      <c r="C599" s="323"/>
      <c r="D599" s="493"/>
      <c r="E599" s="493"/>
      <c r="F599" s="493"/>
      <c r="G599" s="493"/>
      <c r="H599" s="493"/>
      <c r="I599" s="493"/>
      <c r="J599" s="493"/>
      <c r="K599" s="493"/>
      <c r="L599" s="493"/>
      <c r="M599" s="493"/>
      <c r="N599" s="493"/>
      <c r="O599" s="493"/>
    </row>
    <row r="600">
      <c r="A600" s="323"/>
      <c r="B600" s="323"/>
      <c r="C600" s="323"/>
      <c r="D600" s="493"/>
      <c r="E600" s="493"/>
      <c r="F600" s="493"/>
      <c r="G600" s="493"/>
      <c r="H600" s="493"/>
      <c r="I600" s="493"/>
      <c r="J600" s="493"/>
      <c r="K600" s="493"/>
      <c r="L600" s="493"/>
      <c r="M600" s="493"/>
      <c r="N600" s="493"/>
      <c r="O600" s="493"/>
    </row>
    <row r="601">
      <c r="A601" s="323"/>
      <c r="B601" s="323"/>
      <c r="C601" s="323"/>
      <c r="D601" s="493"/>
      <c r="E601" s="493"/>
      <c r="F601" s="493"/>
      <c r="G601" s="493"/>
      <c r="H601" s="493"/>
      <c r="I601" s="493"/>
      <c r="J601" s="493"/>
      <c r="K601" s="493"/>
      <c r="L601" s="493"/>
      <c r="M601" s="493"/>
      <c r="N601" s="493"/>
      <c r="O601" s="493"/>
    </row>
    <row r="602">
      <c r="A602" s="323"/>
      <c r="B602" s="323"/>
      <c r="C602" s="323"/>
      <c r="D602" s="493"/>
      <c r="E602" s="493"/>
      <c r="F602" s="493"/>
      <c r="G602" s="493"/>
      <c r="H602" s="493"/>
      <c r="I602" s="493"/>
      <c r="J602" s="493"/>
      <c r="K602" s="493"/>
      <c r="L602" s="493"/>
      <c r="M602" s="493"/>
      <c r="N602" s="493"/>
      <c r="O602" s="493"/>
    </row>
    <row r="603">
      <c r="A603" s="323"/>
      <c r="B603" s="323"/>
      <c r="C603" s="323"/>
      <c r="D603" s="493"/>
      <c r="E603" s="493"/>
      <c r="F603" s="493"/>
      <c r="G603" s="493"/>
      <c r="H603" s="493"/>
      <c r="I603" s="493"/>
      <c r="J603" s="493"/>
      <c r="K603" s="493"/>
      <c r="L603" s="493"/>
      <c r="M603" s="493"/>
      <c r="N603" s="493"/>
      <c r="O603" s="493"/>
    </row>
    <row r="604">
      <c r="A604" s="323"/>
      <c r="B604" s="323"/>
      <c r="C604" s="323"/>
      <c r="D604" s="493"/>
      <c r="E604" s="493"/>
      <c r="F604" s="493"/>
      <c r="G604" s="493"/>
      <c r="H604" s="493"/>
      <c r="I604" s="493"/>
      <c r="J604" s="493"/>
      <c r="K604" s="493"/>
      <c r="L604" s="493"/>
      <c r="M604" s="493"/>
      <c r="N604" s="493"/>
      <c r="O604" s="493"/>
    </row>
    <row r="605">
      <c r="A605" s="323"/>
      <c r="B605" s="323"/>
      <c r="C605" s="323"/>
      <c r="D605" s="493"/>
      <c r="E605" s="493"/>
      <c r="F605" s="493"/>
      <c r="G605" s="493"/>
      <c r="H605" s="493"/>
      <c r="I605" s="493"/>
      <c r="J605" s="493"/>
      <c r="K605" s="493"/>
      <c r="L605" s="493"/>
      <c r="M605" s="493"/>
      <c r="N605" s="493"/>
      <c r="O605" s="493"/>
    </row>
    <row r="606">
      <c r="A606" s="323"/>
      <c r="B606" s="323"/>
      <c r="C606" s="323"/>
      <c r="D606" s="493"/>
      <c r="E606" s="493"/>
      <c r="F606" s="493"/>
      <c r="G606" s="493"/>
      <c r="H606" s="493"/>
      <c r="I606" s="493"/>
      <c r="J606" s="493"/>
      <c r="K606" s="493"/>
      <c r="L606" s="493"/>
      <c r="M606" s="493"/>
      <c r="N606" s="493"/>
      <c r="O606" s="493"/>
    </row>
    <row r="607">
      <c r="A607" s="323"/>
      <c r="B607" s="323"/>
      <c r="C607" s="323"/>
      <c r="D607" s="493"/>
      <c r="E607" s="493"/>
      <c r="F607" s="493"/>
      <c r="G607" s="493"/>
      <c r="H607" s="493"/>
      <c r="I607" s="493"/>
      <c r="J607" s="493"/>
      <c r="K607" s="493"/>
      <c r="L607" s="493"/>
      <c r="M607" s="493"/>
      <c r="N607" s="493"/>
      <c r="O607" s="493"/>
    </row>
    <row r="608">
      <c r="A608" s="323"/>
      <c r="B608" s="323"/>
      <c r="C608" s="323"/>
      <c r="D608" s="493"/>
      <c r="E608" s="493"/>
      <c r="F608" s="493"/>
      <c r="G608" s="493"/>
      <c r="H608" s="493"/>
      <c r="I608" s="493"/>
      <c r="J608" s="493"/>
      <c r="K608" s="493"/>
      <c r="L608" s="493"/>
      <c r="M608" s="493"/>
      <c r="N608" s="493"/>
      <c r="O608" s="493"/>
    </row>
    <row r="609">
      <c r="A609" s="323"/>
      <c r="B609" s="323"/>
      <c r="C609" s="323"/>
      <c r="D609" s="493"/>
      <c r="E609" s="493"/>
      <c r="F609" s="493"/>
      <c r="G609" s="493"/>
      <c r="H609" s="493"/>
      <c r="I609" s="493"/>
      <c r="J609" s="493"/>
      <c r="K609" s="493"/>
      <c r="L609" s="493"/>
      <c r="M609" s="493"/>
      <c r="N609" s="493"/>
      <c r="O609" s="493"/>
    </row>
    <row r="610">
      <c r="A610" s="323"/>
      <c r="B610" s="323"/>
      <c r="C610" s="323"/>
      <c r="D610" s="493"/>
      <c r="E610" s="493"/>
      <c r="F610" s="493"/>
      <c r="G610" s="493"/>
      <c r="H610" s="493"/>
      <c r="I610" s="493"/>
      <c r="J610" s="493"/>
      <c r="K610" s="493"/>
      <c r="L610" s="493"/>
      <c r="M610" s="493"/>
      <c r="N610" s="493"/>
      <c r="O610" s="493"/>
    </row>
    <row r="611">
      <c r="A611" s="323"/>
      <c r="B611" s="323"/>
      <c r="C611" s="323"/>
      <c r="D611" s="493"/>
      <c r="E611" s="493"/>
      <c r="F611" s="493"/>
      <c r="G611" s="493"/>
      <c r="H611" s="493"/>
      <c r="I611" s="493"/>
      <c r="J611" s="493"/>
      <c r="K611" s="493"/>
      <c r="L611" s="493"/>
      <c r="M611" s="493"/>
      <c r="N611" s="493"/>
      <c r="O611" s="493"/>
    </row>
    <row r="612">
      <c r="A612" s="323"/>
      <c r="B612" s="323"/>
      <c r="C612" s="323"/>
      <c r="D612" s="493"/>
      <c r="E612" s="493"/>
      <c r="F612" s="493"/>
      <c r="G612" s="493"/>
      <c r="H612" s="493"/>
      <c r="I612" s="493"/>
      <c r="J612" s="493"/>
      <c r="K612" s="493"/>
      <c r="L612" s="493"/>
      <c r="M612" s="493"/>
      <c r="N612" s="493"/>
      <c r="O612" s="493"/>
    </row>
    <row r="613">
      <c r="A613" s="323"/>
      <c r="B613" s="323"/>
      <c r="C613" s="323"/>
      <c r="D613" s="493"/>
      <c r="E613" s="493"/>
      <c r="F613" s="493"/>
      <c r="G613" s="493"/>
      <c r="H613" s="493"/>
      <c r="I613" s="493"/>
      <c r="J613" s="493"/>
      <c r="K613" s="493"/>
      <c r="L613" s="493"/>
      <c r="M613" s="493"/>
      <c r="N613" s="493"/>
      <c r="O613" s="493"/>
    </row>
    <row r="614">
      <c r="A614" s="323"/>
      <c r="B614" s="323"/>
      <c r="C614" s="323"/>
      <c r="D614" s="493"/>
      <c r="E614" s="493"/>
      <c r="F614" s="493"/>
      <c r="G614" s="493"/>
      <c r="H614" s="493"/>
      <c r="I614" s="493"/>
      <c r="J614" s="493"/>
      <c r="K614" s="493"/>
      <c r="L614" s="493"/>
      <c r="M614" s="493"/>
      <c r="N614" s="493"/>
      <c r="O614" s="493"/>
    </row>
    <row r="615">
      <c r="A615" s="323"/>
      <c r="B615" s="323"/>
      <c r="C615" s="323"/>
      <c r="D615" s="493"/>
      <c r="E615" s="493"/>
      <c r="F615" s="493"/>
      <c r="G615" s="493"/>
      <c r="H615" s="493"/>
      <c r="I615" s="493"/>
      <c r="J615" s="493"/>
      <c r="K615" s="493"/>
      <c r="L615" s="493"/>
      <c r="M615" s="493"/>
      <c r="N615" s="493"/>
      <c r="O615" s="493"/>
    </row>
    <row r="616">
      <c r="A616" s="323"/>
      <c r="B616" s="323"/>
      <c r="C616" s="323"/>
      <c r="D616" s="493"/>
      <c r="E616" s="493"/>
      <c r="F616" s="493"/>
      <c r="G616" s="493"/>
      <c r="H616" s="493"/>
      <c r="I616" s="493"/>
      <c r="J616" s="493"/>
      <c r="K616" s="493"/>
      <c r="L616" s="493"/>
      <c r="M616" s="493"/>
      <c r="N616" s="493"/>
      <c r="O616" s="493"/>
    </row>
    <row r="617">
      <c r="A617" s="323"/>
      <c r="B617" s="323"/>
      <c r="C617" s="323"/>
      <c r="D617" s="493"/>
      <c r="E617" s="493"/>
      <c r="F617" s="493"/>
      <c r="G617" s="493"/>
      <c r="H617" s="493"/>
      <c r="I617" s="493"/>
      <c r="J617" s="493"/>
      <c r="K617" s="493"/>
      <c r="L617" s="493"/>
      <c r="M617" s="493"/>
      <c r="N617" s="493"/>
      <c r="O617" s="493"/>
    </row>
    <row r="618">
      <c r="A618" s="323"/>
      <c r="B618" s="323"/>
      <c r="C618" s="323"/>
      <c r="D618" s="493"/>
      <c r="E618" s="493"/>
      <c r="F618" s="493"/>
      <c r="G618" s="493"/>
      <c r="H618" s="493"/>
      <c r="I618" s="493"/>
      <c r="J618" s="493"/>
      <c r="K618" s="493"/>
      <c r="L618" s="493"/>
      <c r="M618" s="493"/>
      <c r="N618" s="493"/>
      <c r="O618" s="493"/>
    </row>
    <row r="619">
      <c r="A619" s="323"/>
      <c r="B619" s="323"/>
      <c r="C619" s="323"/>
      <c r="D619" s="493"/>
      <c r="E619" s="493"/>
      <c r="F619" s="493"/>
      <c r="G619" s="493"/>
      <c r="H619" s="493"/>
      <c r="I619" s="493"/>
      <c r="J619" s="493"/>
      <c r="K619" s="493"/>
      <c r="L619" s="493"/>
      <c r="M619" s="493"/>
      <c r="N619" s="493"/>
      <c r="O619" s="493"/>
    </row>
    <row r="620">
      <c r="A620" s="323"/>
      <c r="B620" s="323"/>
      <c r="C620" s="323"/>
      <c r="D620" s="493"/>
      <c r="E620" s="493"/>
      <c r="F620" s="493"/>
      <c r="G620" s="493"/>
      <c r="H620" s="493"/>
      <c r="I620" s="493"/>
      <c r="J620" s="493"/>
      <c r="K620" s="493"/>
      <c r="L620" s="493"/>
      <c r="M620" s="493"/>
      <c r="N620" s="493"/>
      <c r="O620" s="493"/>
    </row>
    <row r="621">
      <c r="A621" s="323"/>
      <c r="B621" s="323"/>
      <c r="C621" s="323"/>
      <c r="D621" s="493"/>
      <c r="E621" s="493"/>
      <c r="F621" s="493"/>
      <c r="G621" s="493"/>
      <c r="H621" s="493"/>
      <c r="I621" s="493"/>
      <c r="J621" s="493"/>
      <c r="K621" s="493"/>
      <c r="L621" s="493"/>
      <c r="M621" s="493"/>
      <c r="N621" s="493"/>
      <c r="O621" s="493"/>
    </row>
    <row r="622">
      <c r="A622" s="323"/>
      <c r="B622" s="323"/>
      <c r="C622" s="323"/>
      <c r="D622" s="493"/>
      <c r="E622" s="493"/>
      <c r="F622" s="493"/>
      <c r="G622" s="493"/>
      <c r="H622" s="493"/>
      <c r="I622" s="493"/>
      <c r="J622" s="493"/>
      <c r="K622" s="493"/>
      <c r="L622" s="493"/>
      <c r="M622" s="493"/>
      <c r="N622" s="493"/>
      <c r="O622" s="493"/>
    </row>
    <row r="623">
      <c r="A623" s="323"/>
      <c r="B623" s="323"/>
      <c r="C623" s="323"/>
      <c r="D623" s="493"/>
      <c r="E623" s="493"/>
      <c r="F623" s="493"/>
      <c r="G623" s="493"/>
      <c r="H623" s="493"/>
      <c r="I623" s="493"/>
      <c r="J623" s="493"/>
      <c r="K623" s="493"/>
      <c r="L623" s="493"/>
      <c r="M623" s="493"/>
      <c r="N623" s="493"/>
      <c r="O623" s="493"/>
    </row>
    <row r="624">
      <c r="A624" s="323"/>
      <c r="B624" s="323"/>
      <c r="C624" s="323"/>
      <c r="D624" s="493"/>
      <c r="E624" s="493"/>
      <c r="F624" s="493"/>
      <c r="G624" s="493"/>
      <c r="H624" s="493"/>
      <c r="I624" s="493"/>
      <c r="J624" s="493"/>
      <c r="K624" s="493"/>
      <c r="L624" s="493"/>
      <c r="M624" s="493"/>
      <c r="N624" s="493"/>
      <c r="O624" s="493"/>
    </row>
    <row r="625">
      <c r="A625" s="323"/>
      <c r="B625" s="323"/>
      <c r="C625" s="323"/>
      <c r="D625" s="493"/>
      <c r="E625" s="493"/>
      <c r="F625" s="493"/>
      <c r="G625" s="493"/>
      <c r="H625" s="493"/>
      <c r="I625" s="493"/>
      <c r="J625" s="493"/>
      <c r="K625" s="493"/>
      <c r="L625" s="493"/>
      <c r="M625" s="493"/>
      <c r="N625" s="493"/>
      <c r="O625" s="493"/>
    </row>
    <row r="626">
      <c r="A626" s="323"/>
      <c r="B626" s="323"/>
      <c r="C626" s="323"/>
      <c r="D626" s="493"/>
      <c r="E626" s="493"/>
      <c r="F626" s="493"/>
      <c r="G626" s="493"/>
      <c r="H626" s="493"/>
      <c r="I626" s="493"/>
      <c r="J626" s="493"/>
      <c r="K626" s="493"/>
      <c r="L626" s="493"/>
      <c r="M626" s="493"/>
      <c r="N626" s="493"/>
      <c r="O626" s="493"/>
    </row>
    <row r="627">
      <c r="A627" s="323"/>
      <c r="B627" s="323"/>
      <c r="C627" s="323"/>
      <c r="D627" s="493"/>
      <c r="E627" s="493"/>
      <c r="F627" s="493"/>
      <c r="G627" s="493"/>
      <c r="H627" s="493"/>
      <c r="I627" s="493"/>
      <c r="J627" s="493"/>
      <c r="K627" s="493"/>
      <c r="L627" s="493"/>
      <c r="M627" s="493"/>
      <c r="N627" s="493"/>
      <c r="O627" s="493"/>
    </row>
    <row r="628">
      <c r="A628" s="323"/>
      <c r="B628" s="323"/>
      <c r="C628" s="323"/>
      <c r="D628" s="493"/>
      <c r="E628" s="493"/>
      <c r="F628" s="493"/>
      <c r="G628" s="493"/>
      <c r="H628" s="493"/>
      <c r="I628" s="493"/>
      <c r="J628" s="493"/>
      <c r="K628" s="493"/>
      <c r="L628" s="493"/>
      <c r="M628" s="493"/>
      <c r="N628" s="493"/>
      <c r="O628" s="493"/>
    </row>
    <row r="629">
      <c r="A629" s="323"/>
      <c r="B629" s="323"/>
      <c r="C629" s="323"/>
      <c r="D629" s="493"/>
      <c r="E629" s="493"/>
      <c r="F629" s="493"/>
      <c r="G629" s="493"/>
      <c r="H629" s="493"/>
      <c r="I629" s="493"/>
      <c r="J629" s="493"/>
      <c r="K629" s="493"/>
      <c r="L629" s="493"/>
      <c r="M629" s="493"/>
      <c r="N629" s="493"/>
      <c r="O629" s="493"/>
    </row>
    <row r="630">
      <c r="A630" s="323"/>
      <c r="B630" s="323"/>
      <c r="C630" s="323"/>
      <c r="D630" s="493"/>
      <c r="E630" s="493"/>
      <c r="F630" s="493"/>
      <c r="G630" s="493"/>
      <c r="H630" s="493"/>
      <c r="I630" s="493"/>
      <c r="J630" s="493"/>
      <c r="K630" s="493"/>
      <c r="L630" s="493"/>
      <c r="M630" s="493"/>
      <c r="N630" s="493"/>
      <c r="O630" s="493"/>
    </row>
    <row r="631">
      <c r="A631" s="323"/>
      <c r="B631" s="323"/>
      <c r="C631" s="323"/>
      <c r="D631" s="493"/>
      <c r="E631" s="493"/>
      <c r="F631" s="493"/>
      <c r="G631" s="493"/>
      <c r="H631" s="493"/>
      <c r="I631" s="493"/>
      <c r="J631" s="493"/>
      <c r="K631" s="493"/>
      <c r="L631" s="493"/>
      <c r="M631" s="493"/>
      <c r="N631" s="493"/>
      <c r="O631" s="493"/>
    </row>
    <row r="632">
      <c r="A632" s="323"/>
      <c r="B632" s="323"/>
      <c r="C632" s="323"/>
      <c r="D632" s="493"/>
      <c r="E632" s="493"/>
      <c r="F632" s="493"/>
      <c r="G632" s="493"/>
      <c r="H632" s="493"/>
      <c r="I632" s="493"/>
      <c r="J632" s="493"/>
      <c r="K632" s="493"/>
      <c r="L632" s="493"/>
      <c r="M632" s="493"/>
      <c r="N632" s="493"/>
      <c r="O632" s="493"/>
    </row>
    <row r="633">
      <c r="A633" s="323"/>
      <c r="B633" s="323"/>
      <c r="C633" s="323"/>
      <c r="D633" s="493"/>
      <c r="E633" s="493"/>
      <c r="F633" s="493"/>
      <c r="G633" s="493"/>
      <c r="H633" s="493"/>
      <c r="I633" s="493"/>
      <c r="J633" s="493"/>
      <c r="K633" s="493"/>
      <c r="L633" s="493"/>
      <c r="M633" s="493"/>
      <c r="N633" s="493"/>
      <c r="O633" s="493"/>
    </row>
    <row r="634">
      <c r="A634" s="323"/>
      <c r="B634" s="323"/>
      <c r="C634" s="323"/>
      <c r="D634" s="493"/>
      <c r="E634" s="493"/>
      <c r="F634" s="493"/>
      <c r="G634" s="493"/>
      <c r="H634" s="493"/>
      <c r="I634" s="493"/>
      <c r="J634" s="493"/>
      <c r="K634" s="493"/>
      <c r="L634" s="493"/>
      <c r="M634" s="493"/>
      <c r="N634" s="493"/>
      <c r="O634" s="493"/>
    </row>
    <row r="635">
      <c r="A635" s="323"/>
      <c r="B635" s="323"/>
      <c r="C635" s="323"/>
      <c r="D635" s="493"/>
      <c r="E635" s="493"/>
      <c r="F635" s="493"/>
      <c r="G635" s="493"/>
      <c r="H635" s="493"/>
      <c r="I635" s="493"/>
      <c r="J635" s="493"/>
      <c r="K635" s="493"/>
      <c r="L635" s="493"/>
      <c r="M635" s="493"/>
      <c r="N635" s="493"/>
      <c r="O635" s="493"/>
    </row>
    <row r="636">
      <c r="A636" s="323"/>
      <c r="B636" s="323"/>
      <c r="C636" s="323"/>
      <c r="D636" s="493"/>
      <c r="E636" s="493"/>
      <c r="F636" s="493"/>
      <c r="G636" s="493"/>
      <c r="H636" s="493"/>
      <c r="I636" s="493"/>
      <c r="J636" s="493"/>
      <c r="K636" s="493"/>
      <c r="L636" s="493"/>
      <c r="M636" s="493"/>
      <c r="N636" s="493"/>
      <c r="O636" s="493"/>
    </row>
    <row r="637">
      <c r="A637" s="323"/>
      <c r="B637" s="323"/>
      <c r="C637" s="323"/>
      <c r="D637" s="493"/>
      <c r="E637" s="493"/>
      <c r="F637" s="493"/>
      <c r="G637" s="493"/>
      <c r="H637" s="493"/>
      <c r="I637" s="493"/>
      <c r="J637" s="493"/>
      <c r="K637" s="493"/>
      <c r="L637" s="493"/>
      <c r="M637" s="493"/>
      <c r="N637" s="493"/>
      <c r="O637" s="493"/>
    </row>
    <row r="638">
      <c r="A638" s="323"/>
      <c r="B638" s="323"/>
      <c r="C638" s="323"/>
      <c r="D638" s="493"/>
      <c r="E638" s="493"/>
      <c r="F638" s="493"/>
      <c r="G638" s="493"/>
      <c r="H638" s="493"/>
      <c r="I638" s="493"/>
      <c r="J638" s="493"/>
      <c r="K638" s="493"/>
      <c r="L638" s="493"/>
      <c r="M638" s="493"/>
      <c r="N638" s="493"/>
      <c r="O638" s="493"/>
    </row>
    <row r="639">
      <c r="A639" s="323"/>
      <c r="B639" s="323"/>
      <c r="C639" s="323"/>
      <c r="D639" s="493"/>
      <c r="E639" s="493"/>
      <c r="F639" s="493"/>
      <c r="G639" s="493"/>
      <c r="H639" s="493"/>
      <c r="I639" s="493"/>
      <c r="J639" s="493"/>
      <c r="K639" s="493"/>
      <c r="L639" s="493"/>
      <c r="M639" s="493"/>
      <c r="N639" s="493"/>
      <c r="O639" s="493"/>
    </row>
    <row r="640">
      <c r="A640" s="323"/>
      <c r="B640" s="323"/>
      <c r="C640" s="323"/>
      <c r="D640" s="493"/>
      <c r="E640" s="493"/>
      <c r="F640" s="493"/>
      <c r="G640" s="493"/>
      <c r="H640" s="493"/>
      <c r="I640" s="493"/>
      <c r="J640" s="493"/>
      <c r="K640" s="493"/>
      <c r="L640" s="493"/>
      <c r="M640" s="493"/>
      <c r="N640" s="493"/>
      <c r="O640" s="493"/>
    </row>
    <row r="641">
      <c r="A641" s="323"/>
      <c r="B641" s="323"/>
      <c r="C641" s="323"/>
      <c r="D641" s="493"/>
      <c r="E641" s="493"/>
      <c r="F641" s="493"/>
      <c r="G641" s="493"/>
      <c r="H641" s="493"/>
      <c r="I641" s="493"/>
      <c r="J641" s="493"/>
      <c r="K641" s="493"/>
      <c r="L641" s="493"/>
      <c r="M641" s="493"/>
      <c r="N641" s="493"/>
      <c r="O641" s="493"/>
    </row>
    <row r="642">
      <c r="A642" s="323"/>
      <c r="B642" s="323"/>
      <c r="C642" s="323"/>
      <c r="D642" s="493"/>
      <c r="E642" s="493"/>
      <c r="F642" s="493"/>
      <c r="G642" s="493"/>
      <c r="H642" s="493"/>
      <c r="I642" s="493"/>
      <c r="J642" s="493"/>
      <c r="K642" s="493"/>
      <c r="L642" s="493"/>
      <c r="M642" s="493"/>
      <c r="N642" s="493"/>
      <c r="O642" s="493"/>
    </row>
    <row r="643">
      <c r="A643" s="323"/>
      <c r="B643" s="323"/>
      <c r="C643" s="323"/>
      <c r="D643" s="493"/>
      <c r="E643" s="493"/>
      <c r="F643" s="493"/>
      <c r="G643" s="493"/>
      <c r="H643" s="493"/>
      <c r="I643" s="493"/>
      <c r="J643" s="493"/>
      <c r="K643" s="493"/>
      <c r="L643" s="493"/>
      <c r="M643" s="493"/>
      <c r="N643" s="493"/>
      <c r="O643" s="493"/>
    </row>
    <row r="644">
      <c r="A644" s="323"/>
      <c r="B644" s="323"/>
      <c r="C644" s="323"/>
      <c r="D644" s="493"/>
      <c r="E644" s="493"/>
      <c r="F644" s="493"/>
      <c r="G644" s="493"/>
      <c r="H644" s="493"/>
      <c r="I644" s="493"/>
      <c r="J644" s="493"/>
      <c r="K644" s="493"/>
      <c r="L644" s="493"/>
      <c r="M644" s="493"/>
      <c r="N644" s="493"/>
      <c r="O644" s="493"/>
    </row>
    <row r="645">
      <c r="A645" s="323"/>
      <c r="B645" s="323"/>
      <c r="C645" s="323"/>
      <c r="D645" s="493"/>
      <c r="E645" s="493"/>
      <c r="F645" s="493"/>
      <c r="G645" s="493"/>
      <c r="H645" s="493"/>
      <c r="I645" s="493"/>
      <c r="J645" s="493"/>
      <c r="K645" s="493"/>
      <c r="L645" s="493"/>
      <c r="M645" s="493"/>
      <c r="N645" s="493"/>
      <c r="O645" s="493"/>
    </row>
    <row r="646">
      <c r="A646" s="323"/>
      <c r="B646" s="323"/>
      <c r="C646" s="323"/>
      <c r="D646" s="493"/>
      <c r="E646" s="493"/>
      <c r="F646" s="493"/>
      <c r="G646" s="493"/>
      <c r="H646" s="493"/>
      <c r="I646" s="493"/>
      <c r="J646" s="493"/>
      <c r="K646" s="493"/>
      <c r="L646" s="493"/>
      <c r="M646" s="493"/>
      <c r="N646" s="493"/>
      <c r="O646" s="493"/>
    </row>
    <row r="647">
      <c r="A647" s="323"/>
      <c r="B647" s="323"/>
      <c r="C647" s="323"/>
      <c r="D647" s="493"/>
      <c r="E647" s="493"/>
      <c r="F647" s="493"/>
      <c r="G647" s="493"/>
      <c r="H647" s="493"/>
      <c r="I647" s="493"/>
      <c r="J647" s="493"/>
      <c r="K647" s="493"/>
      <c r="L647" s="493"/>
      <c r="M647" s="493"/>
      <c r="N647" s="493"/>
      <c r="O647" s="493"/>
    </row>
    <row r="648">
      <c r="A648" s="323"/>
      <c r="B648" s="323"/>
      <c r="C648" s="323"/>
      <c r="D648" s="493"/>
      <c r="E648" s="493"/>
      <c r="F648" s="493"/>
      <c r="G648" s="493"/>
      <c r="H648" s="493"/>
      <c r="I648" s="493"/>
      <c r="J648" s="493"/>
      <c r="K648" s="493"/>
      <c r="L648" s="493"/>
      <c r="M648" s="493"/>
      <c r="N648" s="493"/>
      <c r="O648" s="493"/>
    </row>
    <row r="649">
      <c r="A649" s="323"/>
      <c r="B649" s="323"/>
      <c r="C649" s="323"/>
      <c r="D649" s="493"/>
      <c r="E649" s="493"/>
      <c r="F649" s="493"/>
      <c r="G649" s="493"/>
      <c r="H649" s="493"/>
      <c r="I649" s="493"/>
      <c r="J649" s="493"/>
      <c r="K649" s="493"/>
      <c r="L649" s="493"/>
      <c r="M649" s="493"/>
      <c r="N649" s="493"/>
      <c r="O649" s="493"/>
    </row>
    <row r="650">
      <c r="A650" s="323"/>
      <c r="B650" s="323"/>
      <c r="C650" s="323"/>
      <c r="D650" s="493"/>
      <c r="E650" s="493"/>
      <c r="F650" s="493"/>
      <c r="G650" s="493"/>
      <c r="H650" s="493"/>
      <c r="I650" s="493"/>
      <c r="J650" s="493"/>
      <c r="K650" s="493"/>
      <c r="L650" s="493"/>
      <c r="M650" s="493"/>
      <c r="N650" s="493"/>
      <c r="O650" s="493"/>
    </row>
    <row r="651">
      <c r="A651" s="323"/>
      <c r="B651" s="323"/>
      <c r="C651" s="323"/>
      <c r="D651" s="493"/>
      <c r="E651" s="493"/>
      <c r="F651" s="493"/>
      <c r="G651" s="493"/>
      <c r="H651" s="493"/>
      <c r="I651" s="493"/>
      <c r="J651" s="493"/>
      <c r="K651" s="493"/>
      <c r="L651" s="493"/>
      <c r="M651" s="493"/>
      <c r="N651" s="493"/>
      <c r="O651" s="493"/>
    </row>
    <row r="652">
      <c r="A652" s="323"/>
      <c r="B652" s="323"/>
      <c r="C652" s="323"/>
      <c r="D652" s="493"/>
      <c r="E652" s="493"/>
      <c r="F652" s="493"/>
      <c r="G652" s="493"/>
      <c r="H652" s="493"/>
      <c r="I652" s="493"/>
      <c r="J652" s="493"/>
      <c r="K652" s="493"/>
      <c r="L652" s="493"/>
      <c r="M652" s="493"/>
      <c r="N652" s="493"/>
      <c r="O652" s="493"/>
    </row>
    <row r="653">
      <c r="A653" s="323"/>
      <c r="B653" s="323"/>
      <c r="C653" s="323"/>
      <c r="D653" s="493"/>
      <c r="E653" s="493"/>
      <c r="F653" s="493"/>
      <c r="G653" s="493"/>
      <c r="H653" s="493"/>
      <c r="I653" s="493"/>
      <c r="J653" s="493"/>
      <c r="K653" s="493"/>
      <c r="L653" s="493"/>
      <c r="M653" s="493"/>
      <c r="N653" s="493"/>
      <c r="O653" s="493"/>
    </row>
    <row r="654">
      <c r="A654" s="323"/>
      <c r="B654" s="323"/>
      <c r="C654" s="323"/>
      <c r="D654" s="493"/>
      <c r="E654" s="493"/>
      <c r="F654" s="493"/>
      <c r="G654" s="493"/>
      <c r="H654" s="493"/>
      <c r="I654" s="493"/>
      <c r="J654" s="493"/>
      <c r="K654" s="493"/>
      <c r="L654" s="493"/>
      <c r="M654" s="493"/>
      <c r="N654" s="493"/>
      <c r="O654" s="493"/>
    </row>
    <row r="655">
      <c r="A655" s="323"/>
      <c r="B655" s="323"/>
      <c r="C655" s="323"/>
      <c r="D655" s="493"/>
      <c r="E655" s="493"/>
      <c r="F655" s="493"/>
      <c r="G655" s="493"/>
      <c r="H655" s="493"/>
      <c r="I655" s="493"/>
      <c r="J655" s="493"/>
      <c r="K655" s="493"/>
      <c r="L655" s="493"/>
      <c r="M655" s="493"/>
      <c r="N655" s="493"/>
      <c r="O655" s="493"/>
    </row>
    <row r="656">
      <c r="A656" s="323"/>
      <c r="B656" s="323"/>
      <c r="C656" s="323"/>
      <c r="D656" s="493"/>
      <c r="E656" s="493"/>
      <c r="F656" s="493"/>
      <c r="G656" s="493"/>
      <c r="H656" s="493"/>
      <c r="I656" s="493"/>
      <c r="J656" s="493"/>
      <c r="K656" s="493"/>
      <c r="L656" s="493"/>
      <c r="M656" s="493"/>
      <c r="N656" s="493"/>
      <c r="O656" s="493"/>
    </row>
    <row r="657">
      <c r="A657" s="323"/>
      <c r="B657" s="323"/>
      <c r="C657" s="323"/>
      <c r="D657" s="493"/>
      <c r="E657" s="493"/>
      <c r="F657" s="493"/>
      <c r="G657" s="493"/>
      <c r="H657" s="493"/>
      <c r="I657" s="493"/>
      <c r="J657" s="493"/>
      <c r="K657" s="493"/>
      <c r="L657" s="493"/>
      <c r="M657" s="493"/>
      <c r="N657" s="493"/>
      <c r="O657" s="493"/>
    </row>
    <row r="658">
      <c r="A658" s="323"/>
      <c r="B658" s="323"/>
      <c r="C658" s="323"/>
      <c r="D658" s="493"/>
      <c r="E658" s="493"/>
      <c r="F658" s="493"/>
      <c r="G658" s="493"/>
      <c r="H658" s="493"/>
      <c r="I658" s="493"/>
      <c r="J658" s="493"/>
      <c r="K658" s="493"/>
      <c r="L658" s="493"/>
      <c r="M658" s="493"/>
      <c r="N658" s="493"/>
      <c r="O658" s="493"/>
    </row>
    <row r="659">
      <c r="A659" s="323"/>
      <c r="B659" s="323"/>
      <c r="C659" s="323"/>
      <c r="D659" s="493"/>
      <c r="E659" s="493"/>
      <c r="F659" s="493"/>
      <c r="G659" s="493"/>
      <c r="H659" s="493"/>
      <c r="I659" s="493"/>
      <c r="J659" s="493"/>
      <c r="K659" s="493"/>
      <c r="L659" s="493"/>
      <c r="M659" s="493"/>
      <c r="N659" s="493"/>
      <c r="O659" s="493"/>
    </row>
    <row r="660">
      <c r="A660" s="323"/>
      <c r="B660" s="323"/>
      <c r="C660" s="323"/>
      <c r="D660" s="493"/>
      <c r="E660" s="493"/>
      <c r="F660" s="493"/>
      <c r="G660" s="493"/>
      <c r="H660" s="493"/>
      <c r="I660" s="493"/>
      <c r="J660" s="493"/>
      <c r="K660" s="493"/>
      <c r="L660" s="493"/>
      <c r="M660" s="493"/>
      <c r="N660" s="493"/>
      <c r="O660" s="493"/>
    </row>
    <row r="661">
      <c r="A661" s="323"/>
      <c r="B661" s="323"/>
      <c r="C661" s="323"/>
      <c r="D661" s="493"/>
      <c r="E661" s="493"/>
      <c r="F661" s="493"/>
      <c r="G661" s="493"/>
      <c r="H661" s="493"/>
      <c r="I661" s="493"/>
      <c r="J661" s="493"/>
      <c r="K661" s="493"/>
      <c r="L661" s="493"/>
      <c r="M661" s="493"/>
      <c r="N661" s="493"/>
      <c r="O661" s="493"/>
    </row>
    <row r="662">
      <c r="A662" s="323"/>
      <c r="B662" s="323"/>
      <c r="C662" s="323"/>
      <c r="D662" s="493"/>
      <c r="E662" s="493"/>
      <c r="F662" s="493"/>
      <c r="G662" s="493"/>
      <c r="H662" s="493"/>
      <c r="I662" s="493"/>
      <c r="J662" s="493"/>
      <c r="K662" s="493"/>
      <c r="L662" s="493"/>
      <c r="M662" s="493"/>
      <c r="N662" s="493"/>
      <c r="O662" s="493"/>
    </row>
    <row r="663">
      <c r="A663" s="323"/>
      <c r="B663" s="323"/>
      <c r="C663" s="323"/>
      <c r="D663" s="493"/>
      <c r="E663" s="493"/>
      <c r="F663" s="493"/>
      <c r="G663" s="493"/>
      <c r="H663" s="493"/>
      <c r="I663" s="493"/>
      <c r="J663" s="493"/>
      <c r="K663" s="493"/>
      <c r="L663" s="493"/>
      <c r="M663" s="493"/>
      <c r="N663" s="493"/>
      <c r="O663" s="493"/>
    </row>
    <row r="664">
      <c r="A664" s="323"/>
      <c r="B664" s="323"/>
      <c r="C664" s="323"/>
      <c r="D664" s="493"/>
      <c r="E664" s="493"/>
      <c r="F664" s="493"/>
      <c r="G664" s="493"/>
      <c r="H664" s="493"/>
      <c r="I664" s="493"/>
      <c r="J664" s="493"/>
      <c r="K664" s="493"/>
      <c r="L664" s="493"/>
      <c r="M664" s="493"/>
      <c r="N664" s="493"/>
      <c r="O664" s="493"/>
    </row>
    <row r="665">
      <c r="A665" s="323"/>
      <c r="B665" s="323"/>
      <c r="C665" s="323"/>
      <c r="D665" s="493"/>
      <c r="E665" s="493"/>
      <c r="F665" s="493"/>
      <c r="G665" s="493"/>
      <c r="H665" s="493"/>
      <c r="I665" s="493"/>
      <c r="J665" s="493"/>
      <c r="K665" s="493"/>
      <c r="L665" s="493"/>
      <c r="M665" s="493"/>
      <c r="N665" s="493"/>
      <c r="O665" s="493"/>
    </row>
    <row r="666">
      <c r="A666" s="323"/>
      <c r="B666" s="323"/>
      <c r="C666" s="323"/>
      <c r="D666" s="493"/>
      <c r="E666" s="493"/>
      <c r="F666" s="493"/>
      <c r="G666" s="493"/>
      <c r="H666" s="493"/>
      <c r="I666" s="493"/>
      <c r="J666" s="493"/>
      <c r="K666" s="493"/>
      <c r="L666" s="493"/>
      <c r="M666" s="493"/>
      <c r="N666" s="493"/>
      <c r="O666" s="493"/>
    </row>
    <row r="667">
      <c r="A667" s="323"/>
      <c r="B667" s="323"/>
      <c r="C667" s="323"/>
      <c r="D667" s="493"/>
      <c r="E667" s="493"/>
      <c r="F667" s="493"/>
      <c r="G667" s="493"/>
      <c r="H667" s="493"/>
      <c r="I667" s="493"/>
      <c r="J667" s="493"/>
      <c r="K667" s="493"/>
      <c r="L667" s="493"/>
      <c r="M667" s="493"/>
      <c r="N667" s="493"/>
      <c r="O667" s="493"/>
    </row>
    <row r="668">
      <c r="A668" s="323"/>
      <c r="B668" s="323"/>
      <c r="C668" s="323"/>
      <c r="D668" s="493"/>
      <c r="E668" s="493"/>
      <c r="F668" s="493"/>
      <c r="G668" s="493"/>
      <c r="H668" s="493"/>
      <c r="I668" s="493"/>
      <c r="J668" s="493"/>
      <c r="K668" s="493"/>
      <c r="L668" s="493"/>
      <c r="M668" s="493"/>
      <c r="N668" s="493"/>
      <c r="O668" s="493"/>
    </row>
    <row r="669">
      <c r="A669" s="323"/>
      <c r="B669" s="323"/>
      <c r="C669" s="323"/>
      <c r="D669" s="493"/>
      <c r="E669" s="493"/>
      <c r="F669" s="493"/>
      <c r="G669" s="493"/>
      <c r="H669" s="493"/>
      <c r="I669" s="493"/>
      <c r="J669" s="493"/>
      <c r="K669" s="493"/>
      <c r="L669" s="493"/>
      <c r="M669" s="493"/>
      <c r="N669" s="493"/>
      <c r="O669" s="493"/>
    </row>
    <row r="670">
      <c r="A670" s="323"/>
      <c r="B670" s="323"/>
      <c r="C670" s="323"/>
      <c r="D670" s="493"/>
      <c r="E670" s="493"/>
      <c r="F670" s="493"/>
      <c r="G670" s="493"/>
      <c r="H670" s="493"/>
      <c r="I670" s="493"/>
      <c r="J670" s="493"/>
      <c r="K670" s="493"/>
      <c r="L670" s="493"/>
      <c r="M670" s="493"/>
      <c r="N670" s="493"/>
      <c r="O670" s="493"/>
    </row>
    <row r="671">
      <c r="A671" s="323"/>
      <c r="B671" s="323"/>
      <c r="C671" s="323"/>
      <c r="D671" s="493"/>
      <c r="E671" s="493"/>
      <c r="F671" s="493"/>
      <c r="G671" s="493"/>
      <c r="H671" s="493"/>
      <c r="I671" s="493"/>
      <c r="J671" s="493"/>
      <c r="K671" s="493"/>
      <c r="L671" s="493"/>
      <c r="M671" s="493"/>
      <c r="N671" s="493"/>
      <c r="O671" s="493"/>
    </row>
    <row r="672">
      <c r="A672" s="323"/>
      <c r="B672" s="323"/>
      <c r="C672" s="323"/>
      <c r="D672" s="493"/>
      <c r="E672" s="493"/>
      <c r="F672" s="493"/>
      <c r="G672" s="493"/>
      <c r="H672" s="493"/>
      <c r="I672" s="493"/>
      <c r="J672" s="493"/>
      <c r="K672" s="493"/>
      <c r="L672" s="493"/>
      <c r="M672" s="493"/>
      <c r="N672" s="493"/>
      <c r="O672" s="493"/>
    </row>
    <row r="673">
      <c r="A673" s="323"/>
      <c r="B673" s="323"/>
      <c r="C673" s="323"/>
      <c r="D673" s="493"/>
      <c r="E673" s="493"/>
      <c r="F673" s="493"/>
      <c r="G673" s="493"/>
      <c r="H673" s="493"/>
      <c r="I673" s="493"/>
      <c r="J673" s="493"/>
      <c r="K673" s="493"/>
      <c r="L673" s="493"/>
      <c r="M673" s="493"/>
      <c r="N673" s="493"/>
      <c r="O673" s="493"/>
    </row>
    <row r="674">
      <c r="A674" s="323"/>
      <c r="B674" s="323"/>
      <c r="C674" s="323"/>
      <c r="D674" s="493"/>
      <c r="E674" s="493"/>
      <c r="F674" s="493"/>
      <c r="G674" s="493"/>
      <c r="H674" s="493"/>
      <c r="I674" s="493"/>
      <c r="J674" s="493"/>
      <c r="K674" s="493"/>
      <c r="L674" s="493"/>
      <c r="M674" s="493"/>
      <c r="N674" s="493"/>
      <c r="O674" s="493"/>
    </row>
    <row r="675">
      <c r="A675" s="323"/>
      <c r="B675" s="323"/>
      <c r="C675" s="323"/>
      <c r="D675" s="493"/>
      <c r="E675" s="493"/>
      <c r="F675" s="493"/>
      <c r="G675" s="493"/>
      <c r="H675" s="493"/>
      <c r="I675" s="493"/>
      <c r="J675" s="493"/>
      <c r="K675" s="493"/>
      <c r="L675" s="493"/>
      <c r="M675" s="493"/>
      <c r="N675" s="493"/>
      <c r="O675" s="493"/>
    </row>
    <row r="676">
      <c r="A676" s="323"/>
      <c r="B676" s="323"/>
      <c r="C676" s="323"/>
      <c r="D676" s="493"/>
      <c r="E676" s="493"/>
      <c r="F676" s="493"/>
      <c r="G676" s="493"/>
      <c r="H676" s="493"/>
      <c r="I676" s="493"/>
      <c r="J676" s="493"/>
      <c r="K676" s="493"/>
      <c r="L676" s="493"/>
      <c r="M676" s="493"/>
      <c r="N676" s="493"/>
      <c r="O676" s="493"/>
    </row>
    <row r="677">
      <c r="A677" s="323"/>
      <c r="B677" s="323"/>
      <c r="C677" s="323"/>
      <c r="D677" s="493"/>
      <c r="E677" s="493"/>
      <c r="F677" s="493"/>
      <c r="G677" s="493"/>
      <c r="H677" s="493"/>
      <c r="I677" s="493"/>
      <c r="J677" s="493"/>
      <c r="K677" s="493"/>
      <c r="L677" s="493"/>
      <c r="M677" s="493"/>
      <c r="N677" s="493"/>
      <c r="O677" s="493"/>
    </row>
    <row r="678">
      <c r="A678" s="323"/>
      <c r="B678" s="323"/>
      <c r="C678" s="323"/>
      <c r="D678" s="493"/>
      <c r="E678" s="493"/>
      <c r="F678" s="493"/>
      <c r="G678" s="493"/>
      <c r="H678" s="493"/>
      <c r="I678" s="493"/>
      <c r="J678" s="493"/>
      <c r="K678" s="493"/>
      <c r="L678" s="493"/>
      <c r="M678" s="493"/>
      <c r="N678" s="493"/>
      <c r="O678" s="493"/>
    </row>
    <row r="679">
      <c r="A679" s="323"/>
      <c r="B679" s="323"/>
      <c r="C679" s="323"/>
      <c r="D679" s="493"/>
      <c r="E679" s="493"/>
      <c r="F679" s="493"/>
      <c r="G679" s="493"/>
      <c r="H679" s="493"/>
      <c r="I679" s="493"/>
      <c r="J679" s="493"/>
      <c r="K679" s="493"/>
      <c r="L679" s="493"/>
      <c r="M679" s="493"/>
      <c r="N679" s="493"/>
      <c r="O679" s="493"/>
    </row>
    <row r="680">
      <c r="A680" s="323"/>
      <c r="B680" s="323"/>
      <c r="C680" s="323"/>
      <c r="D680" s="493"/>
      <c r="E680" s="493"/>
      <c r="F680" s="493"/>
      <c r="G680" s="493"/>
      <c r="H680" s="493"/>
      <c r="I680" s="493"/>
      <c r="J680" s="493"/>
      <c r="K680" s="493"/>
      <c r="L680" s="493"/>
      <c r="M680" s="493"/>
      <c r="N680" s="493"/>
      <c r="O680" s="493"/>
    </row>
    <row r="681">
      <c r="A681" s="323"/>
      <c r="B681" s="323"/>
      <c r="C681" s="323"/>
      <c r="D681" s="493"/>
      <c r="E681" s="493"/>
      <c r="F681" s="493"/>
      <c r="G681" s="493"/>
      <c r="H681" s="493"/>
      <c r="I681" s="493"/>
      <c r="J681" s="493"/>
      <c r="K681" s="493"/>
      <c r="L681" s="493"/>
      <c r="M681" s="493"/>
      <c r="N681" s="493"/>
      <c r="O681" s="493"/>
    </row>
    <row r="682">
      <c r="A682" s="323"/>
      <c r="B682" s="323"/>
      <c r="C682" s="323"/>
      <c r="D682" s="493"/>
      <c r="E682" s="493"/>
      <c r="F682" s="493"/>
      <c r="G682" s="493"/>
      <c r="H682" s="493"/>
      <c r="I682" s="493"/>
      <c r="J682" s="493"/>
      <c r="K682" s="493"/>
      <c r="L682" s="493"/>
      <c r="M682" s="493"/>
      <c r="N682" s="493"/>
      <c r="O682" s="493"/>
    </row>
    <row r="683">
      <c r="A683" s="323"/>
      <c r="B683" s="323"/>
      <c r="C683" s="323"/>
      <c r="D683" s="493"/>
      <c r="E683" s="493"/>
      <c r="F683" s="493"/>
      <c r="G683" s="493"/>
      <c r="H683" s="493"/>
      <c r="I683" s="493"/>
      <c r="J683" s="493"/>
      <c r="K683" s="493"/>
      <c r="L683" s="493"/>
      <c r="M683" s="493"/>
      <c r="N683" s="493"/>
      <c r="O683" s="493"/>
    </row>
    <row r="684">
      <c r="A684" s="323"/>
      <c r="B684" s="323"/>
      <c r="C684" s="323"/>
      <c r="D684" s="493"/>
      <c r="E684" s="493"/>
      <c r="F684" s="493"/>
      <c r="G684" s="493"/>
      <c r="H684" s="493"/>
      <c r="I684" s="493"/>
      <c r="J684" s="493"/>
      <c r="K684" s="493"/>
      <c r="L684" s="493"/>
      <c r="M684" s="493"/>
      <c r="N684" s="493"/>
      <c r="O684" s="493"/>
    </row>
    <row r="685">
      <c r="A685" s="323"/>
      <c r="B685" s="323"/>
      <c r="C685" s="323"/>
      <c r="D685" s="493"/>
      <c r="E685" s="493"/>
      <c r="F685" s="493"/>
      <c r="G685" s="493"/>
      <c r="H685" s="493"/>
      <c r="I685" s="493"/>
      <c r="J685" s="493"/>
      <c r="K685" s="493"/>
      <c r="L685" s="493"/>
      <c r="M685" s="493"/>
      <c r="N685" s="493"/>
      <c r="O685" s="493"/>
    </row>
    <row r="686">
      <c r="A686" s="323"/>
      <c r="B686" s="323"/>
      <c r="C686" s="323"/>
      <c r="D686" s="493"/>
      <c r="E686" s="493"/>
      <c r="F686" s="493"/>
      <c r="G686" s="493"/>
      <c r="H686" s="493"/>
      <c r="I686" s="493"/>
      <c r="J686" s="493"/>
      <c r="K686" s="493"/>
      <c r="L686" s="493"/>
      <c r="M686" s="493"/>
      <c r="N686" s="493"/>
      <c r="O686" s="493"/>
    </row>
    <row r="687">
      <c r="A687" s="323"/>
      <c r="B687" s="323"/>
      <c r="C687" s="323"/>
      <c r="D687" s="493"/>
      <c r="E687" s="493"/>
      <c r="F687" s="493"/>
      <c r="G687" s="493"/>
      <c r="H687" s="493"/>
      <c r="I687" s="493"/>
      <c r="J687" s="493"/>
      <c r="K687" s="493"/>
      <c r="L687" s="493"/>
      <c r="M687" s="493"/>
      <c r="N687" s="493"/>
      <c r="O687" s="493"/>
    </row>
    <row r="688">
      <c r="A688" s="323"/>
      <c r="B688" s="323"/>
      <c r="C688" s="323"/>
      <c r="D688" s="493"/>
      <c r="E688" s="493"/>
      <c r="F688" s="493"/>
      <c r="G688" s="493"/>
      <c r="H688" s="493"/>
      <c r="I688" s="493"/>
      <c r="J688" s="493"/>
      <c r="K688" s="493"/>
      <c r="L688" s="493"/>
      <c r="M688" s="493"/>
      <c r="N688" s="493"/>
      <c r="O688" s="493"/>
    </row>
    <row r="689">
      <c r="A689" s="323"/>
      <c r="B689" s="323"/>
      <c r="C689" s="323"/>
      <c r="D689" s="493"/>
      <c r="E689" s="493"/>
      <c r="F689" s="493"/>
      <c r="G689" s="493"/>
      <c r="H689" s="493"/>
      <c r="I689" s="493"/>
      <c r="J689" s="493"/>
      <c r="K689" s="493"/>
      <c r="L689" s="493"/>
      <c r="M689" s="493"/>
      <c r="N689" s="493"/>
      <c r="O689" s="493"/>
    </row>
    <row r="690">
      <c r="A690" s="323"/>
      <c r="B690" s="323"/>
      <c r="C690" s="323"/>
      <c r="D690" s="493"/>
      <c r="E690" s="493"/>
      <c r="F690" s="493"/>
      <c r="G690" s="493"/>
      <c r="H690" s="493"/>
      <c r="I690" s="493"/>
      <c r="J690" s="493"/>
      <c r="K690" s="493"/>
      <c r="L690" s="493"/>
      <c r="M690" s="493"/>
      <c r="N690" s="493"/>
      <c r="O690" s="493"/>
    </row>
    <row r="691">
      <c r="A691" s="323"/>
      <c r="B691" s="323"/>
      <c r="C691" s="323"/>
      <c r="D691" s="493"/>
      <c r="E691" s="493"/>
      <c r="F691" s="493"/>
      <c r="G691" s="493"/>
      <c r="H691" s="493"/>
      <c r="I691" s="493"/>
      <c r="J691" s="493"/>
      <c r="K691" s="493"/>
      <c r="L691" s="493"/>
      <c r="M691" s="493"/>
      <c r="N691" s="493"/>
      <c r="O691" s="493"/>
    </row>
    <row r="692">
      <c r="A692" s="323"/>
      <c r="B692" s="323"/>
      <c r="C692" s="323"/>
      <c r="D692" s="493"/>
      <c r="E692" s="493"/>
      <c r="F692" s="493"/>
      <c r="G692" s="493"/>
      <c r="H692" s="493"/>
      <c r="I692" s="493"/>
      <c r="J692" s="493"/>
      <c r="K692" s="493"/>
      <c r="L692" s="493"/>
      <c r="M692" s="493"/>
      <c r="N692" s="493"/>
      <c r="O692" s="493"/>
    </row>
    <row r="693">
      <c r="A693" s="323"/>
      <c r="B693" s="323"/>
      <c r="C693" s="323"/>
      <c r="D693" s="493"/>
      <c r="E693" s="493"/>
      <c r="F693" s="493"/>
      <c r="G693" s="493"/>
      <c r="H693" s="493"/>
      <c r="I693" s="493"/>
      <c r="J693" s="493"/>
      <c r="K693" s="493"/>
      <c r="L693" s="493"/>
      <c r="M693" s="493"/>
      <c r="N693" s="493"/>
      <c r="O693" s="493"/>
    </row>
    <row r="694">
      <c r="A694" s="323"/>
      <c r="B694" s="323"/>
      <c r="C694" s="323"/>
      <c r="D694" s="493"/>
      <c r="E694" s="493"/>
      <c r="F694" s="493"/>
      <c r="G694" s="493"/>
      <c r="H694" s="493"/>
      <c r="I694" s="493"/>
      <c r="J694" s="493"/>
      <c r="K694" s="493"/>
      <c r="L694" s="493"/>
      <c r="M694" s="493"/>
      <c r="N694" s="493"/>
      <c r="O694" s="493"/>
    </row>
    <row r="695">
      <c r="A695" s="323"/>
      <c r="B695" s="323"/>
      <c r="C695" s="323"/>
      <c r="D695" s="493"/>
      <c r="E695" s="493"/>
      <c r="F695" s="493"/>
      <c r="G695" s="493"/>
      <c r="H695" s="493"/>
      <c r="I695" s="493"/>
      <c r="J695" s="493"/>
      <c r="K695" s="493"/>
      <c r="L695" s="493"/>
      <c r="M695" s="493"/>
      <c r="N695" s="493"/>
      <c r="O695" s="493"/>
    </row>
    <row r="696">
      <c r="A696" s="323"/>
      <c r="B696" s="323"/>
      <c r="C696" s="323"/>
      <c r="D696" s="493"/>
      <c r="E696" s="493"/>
      <c r="F696" s="493"/>
      <c r="G696" s="493"/>
      <c r="H696" s="493"/>
      <c r="I696" s="493"/>
      <c r="J696" s="493"/>
      <c r="K696" s="493"/>
      <c r="L696" s="493"/>
      <c r="M696" s="493"/>
      <c r="N696" s="493"/>
      <c r="O696" s="493"/>
    </row>
    <row r="697">
      <c r="A697" s="323"/>
      <c r="B697" s="323"/>
      <c r="C697" s="323"/>
      <c r="D697" s="493"/>
      <c r="E697" s="493"/>
      <c r="F697" s="493"/>
      <c r="G697" s="493"/>
      <c r="H697" s="493"/>
      <c r="I697" s="493"/>
      <c r="J697" s="493"/>
      <c r="K697" s="493"/>
      <c r="L697" s="493"/>
      <c r="M697" s="493"/>
      <c r="N697" s="493"/>
      <c r="O697" s="493"/>
    </row>
    <row r="698">
      <c r="A698" s="323"/>
      <c r="B698" s="323"/>
      <c r="C698" s="323"/>
      <c r="D698" s="493"/>
      <c r="E698" s="493"/>
      <c r="F698" s="493"/>
      <c r="G698" s="493"/>
      <c r="H698" s="493"/>
      <c r="I698" s="493"/>
      <c r="J698" s="493"/>
      <c r="K698" s="493"/>
      <c r="L698" s="493"/>
      <c r="M698" s="493"/>
      <c r="N698" s="493"/>
      <c r="O698" s="493"/>
    </row>
    <row r="699">
      <c r="A699" s="323"/>
      <c r="B699" s="323"/>
      <c r="C699" s="323"/>
      <c r="D699" s="493"/>
      <c r="E699" s="493"/>
      <c r="F699" s="493"/>
      <c r="G699" s="493"/>
      <c r="H699" s="493"/>
      <c r="I699" s="493"/>
      <c r="J699" s="493"/>
      <c r="K699" s="493"/>
      <c r="L699" s="493"/>
      <c r="M699" s="493"/>
      <c r="N699" s="493"/>
      <c r="O699" s="493"/>
    </row>
    <row r="700">
      <c r="A700" s="323"/>
      <c r="B700" s="323"/>
      <c r="C700" s="323"/>
      <c r="D700" s="493"/>
      <c r="E700" s="493"/>
      <c r="F700" s="493"/>
      <c r="G700" s="493"/>
      <c r="H700" s="493"/>
      <c r="I700" s="493"/>
      <c r="J700" s="493"/>
      <c r="K700" s="493"/>
      <c r="L700" s="493"/>
      <c r="M700" s="493"/>
      <c r="N700" s="493"/>
      <c r="O700" s="493"/>
    </row>
    <row r="701">
      <c r="A701" s="323"/>
      <c r="B701" s="323"/>
      <c r="C701" s="323"/>
      <c r="D701" s="493"/>
      <c r="E701" s="493"/>
      <c r="F701" s="493"/>
      <c r="G701" s="493"/>
      <c r="H701" s="493"/>
      <c r="I701" s="493"/>
      <c r="J701" s="493"/>
      <c r="K701" s="493"/>
      <c r="L701" s="493"/>
      <c r="M701" s="493"/>
      <c r="N701" s="493"/>
      <c r="O701" s="493"/>
    </row>
    <row r="702">
      <c r="A702" s="323"/>
      <c r="B702" s="323"/>
      <c r="C702" s="323"/>
      <c r="D702" s="493"/>
      <c r="E702" s="493"/>
      <c r="F702" s="493"/>
      <c r="G702" s="493"/>
      <c r="H702" s="493"/>
      <c r="I702" s="493"/>
      <c r="J702" s="493"/>
      <c r="K702" s="493"/>
      <c r="L702" s="493"/>
      <c r="M702" s="493"/>
      <c r="N702" s="493"/>
      <c r="O702" s="493"/>
    </row>
    <row r="703">
      <c r="A703" s="323"/>
      <c r="B703" s="323"/>
      <c r="C703" s="323"/>
      <c r="D703" s="493"/>
      <c r="E703" s="493"/>
      <c r="F703" s="493"/>
      <c r="G703" s="493"/>
      <c r="H703" s="493"/>
      <c r="I703" s="493"/>
      <c r="J703" s="493"/>
      <c r="K703" s="493"/>
      <c r="L703" s="493"/>
      <c r="M703" s="493"/>
      <c r="N703" s="493"/>
      <c r="O703" s="493"/>
    </row>
    <row r="704">
      <c r="A704" s="323"/>
      <c r="B704" s="323"/>
      <c r="C704" s="323"/>
      <c r="D704" s="493"/>
      <c r="E704" s="493"/>
      <c r="F704" s="493"/>
      <c r="G704" s="493"/>
      <c r="H704" s="493"/>
      <c r="I704" s="493"/>
      <c r="J704" s="493"/>
      <c r="K704" s="493"/>
      <c r="L704" s="493"/>
      <c r="M704" s="493"/>
      <c r="N704" s="493"/>
      <c r="O704" s="493"/>
    </row>
    <row r="705">
      <c r="A705" s="323"/>
      <c r="B705" s="323"/>
      <c r="C705" s="323"/>
      <c r="D705" s="493"/>
      <c r="E705" s="493"/>
      <c r="F705" s="493"/>
      <c r="G705" s="493"/>
      <c r="H705" s="493"/>
      <c r="I705" s="493"/>
      <c r="J705" s="493"/>
      <c r="K705" s="493"/>
      <c r="L705" s="493"/>
      <c r="M705" s="493"/>
      <c r="N705" s="493"/>
      <c r="O705" s="493"/>
    </row>
    <row r="706">
      <c r="A706" s="323"/>
      <c r="B706" s="323"/>
      <c r="C706" s="323"/>
      <c r="D706" s="493"/>
      <c r="E706" s="493"/>
      <c r="F706" s="493"/>
      <c r="G706" s="493"/>
      <c r="H706" s="493"/>
      <c r="I706" s="493"/>
      <c r="J706" s="493"/>
      <c r="K706" s="493"/>
      <c r="L706" s="493"/>
      <c r="M706" s="493"/>
      <c r="N706" s="493"/>
      <c r="O706" s="493"/>
    </row>
    <row r="707">
      <c r="A707" s="323"/>
      <c r="B707" s="323"/>
      <c r="C707" s="323"/>
      <c r="D707" s="493"/>
      <c r="E707" s="493"/>
      <c r="F707" s="493"/>
      <c r="G707" s="493"/>
      <c r="H707" s="493"/>
      <c r="I707" s="493"/>
      <c r="J707" s="493"/>
      <c r="K707" s="493"/>
      <c r="L707" s="493"/>
      <c r="M707" s="493"/>
      <c r="N707" s="493"/>
      <c r="O707" s="493"/>
    </row>
    <row r="708">
      <c r="A708" s="323"/>
      <c r="B708" s="323"/>
      <c r="C708" s="323"/>
      <c r="D708" s="493"/>
      <c r="E708" s="493"/>
      <c r="F708" s="493"/>
      <c r="G708" s="493"/>
      <c r="H708" s="493"/>
      <c r="I708" s="493"/>
      <c r="J708" s="493"/>
      <c r="K708" s="493"/>
      <c r="L708" s="493"/>
      <c r="M708" s="493"/>
      <c r="N708" s="493"/>
      <c r="O708" s="493"/>
    </row>
    <row r="709">
      <c r="A709" s="323"/>
      <c r="B709" s="323"/>
      <c r="C709" s="323"/>
      <c r="D709" s="493"/>
      <c r="E709" s="493"/>
      <c r="F709" s="493"/>
      <c r="G709" s="493"/>
      <c r="H709" s="493"/>
      <c r="I709" s="493"/>
      <c r="J709" s="493"/>
      <c r="K709" s="493"/>
      <c r="L709" s="493"/>
      <c r="M709" s="493"/>
      <c r="N709" s="493"/>
      <c r="O709" s="493"/>
    </row>
    <row r="710">
      <c r="A710" s="323"/>
      <c r="B710" s="323"/>
      <c r="C710" s="323"/>
      <c r="D710" s="493"/>
      <c r="E710" s="493"/>
      <c r="F710" s="493"/>
      <c r="G710" s="493"/>
      <c r="H710" s="493"/>
      <c r="I710" s="493"/>
      <c r="J710" s="493"/>
      <c r="K710" s="493"/>
      <c r="L710" s="493"/>
      <c r="M710" s="493"/>
      <c r="N710" s="493"/>
      <c r="O710" s="493"/>
    </row>
    <row r="711">
      <c r="A711" s="323"/>
      <c r="B711" s="323"/>
      <c r="C711" s="323"/>
      <c r="D711" s="493"/>
      <c r="E711" s="493"/>
      <c r="F711" s="493"/>
      <c r="G711" s="493"/>
      <c r="H711" s="493"/>
      <c r="I711" s="493"/>
      <c r="J711" s="493"/>
      <c r="K711" s="493"/>
      <c r="L711" s="493"/>
      <c r="M711" s="493"/>
      <c r="N711" s="493"/>
      <c r="O711" s="493"/>
    </row>
    <row r="712">
      <c r="A712" s="323"/>
      <c r="B712" s="323"/>
      <c r="C712" s="323"/>
      <c r="D712" s="493"/>
      <c r="E712" s="493"/>
      <c r="F712" s="493"/>
      <c r="G712" s="493"/>
      <c r="H712" s="493"/>
      <c r="I712" s="493"/>
      <c r="J712" s="493"/>
      <c r="K712" s="493"/>
      <c r="L712" s="493"/>
      <c r="M712" s="493"/>
      <c r="N712" s="493"/>
      <c r="O712" s="493"/>
    </row>
    <row r="713">
      <c r="A713" s="323"/>
      <c r="B713" s="323"/>
      <c r="C713" s="323"/>
      <c r="D713" s="493"/>
      <c r="E713" s="493"/>
      <c r="F713" s="493"/>
      <c r="G713" s="493"/>
      <c r="H713" s="493"/>
      <c r="I713" s="493"/>
      <c r="J713" s="493"/>
      <c r="K713" s="493"/>
      <c r="L713" s="493"/>
      <c r="M713" s="493"/>
      <c r="N713" s="493"/>
      <c r="O713" s="493"/>
    </row>
    <row r="714">
      <c r="A714" s="323"/>
      <c r="B714" s="323"/>
      <c r="C714" s="323"/>
      <c r="D714" s="493"/>
      <c r="E714" s="493"/>
      <c r="F714" s="493"/>
      <c r="G714" s="493"/>
      <c r="H714" s="493"/>
      <c r="I714" s="493"/>
      <c r="J714" s="493"/>
      <c r="K714" s="493"/>
      <c r="L714" s="493"/>
      <c r="M714" s="493"/>
      <c r="N714" s="493"/>
      <c r="O714" s="493"/>
    </row>
    <row r="715">
      <c r="A715" s="323"/>
      <c r="B715" s="323"/>
      <c r="C715" s="323"/>
      <c r="D715" s="493"/>
      <c r="E715" s="493"/>
      <c r="F715" s="493"/>
      <c r="G715" s="493"/>
      <c r="H715" s="493"/>
      <c r="I715" s="493"/>
      <c r="J715" s="493"/>
      <c r="K715" s="493"/>
      <c r="L715" s="493"/>
      <c r="M715" s="493"/>
      <c r="N715" s="493"/>
      <c r="O715" s="493"/>
    </row>
    <row r="716">
      <c r="A716" s="323"/>
      <c r="B716" s="323"/>
      <c r="C716" s="323"/>
      <c r="D716" s="493"/>
      <c r="E716" s="493"/>
      <c r="F716" s="493"/>
      <c r="G716" s="493"/>
      <c r="H716" s="493"/>
      <c r="I716" s="493"/>
      <c r="J716" s="493"/>
      <c r="K716" s="493"/>
      <c r="L716" s="493"/>
      <c r="M716" s="493"/>
      <c r="N716" s="493"/>
      <c r="O716" s="493"/>
    </row>
    <row r="717">
      <c r="A717" s="323"/>
      <c r="B717" s="323"/>
      <c r="C717" s="323"/>
      <c r="D717" s="493"/>
      <c r="E717" s="493"/>
      <c r="F717" s="493"/>
      <c r="G717" s="493"/>
      <c r="H717" s="493"/>
      <c r="I717" s="493"/>
      <c r="J717" s="493"/>
      <c r="K717" s="493"/>
      <c r="L717" s="493"/>
      <c r="M717" s="493"/>
      <c r="N717" s="493"/>
      <c r="O717" s="493"/>
    </row>
    <row r="718">
      <c r="A718" s="323"/>
      <c r="B718" s="323"/>
      <c r="C718" s="323"/>
      <c r="D718" s="493"/>
      <c r="E718" s="493"/>
      <c r="F718" s="493"/>
      <c r="G718" s="493"/>
      <c r="H718" s="493"/>
      <c r="I718" s="493"/>
      <c r="J718" s="493"/>
      <c r="K718" s="493"/>
      <c r="L718" s="493"/>
      <c r="M718" s="493"/>
      <c r="N718" s="493"/>
      <c r="O718" s="493"/>
    </row>
    <row r="719">
      <c r="A719" s="323"/>
      <c r="B719" s="323"/>
      <c r="C719" s="323"/>
      <c r="D719" s="493"/>
      <c r="E719" s="493"/>
      <c r="F719" s="493"/>
      <c r="G719" s="493"/>
      <c r="H719" s="493"/>
      <c r="I719" s="493"/>
      <c r="J719" s="493"/>
      <c r="K719" s="493"/>
      <c r="L719" s="493"/>
      <c r="M719" s="493"/>
      <c r="N719" s="493"/>
      <c r="O719" s="493"/>
    </row>
    <row r="720">
      <c r="A720" s="323"/>
      <c r="B720" s="323"/>
      <c r="C720" s="323"/>
      <c r="D720" s="493"/>
      <c r="E720" s="493"/>
      <c r="F720" s="493"/>
      <c r="G720" s="493"/>
      <c r="H720" s="493"/>
      <c r="I720" s="493"/>
      <c r="J720" s="493"/>
      <c r="K720" s="493"/>
      <c r="L720" s="493"/>
      <c r="M720" s="493"/>
      <c r="N720" s="493"/>
      <c r="O720" s="493"/>
    </row>
    <row r="721">
      <c r="A721" s="323"/>
      <c r="B721" s="323"/>
      <c r="C721" s="323"/>
      <c r="D721" s="493"/>
      <c r="E721" s="493"/>
      <c r="F721" s="493"/>
      <c r="G721" s="493"/>
      <c r="H721" s="493"/>
      <c r="I721" s="493"/>
      <c r="J721" s="493"/>
      <c r="K721" s="493"/>
      <c r="L721" s="493"/>
      <c r="M721" s="493"/>
      <c r="N721" s="493"/>
      <c r="O721" s="493"/>
    </row>
    <row r="722">
      <c r="A722" s="323"/>
      <c r="B722" s="323"/>
      <c r="C722" s="323"/>
      <c r="D722" s="493"/>
      <c r="E722" s="493"/>
      <c r="F722" s="493"/>
      <c r="G722" s="493"/>
      <c r="H722" s="493"/>
      <c r="I722" s="493"/>
      <c r="J722" s="493"/>
      <c r="K722" s="493"/>
      <c r="L722" s="493"/>
      <c r="M722" s="493"/>
      <c r="N722" s="493"/>
      <c r="O722" s="493"/>
    </row>
    <row r="723">
      <c r="A723" s="323"/>
      <c r="B723" s="323"/>
      <c r="C723" s="323"/>
      <c r="D723" s="493"/>
      <c r="E723" s="493"/>
      <c r="F723" s="493"/>
      <c r="G723" s="493"/>
      <c r="H723" s="493"/>
      <c r="I723" s="493"/>
      <c r="J723" s="493"/>
      <c r="K723" s="493"/>
      <c r="L723" s="493"/>
      <c r="M723" s="493"/>
      <c r="N723" s="493"/>
      <c r="O723" s="493"/>
    </row>
    <row r="724">
      <c r="A724" s="323"/>
      <c r="B724" s="323"/>
      <c r="C724" s="323"/>
      <c r="D724" s="493"/>
      <c r="E724" s="493"/>
      <c r="F724" s="493"/>
      <c r="G724" s="493"/>
      <c r="H724" s="493"/>
      <c r="I724" s="493"/>
      <c r="J724" s="493"/>
      <c r="K724" s="493"/>
      <c r="L724" s="493"/>
      <c r="M724" s="493"/>
      <c r="N724" s="493"/>
      <c r="O724" s="493"/>
    </row>
    <row r="725">
      <c r="A725" s="323"/>
      <c r="B725" s="323"/>
      <c r="C725" s="323"/>
      <c r="D725" s="493"/>
      <c r="E725" s="493"/>
      <c r="F725" s="493"/>
      <c r="G725" s="493"/>
      <c r="H725" s="493"/>
      <c r="I725" s="493"/>
      <c r="J725" s="493"/>
      <c r="K725" s="493"/>
      <c r="L725" s="493"/>
      <c r="M725" s="493"/>
      <c r="N725" s="493"/>
      <c r="O725" s="493"/>
    </row>
    <row r="726">
      <c r="A726" s="323"/>
      <c r="B726" s="323"/>
      <c r="C726" s="323"/>
      <c r="D726" s="493"/>
      <c r="E726" s="493"/>
      <c r="F726" s="493"/>
      <c r="G726" s="493"/>
      <c r="H726" s="493"/>
      <c r="I726" s="493"/>
      <c r="J726" s="493"/>
      <c r="K726" s="493"/>
      <c r="L726" s="493"/>
      <c r="M726" s="493"/>
      <c r="N726" s="493"/>
      <c r="O726" s="493"/>
    </row>
    <row r="727">
      <c r="A727" s="323"/>
      <c r="B727" s="323"/>
      <c r="C727" s="323"/>
      <c r="D727" s="493"/>
      <c r="E727" s="493"/>
      <c r="F727" s="493"/>
      <c r="G727" s="493"/>
      <c r="H727" s="493"/>
      <c r="I727" s="493"/>
      <c r="J727" s="493"/>
      <c r="K727" s="493"/>
      <c r="L727" s="493"/>
      <c r="M727" s="493"/>
      <c r="N727" s="493"/>
      <c r="O727" s="493"/>
    </row>
    <row r="728">
      <c r="A728" s="323"/>
      <c r="B728" s="323"/>
      <c r="C728" s="323"/>
      <c r="D728" s="493"/>
      <c r="E728" s="493"/>
      <c r="F728" s="493"/>
      <c r="G728" s="493"/>
      <c r="H728" s="493"/>
      <c r="I728" s="493"/>
      <c r="J728" s="493"/>
      <c r="K728" s="493"/>
      <c r="L728" s="493"/>
      <c r="M728" s="493"/>
      <c r="N728" s="493"/>
      <c r="O728" s="493"/>
    </row>
    <row r="729">
      <c r="A729" s="323"/>
      <c r="B729" s="323"/>
      <c r="C729" s="323"/>
      <c r="D729" s="493"/>
      <c r="E729" s="493"/>
      <c r="F729" s="493"/>
      <c r="G729" s="493"/>
      <c r="H729" s="493"/>
      <c r="I729" s="493"/>
      <c r="J729" s="493"/>
      <c r="K729" s="493"/>
      <c r="L729" s="493"/>
      <c r="M729" s="493"/>
      <c r="N729" s="493"/>
      <c r="O729" s="493"/>
    </row>
    <row r="730">
      <c r="A730" s="323"/>
      <c r="B730" s="323"/>
      <c r="C730" s="323"/>
      <c r="D730" s="493"/>
      <c r="E730" s="493"/>
      <c r="F730" s="493"/>
      <c r="G730" s="493"/>
      <c r="H730" s="493"/>
      <c r="I730" s="493"/>
      <c r="J730" s="493"/>
      <c r="K730" s="493"/>
      <c r="L730" s="493"/>
      <c r="M730" s="493"/>
      <c r="N730" s="493"/>
      <c r="O730" s="493"/>
    </row>
    <row r="731">
      <c r="A731" s="323"/>
      <c r="B731" s="323"/>
      <c r="C731" s="323"/>
      <c r="D731" s="493"/>
      <c r="E731" s="493"/>
      <c r="F731" s="493"/>
      <c r="G731" s="493"/>
      <c r="H731" s="493"/>
      <c r="I731" s="493"/>
      <c r="J731" s="493"/>
      <c r="K731" s="493"/>
      <c r="L731" s="493"/>
      <c r="M731" s="493"/>
      <c r="N731" s="493"/>
      <c r="O731" s="493"/>
    </row>
    <row r="732">
      <c r="A732" s="323"/>
      <c r="B732" s="323"/>
      <c r="C732" s="323"/>
      <c r="D732" s="493"/>
      <c r="E732" s="493"/>
      <c r="F732" s="493"/>
      <c r="G732" s="493"/>
      <c r="H732" s="493"/>
      <c r="I732" s="493"/>
      <c r="J732" s="493"/>
      <c r="K732" s="493"/>
      <c r="L732" s="493"/>
      <c r="M732" s="493"/>
      <c r="N732" s="493"/>
      <c r="O732" s="493"/>
    </row>
    <row r="733">
      <c r="A733" s="323"/>
      <c r="B733" s="323"/>
      <c r="C733" s="323"/>
      <c r="D733" s="493"/>
      <c r="E733" s="493"/>
      <c r="F733" s="493"/>
      <c r="G733" s="493"/>
      <c r="H733" s="493"/>
      <c r="I733" s="493"/>
      <c r="J733" s="493"/>
      <c r="K733" s="493"/>
      <c r="L733" s="493"/>
      <c r="M733" s="493"/>
      <c r="N733" s="493"/>
      <c r="O733" s="493"/>
    </row>
    <row r="734">
      <c r="A734" s="323"/>
      <c r="B734" s="323"/>
      <c r="C734" s="323"/>
      <c r="D734" s="493"/>
      <c r="E734" s="493"/>
      <c r="F734" s="493"/>
      <c r="G734" s="493"/>
      <c r="H734" s="493"/>
      <c r="I734" s="493"/>
      <c r="J734" s="493"/>
      <c r="K734" s="493"/>
      <c r="L734" s="493"/>
      <c r="M734" s="493"/>
      <c r="N734" s="493"/>
      <c r="O734" s="493"/>
    </row>
    <row r="735">
      <c r="A735" s="323"/>
      <c r="B735" s="323"/>
      <c r="C735" s="323"/>
      <c r="D735" s="493"/>
      <c r="E735" s="493"/>
      <c r="F735" s="493"/>
      <c r="G735" s="493"/>
      <c r="H735" s="493"/>
      <c r="I735" s="493"/>
      <c r="J735" s="493"/>
      <c r="K735" s="493"/>
      <c r="L735" s="493"/>
      <c r="M735" s="493"/>
      <c r="N735" s="493"/>
      <c r="O735" s="493"/>
    </row>
    <row r="736">
      <c r="A736" s="323"/>
      <c r="B736" s="323"/>
      <c r="C736" s="323"/>
      <c r="D736" s="493"/>
      <c r="E736" s="493"/>
      <c r="F736" s="493"/>
      <c r="G736" s="493"/>
      <c r="H736" s="493"/>
      <c r="I736" s="493"/>
      <c r="J736" s="493"/>
      <c r="K736" s="493"/>
      <c r="L736" s="493"/>
      <c r="M736" s="493"/>
      <c r="N736" s="493"/>
      <c r="O736" s="493"/>
    </row>
    <row r="737">
      <c r="A737" s="323"/>
      <c r="B737" s="323"/>
      <c r="C737" s="323"/>
      <c r="D737" s="493"/>
      <c r="E737" s="493"/>
      <c r="F737" s="493"/>
      <c r="G737" s="493"/>
      <c r="H737" s="493"/>
      <c r="I737" s="493"/>
      <c r="J737" s="493"/>
      <c r="K737" s="493"/>
      <c r="L737" s="493"/>
      <c r="M737" s="493"/>
      <c r="N737" s="493"/>
      <c r="O737" s="493"/>
    </row>
    <row r="738">
      <c r="A738" s="323"/>
      <c r="B738" s="323"/>
      <c r="C738" s="323"/>
      <c r="D738" s="493"/>
      <c r="E738" s="493"/>
      <c r="F738" s="493"/>
      <c r="G738" s="493"/>
      <c r="H738" s="493"/>
      <c r="I738" s="493"/>
      <c r="J738" s="493"/>
      <c r="K738" s="493"/>
      <c r="L738" s="493"/>
      <c r="M738" s="493"/>
      <c r="N738" s="493"/>
      <c r="O738" s="493"/>
    </row>
    <row r="739">
      <c r="A739" s="323"/>
      <c r="B739" s="323"/>
      <c r="C739" s="323"/>
      <c r="D739" s="493"/>
      <c r="E739" s="493"/>
      <c r="F739" s="493"/>
      <c r="G739" s="493"/>
      <c r="H739" s="493"/>
      <c r="I739" s="493"/>
      <c r="J739" s="493"/>
      <c r="K739" s="493"/>
      <c r="L739" s="493"/>
      <c r="M739" s="493"/>
      <c r="N739" s="493"/>
      <c r="O739" s="493"/>
    </row>
    <row r="740">
      <c r="A740" s="323"/>
      <c r="B740" s="323"/>
      <c r="C740" s="323"/>
      <c r="D740" s="493"/>
      <c r="E740" s="493"/>
      <c r="F740" s="493"/>
      <c r="G740" s="493"/>
      <c r="H740" s="493"/>
      <c r="I740" s="493"/>
      <c r="J740" s="493"/>
      <c r="K740" s="493"/>
      <c r="L740" s="493"/>
      <c r="M740" s="493"/>
      <c r="N740" s="493"/>
      <c r="O740" s="493"/>
    </row>
    <row r="741">
      <c r="A741" s="323"/>
      <c r="B741" s="323"/>
      <c r="C741" s="323"/>
      <c r="D741" s="493"/>
      <c r="E741" s="493"/>
      <c r="F741" s="493"/>
      <c r="G741" s="493"/>
      <c r="H741" s="493"/>
      <c r="I741" s="493"/>
      <c r="J741" s="493"/>
      <c r="K741" s="493"/>
      <c r="L741" s="493"/>
      <c r="M741" s="493"/>
      <c r="N741" s="493"/>
      <c r="O741" s="493"/>
    </row>
    <row r="742">
      <c r="A742" s="323"/>
      <c r="B742" s="323"/>
      <c r="C742" s="323"/>
      <c r="D742" s="493"/>
      <c r="E742" s="493"/>
      <c r="F742" s="493"/>
      <c r="G742" s="493"/>
      <c r="H742" s="493"/>
      <c r="I742" s="493"/>
      <c r="J742" s="493"/>
      <c r="K742" s="493"/>
      <c r="L742" s="493"/>
      <c r="M742" s="493"/>
      <c r="N742" s="493"/>
      <c r="O742" s="493"/>
    </row>
    <row r="743">
      <c r="A743" s="323"/>
      <c r="B743" s="323"/>
      <c r="C743" s="323"/>
      <c r="D743" s="493"/>
      <c r="E743" s="493"/>
      <c r="F743" s="493"/>
      <c r="G743" s="493"/>
      <c r="H743" s="493"/>
      <c r="I743" s="493"/>
      <c r="J743" s="493"/>
      <c r="K743" s="493"/>
      <c r="L743" s="493"/>
      <c r="M743" s="493"/>
      <c r="N743" s="493"/>
      <c r="O743" s="493"/>
    </row>
    <row r="744">
      <c r="A744" s="323"/>
      <c r="B744" s="323"/>
      <c r="C744" s="323"/>
      <c r="D744" s="493"/>
      <c r="E744" s="493"/>
      <c r="F744" s="493"/>
      <c r="G744" s="493"/>
      <c r="H744" s="493"/>
      <c r="I744" s="493"/>
      <c r="J744" s="493"/>
      <c r="K744" s="493"/>
      <c r="L744" s="493"/>
      <c r="M744" s="493"/>
      <c r="N744" s="493"/>
      <c r="O744" s="493"/>
    </row>
    <row r="745">
      <c r="A745" s="323"/>
      <c r="B745" s="323"/>
      <c r="C745" s="323"/>
      <c r="D745" s="493"/>
      <c r="E745" s="493"/>
      <c r="F745" s="493"/>
      <c r="G745" s="493"/>
      <c r="H745" s="493"/>
      <c r="I745" s="493"/>
      <c r="J745" s="493"/>
      <c r="K745" s="493"/>
      <c r="L745" s="493"/>
      <c r="M745" s="493"/>
      <c r="N745" s="493"/>
      <c r="O745" s="493"/>
    </row>
    <row r="746">
      <c r="A746" s="323"/>
      <c r="B746" s="323"/>
      <c r="C746" s="323"/>
      <c r="D746" s="493"/>
      <c r="E746" s="493"/>
      <c r="F746" s="493"/>
      <c r="G746" s="493"/>
      <c r="H746" s="493"/>
      <c r="I746" s="493"/>
      <c r="J746" s="493"/>
      <c r="K746" s="493"/>
      <c r="L746" s="493"/>
      <c r="M746" s="493"/>
      <c r="N746" s="493"/>
      <c r="O746" s="493"/>
    </row>
    <row r="747">
      <c r="A747" s="323"/>
      <c r="B747" s="323"/>
      <c r="C747" s="323"/>
      <c r="D747" s="493"/>
      <c r="E747" s="493"/>
      <c r="F747" s="493"/>
      <c r="G747" s="493"/>
      <c r="H747" s="493"/>
      <c r="I747" s="493"/>
      <c r="J747" s="493"/>
      <c r="K747" s="493"/>
      <c r="L747" s="493"/>
      <c r="M747" s="493"/>
      <c r="N747" s="493"/>
      <c r="O747" s="493"/>
    </row>
    <row r="748">
      <c r="A748" s="323"/>
      <c r="B748" s="323"/>
      <c r="C748" s="323"/>
      <c r="D748" s="493"/>
      <c r="E748" s="493"/>
      <c r="F748" s="493"/>
      <c r="G748" s="493"/>
      <c r="H748" s="493"/>
      <c r="I748" s="493"/>
      <c r="J748" s="493"/>
      <c r="K748" s="493"/>
      <c r="L748" s="493"/>
      <c r="M748" s="493"/>
      <c r="N748" s="493"/>
      <c r="O748" s="493"/>
    </row>
    <row r="749">
      <c r="A749" s="323"/>
      <c r="B749" s="323"/>
      <c r="C749" s="323"/>
      <c r="D749" s="493"/>
      <c r="E749" s="493"/>
      <c r="F749" s="493"/>
      <c r="G749" s="493"/>
      <c r="H749" s="493"/>
      <c r="I749" s="493"/>
      <c r="J749" s="493"/>
      <c r="K749" s="493"/>
      <c r="L749" s="493"/>
      <c r="M749" s="493"/>
      <c r="N749" s="493"/>
      <c r="O749" s="493"/>
    </row>
    <row r="750">
      <c r="A750" s="323"/>
      <c r="B750" s="323"/>
      <c r="C750" s="323"/>
      <c r="D750" s="493"/>
      <c r="E750" s="493"/>
      <c r="F750" s="493"/>
      <c r="G750" s="493"/>
      <c r="H750" s="493"/>
      <c r="I750" s="493"/>
      <c r="J750" s="493"/>
      <c r="K750" s="493"/>
      <c r="L750" s="493"/>
      <c r="M750" s="493"/>
      <c r="N750" s="493"/>
      <c r="O750" s="493"/>
    </row>
    <row r="751">
      <c r="A751" s="323"/>
      <c r="B751" s="323"/>
      <c r="C751" s="323"/>
      <c r="D751" s="493"/>
      <c r="E751" s="493"/>
      <c r="F751" s="493"/>
      <c r="G751" s="493"/>
      <c r="H751" s="493"/>
      <c r="I751" s="493"/>
      <c r="J751" s="493"/>
      <c r="K751" s="493"/>
      <c r="L751" s="493"/>
      <c r="M751" s="493"/>
      <c r="N751" s="493"/>
      <c r="O751" s="493"/>
    </row>
    <row r="752">
      <c r="A752" s="323"/>
      <c r="B752" s="323"/>
      <c r="C752" s="323"/>
      <c r="D752" s="493"/>
      <c r="E752" s="493"/>
      <c r="F752" s="493"/>
      <c r="G752" s="493"/>
      <c r="H752" s="493"/>
      <c r="I752" s="493"/>
      <c r="J752" s="493"/>
      <c r="K752" s="493"/>
      <c r="L752" s="493"/>
      <c r="M752" s="493"/>
      <c r="N752" s="493"/>
      <c r="O752" s="493"/>
    </row>
    <row r="753">
      <c r="A753" s="323"/>
      <c r="B753" s="323"/>
      <c r="C753" s="323"/>
      <c r="D753" s="493"/>
      <c r="E753" s="493"/>
      <c r="F753" s="493"/>
      <c r="G753" s="493"/>
      <c r="H753" s="493"/>
      <c r="I753" s="493"/>
      <c r="J753" s="493"/>
      <c r="K753" s="493"/>
      <c r="L753" s="493"/>
      <c r="M753" s="493"/>
      <c r="N753" s="493"/>
      <c r="O753" s="493"/>
    </row>
    <row r="754">
      <c r="A754" s="323"/>
      <c r="B754" s="323"/>
      <c r="C754" s="323"/>
      <c r="D754" s="493"/>
      <c r="E754" s="493"/>
      <c r="F754" s="493"/>
      <c r="G754" s="493"/>
      <c r="H754" s="493"/>
      <c r="I754" s="493"/>
      <c r="J754" s="493"/>
      <c r="K754" s="493"/>
      <c r="L754" s="493"/>
      <c r="M754" s="493"/>
      <c r="N754" s="493"/>
      <c r="O754" s="493"/>
    </row>
    <row r="755">
      <c r="A755" s="323"/>
      <c r="B755" s="323"/>
      <c r="C755" s="323"/>
      <c r="D755" s="493"/>
      <c r="E755" s="493"/>
      <c r="F755" s="493"/>
      <c r="G755" s="493"/>
      <c r="H755" s="493"/>
      <c r="I755" s="493"/>
      <c r="J755" s="493"/>
      <c r="K755" s="493"/>
      <c r="L755" s="493"/>
      <c r="M755" s="493"/>
      <c r="N755" s="493"/>
      <c r="O755" s="493"/>
    </row>
    <row r="756">
      <c r="A756" s="323"/>
      <c r="B756" s="323"/>
      <c r="C756" s="323"/>
      <c r="D756" s="493"/>
      <c r="E756" s="493"/>
      <c r="F756" s="493"/>
      <c r="G756" s="493"/>
      <c r="H756" s="493"/>
      <c r="I756" s="493"/>
      <c r="J756" s="493"/>
      <c r="K756" s="493"/>
      <c r="L756" s="493"/>
      <c r="M756" s="493"/>
      <c r="N756" s="493"/>
      <c r="O756" s="493"/>
    </row>
    <row r="757">
      <c r="A757" s="323"/>
      <c r="B757" s="323"/>
      <c r="C757" s="323"/>
      <c r="D757" s="493"/>
      <c r="E757" s="493"/>
      <c r="F757" s="493"/>
      <c r="G757" s="493"/>
      <c r="H757" s="493"/>
      <c r="I757" s="493"/>
      <c r="J757" s="493"/>
      <c r="K757" s="493"/>
      <c r="L757" s="493"/>
      <c r="M757" s="493"/>
      <c r="N757" s="493"/>
      <c r="O757" s="493"/>
    </row>
    <row r="758">
      <c r="A758" s="323"/>
      <c r="B758" s="323"/>
      <c r="C758" s="323"/>
      <c r="D758" s="493"/>
      <c r="E758" s="493"/>
      <c r="F758" s="493"/>
      <c r="G758" s="493"/>
      <c r="H758" s="493"/>
      <c r="I758" s="493"/>
      <c r="J758" s="493"/>
      <c r="K758" s="493"/>
      <c r="L758" s="493"/>
      <c r="M758" s="493"/>
      <c r="N758" s="493"/>
      <c r="O758" s="493"/>
    </row>
    <row r="759">
      <c r="A759" s="323"/>
      <c r="B759" s="323"/>
      <c r="C759" s="323"/>
      <c r="D759" s="493"/>
      <c r="E759" s="493"/>
      <c r="F759" s="493"/>
      <c r="G759" s="493"/>
      <c r="H759" s="493"/>
      <c r="I759" s="493"/>
      <c r="J759" s="493"/>
      <c r="K759" s="493"/>
      <c r="L759" s="493"/>
      <c r="M759" s="493"/>
      <c r="N759" s="493"/>
      <c r="O759" s="493"/>
    </row>
    <row r="760">
      <c r="A760" s="323"/>
      <c r="B760" s="323"/>
      <c r="C760" s="323"/>
      <c r="D760" s="493"/>
      <c r="E760" s="493"/>
      <c r="F760" s="493"/>
      <c r="G760" s="493"/>
      <c r="H760" s="493"/>
      <c r="I760" s="493"/>
      <c r="J760" s="493"/>
      <c r="K760" s="493"/>
      <c r="L760" s="493"/>
      <c r="M760" s="493"/>
      <c r="N760" s="493"/>
      <c r="O760" s="493"/>
    </row>
    <row r="761">
      <c r="A761" s="323"/>
      <c r="B761" s="323"/>
      <c r="C761" s="323"/>
      <c r="D761" s="493"/>
      <c r="E761" s="493"/>
      <c r="F761" s="493"/>
      <c r="G761" s="493"/>
      <c r="H761" s="493"/>
      <c r="I761" s="493"/>
      <c r="J761" s="493"/>
      <c r="K761" s="493"/>
      <c r="L761" s="493"/>
      <c r="M761" s="493"/>
      <c r="N761" s="493"/>
      <c r="O761" s="493"/>
    </row>
    <row r="762">
      <c r="A762" s="323"/>
      <c r="B762" s="323"/>
      <c r="C762" s="323"/>
      <c r="D762" s="493"/>
      <c r="E762" s="493"/>
      <c r="F762" s="493"/>
      <c r="G762" s="493"/>
      <c r="H762" s="493"/>
      <c r="I762" s="493"/>
      <c r="J762" s="493"/>
      <c r="K762" s="493"/>
      <c r="L762" s="493"/>
      <c r="M762" s="493"/>
      <c r="N762" s="493"/>
      <c r="O762" s="493"/>
    </row>
    <row r="763">
      <c r="A763" s="323"/>
      <c r="B763" s="323"/>
      <c r="C763" s="323"/>
      <c r="D763" s="493"/>
      <c r="E763" s="493"/>
      <c r="F763" s="493"/>
      <c r="G763" s="493"/>
      <c r="H763" s="493"/>
      <c r="I763" s="493"/>
      <c r="J763" s="493"/>
      <c r="K763" s="493"/>
      <c r="L763" s="493"/>
      <c r="M763" s="493"/>
      <c r="N763" s="493"/>
      <c r="O763" s="493"/>
    </row>
    <row r="764">
      <c r="A764" s="323"/>
      <c r="B764" s="323"/>
      <c r="C764" s="323"/>
      <c r="D764" s="493"/>
      <c r="E764" s="493"/>
      <c r="F764" s="493"/>
      <c r="G764" s="493"/>
      <c r="H764" s="493"/>
      <c r="I764" s="493"/>
      <c r="J764" s="493"/>
      <c r="K764" s="493"/>
      <c r="L764" s="493"/>
      <c r="M764" s="493"/>
      <c r="N764" s="493"/>
      <c r="O764" s="493"/>
    </row>
    <row r="765">
      <c r="A765" s="323"/>
      <c r="B765" s="323"/>
      <c r="C765" s="323"/>
      <c r="D765" s="493"/>
      <c r="E765" s="493"/>
      <c r="F765" s="493"/>
      <c r="G765" s="493"/>
      <c r="H765" s="493"/>
      <c r="I765" s="493"/>
      <c r="J765" s="493"/>
      <c r="K765" s="493"/>
      <c r="L765" s="493"/>
      <c r="M765" s="493"/>
      <c r="N765" s="493"/>
      <c r="O765" s="493"/>
    </row>
    <row r="766">
      <c r="A766" s="323"/>
      <c r="B766" s="323"/>
      <c r="C766" s="323"/>
      <c r="D766" s="493"/>
      <c r="E766" s="493"/>
      <c r="F766" s="493"/>
      <c r="G766" s="493"/>
      <c r="H766" s="493"/>
      <c r="I766" s="493"/>
      <c r="J766" s="493"/>
      <c r="K766" s="493"/>
      <c r="L766" s="493"/>
      <c r="M766" s="493"/>
      <c r="N766" s="493"/>
      <c r="O766" s="493"/>
    </row>
    <row r="767">
      <c r="A767" s="323"/>
      <c r="B767" s="323"/>
      <c r="C767" s="323"/>
      <c r="D767" s="493"/>
      <c r="E767" s="493"/>
      <c r="F767" s="493"/>
      <c r="G767" s="493"/>
      <c r="H767" s="493"/>
      <c r="I767" s="493"/>
      <c r="J767" s="493"/>
      <c r="K767" s="493"/>
      <c r="L767" s="493"/>
      <c r="M767" s="493"/>
      <c r="N767" s="493"/>
      <c r="O767" s="493"/>
    </row>
    <row r="768">
      <c r="A768" s="323"/>
      <c r="B768" s="323"/>
      <c r="C768" s="323"/>
      <c r="D768" s="493"/>
      <c r="E768" s="493"/>
      <c r="F768" s="493"/>
      <c r="G768" s="493"/>
      <c r="H768" s="493"/>
      <c r="I768" s="493"/>
      <c r="J768" s="493"/>
      <c r="K768" s="493"/>
      <c r="L768" s="493"/>
      <c r="M768" s="493"/>
      <c r="N768" s="493"/>
      <c r="O768" s="493"/>
    </row>
    <row r="769">
      <c r="A769" s="323"/>
      <c r="B769" s="323"/>
      <c r="C769" s="323"/>
      <c r="D769" s="493"/>
      <c r="E769" s="493"/>
      <c r="F769" s="493"/>
      <c r="G769" s="493"/>
      <c r="H769" s="493"/>
      <c r="I769" s="493"/>
      <c r="J769" s="493"/>
      <c r="K769" s="493"/>
      <c r="L769" s="493"/>
      <c r="M769" s="493"/>
      <c r="N769" s="493"/>
      <c r="O769" s="493"/>
    </row>
    <row r="770">
      <c r="A770" s="323"/>
      <c r="B770" s="323"/>
      <c r="C770" s="323"/>
      <c r="D770" s="493"/>
      <c r="E770" s="493"/>
      <c r="F770" s="493"/>
      <c r="G770" s="493"/>
      <c r="H770" s="493"/>
      <c r="I770" s="493"/>
      <c r="J770" s="493"/>
      <c r="K770" s="493"/>
      <c r="L770" s="493"/>
      <c r="M770" s="493"/>
      <c r="N770" s="493"/>
      <c r="O770" s="493"/>
    </row>
    <row r="771">
      <c r="A771" s="323"/>
      <c r="B771" s="323"/>
      <c r="C771" s="323"/>
      <c r="D771" s="493"/>
      <c r="E771" s="493"/>
      <c r="F771" s="493"/>
      <c r="G771" s="493"/>
      <c r="H771" s="493"/>
      <c r="I771" s="493"/>
      <c r="J771" s="493"/>
      <c r="K771" s="493"/>
      <c r="L771" s="493"/>
      <c r="M771" s="493"/>
      <c r="N771" s="493"/>
      <c r="O771" s="493"/>
    </row>
    <row r="772">
      <c r="A772" s="323"/>
      <c r="B772" s="323"/>
      <c r="C772" s="323"/>
      <c r="D772" s="493"/>
      <c r="E772" s="493"/>
      <c r="F772" s="493"/>
      <c r="G772" s="493"/>
      <c r="H772" s="493"/>
      <c r="I772" s="493"/>
      <c r="J772" s="493"/>
      <c r="K772" s="493"/>
      <c r="L772" s="493"/>
      <c r="M772" s="493"/>
      <c r="N772" s="493"/>
      <c r="O772" s="493"/>
    </row>
    <row r="773">
      <c r="A773" s="323"/>
      <c r="B773" s="323"/>
      <c r="C773" s="323"/>
      <c r="D773" s="493"/>
      <c r="E773" s="493"/>
      <c r="F773" s="493"/>
      <c r="G773" s="493"/>
      <c r="H773" s="493"/>
      <c r="I773" s="493"/>
      <c r="J773" s="493"/>
      <c r="K773" s="493"/>
      <c r="L773" s="493"/>
      <c r="M773" s="493"/>
      <c r="N773" s="493"/>
      <c r="O773" s="493"/>
    </row>
    <row r="774">
      <c r="A774" s="323"/>
      <c r="B774" s="323"/>
      <c r="C774" s="323"/>
      <c r="D774" s="493"/>
      <c r="E774" s="493"/>
      <c r="F774" s="493"/>
      <c r="G774" s="493"/>
      <c r="H774" s="493"/>
      <c r="I774" s="493"/>
      <c r="J774" s="493"/>
      <c r="K774" s="493"/>
      <c r="L774" s="493"/>
      <c r="M774" s="493"/>
      <c r="N774" s="493"/>
      <c r="O774" s="493"/>
    </row>
    <row r="775">
      <c r="A775" s="323"/>
      <c r="B775" s="323"/>
      <c r="C775" s="323"/>
      <c r="D775" s="493"/>
      <c r="E775" s="493"/>
      <c r="F775" s="493"/>
      <c r="G775" s="493"/>
      <c r="H775" s="493"/>
      <c r="I775" s="493"/>
      <c r="J775" s="493"/>
      <c r="K775" s="493"/>
      <c r="L775" s="493"/>
      <c r="M775" s="493"/>
      <c r="N775" s="493"/>
      <c r="O775" s="493"/>
    </row>
    <row r="776">
      <c r="A776" s="323"/>
      <c r="B776" s="323"/>
      <c r="C776" s="323"/>
      <c r="D776" s="493"/>
      <c r="E776" s="493"/>
      <c r="F776" s="493"/>
      <c r="G776" s="493"/>
      <c r="H776" s="493"/>
      <c r="I776" s="493"/>
      <c r="J776" s="493"/>
      <c r="K776" s="493"/>
      <c r="L776" s="493"/>
      <c r="M776" s="493"/>
      <c r="N776" s="493"/>
      <c r="O776" s="493"/>
    </row>
    <row r="777">
      <c r="A777" s="323"/>
      <c r="B777" s="323"/>
      <c r="C777" s="323"/>
      <c r="D777" s="493"/>
      <c r="E777" s="493"/>
      <c r="F777" s="493"/>
      <c r="G777" s="493"/>
      <c r="H777" s="493"/>
      <c r="I777" s="493"/>
      <c r="J777" s="493"/>
      <c r="K777" s="493"/>
      <c r="L777" s="493"/>
      <c r="M777" s="493"/>
      <c r="N777" s="493"/>
      <c r="O777" s="493"/>
    </row>
    <row r="778">
      <c r="A778" s="323"/>
      <c r="B778" s="323"/>
      <c r="C778" s="323"/>
      <c r="D778" s="493"/>
      <c r="E778" s="493"/>
      <c r="F778" s="493"/>
      <c r="G778" s="493"/>
      <c r="H778" s="493"/>
      <c r="I778" s="493"/>
      <c r="J778" s="493"/>
      <c r="K778" s="493"/>
      <c r="L778" s="493"/>
      <c r="M778" s="493"/>
      <c r="N778" s="493"/>
      <c r="O778" s="493"/>
    </row>
    <row r="779">
      <c r="A779" s="323"/>
      <c r="B779" s="323"/>
      <c r="C779" s="323"/>
      <c r="D779" s="493"/>
      <c r="E779" s="493"/>
      <c r="F779" s="493"/>
      <c r="G779" s="493"/>
      <c r="H779" s="493"/>
      <c r="I779" s="493"/>
      <c r="J779" s="493"/>
      <c r="K779" s="493"/>
      <c r="L779" s="493"/>
      <c r="M779" s="493"/>
      <c r="N779" s="493"/>
      <c r="O779" s="493"/>
    </row>
    <row r="780">
      <c r="A780" s="323"/>
      <c r="B780" s="323"/>
      <c r="C780" s="323"/>
      <c r="D780" s="493"/>
      <c r="E780" s="493"/>
      <c r="F780" s="493"/>
      <c r="G780" s="493"/>
      <c r="H780" s="493"/>
      <c r="I780" s="493"/>
      <c r="J780" s="493"/>
      <c r="K780" s="493"/>
      <c r="L780" s="493"/>
      <c r="M780" s="493"/>
      <c r="N780" s="493"/>
      <c r="O780" s="493"/>
    </row>
    <row r="781">
      <c r="A781" s="323"/>
      <c r="B781" s="323"/>
      <c r="C781" s="323"/>
      <c r="D781" s="493"/>
      <c r="E781" s="493"/>
      <c r="F781" s="493"/>
      <c r="G781" s="493"/>
      <c r="H781" s="493"/>
      <c r="I781" s="493"/>
      <c r="J781" s="493"/>
      <c r="K781" s="493"/>
      <c r="L781" s="493"/>
      <c r="M781" s="493"/>
      <c r="N781" s="493"/>
      <c r="O781" s="493"/>
    </row>
    <row r="782">
      <c r="A782" s="323"/>
      <c r="B782" s="323"/>
      <c r="C782" s="323"/>
      <c r="D782" s="493"/>
      <c r="E782" s="493"/>
      <c r="F782" s="493"/>
      <c r="G782" s="493"/>
      <c r="H782" s="493"/>
      <c r="I782" s="493"/>
      <c r="J782" s="493"/>
      <c r="K782" s="493"/>
      <c r="L782" s="493"/>
      <c r="M782" s="493"/>
      <c r="N782" s="493"/>
      <c r="O782" s="493"/>
    </row>
    <row r="783">
      <c r="A783" s="323"/>
      <c r="B783" s="323"/>
      <c r="C783" s="323"/>
      <c r="D783" s="493"/>
      <c r="E783" s="493"/>
      <c r="F783" s="493"/>
      <c r="G783" s="493"/>
      <c r="H783" s="493"/>
      <c r="I783" s="493"/>
      <c r="J783" s="493"/>
      <c r="K783" s="493"/>
      <c r="L783" s="493"/>
      <c r="M783" s="493"/>
      <c r="N783" s="493"/>
      <c r="O783" s="493"/>
    </row>
    <row r="784">
      <c r="A784" s="323"/>
      <c r="B784" s="323"/>
      <c r="C784" s="323"/>
      <c r="D784" s="493"/>
      <c r="E784" s="493"/>
      <c r="F784" s="493"/>
      <c r="G784" s="493"/>
      <c r="H784" s="493"/>
      <c r="I784" s="493"/>
      <c r="J784" s="493"/>
      <c r="K784" s="493"/>
      <c r="L784" s="493"/>
      <c r="M784" s="493"/>
      <c r="N784" s="493"/>
      <c r="O784" s="493"/>
    </row>
    <row r="785">
      <c r="A785" s="323"/>
      <c r="B785" s="323"/>
      <c r="C785" s="323"/>
      <c r="D785" s="493"/>
      <c r="E785" s="493"/>
      <c r="F785" s="493"/>
      <c r="G785" s="493"/>
      <c r="H785" s="493"/>
      <c r="I785" s="493"/>
      <c r="J785" s="493"/>
      <c r="K785" s="493"/>
      <c r="L785" s="493"/>
      <c r="M785" s="493"/>
      <c r="N785" s="493"/>
      <c r="O785" s="493"/>
    </row>
    <row r="786">
      <c r="A786" s="323"/>
      <c r="B786" s="323"/>
      <c r="C786" s="323"/>
      <c r="D786" s="493"/>
      <c r="E786" s="493"/>
      <c r="F786" s="493"/>
      <c r="G786" s="493"/>
      <c r="H786" s="493"/>
      <c r="I786" s="493"/>
      <c r="J786" s="493"/>
      <c r="K786" s="493"/>
      <c r="L786" s="493"/>
      <c r="M786" s="493"/>
      <c r="N786" s="493"/>
      <c r="O786" s="493"/>
    </row>
    <row r="787">
      <c r="A787" s="323"/>
      <c r="B787" s="323"/>
      <c r="C787" s="323"/>
      <c r="D787" s="493"/>
      <c r="E787" s="493"/>
      <c r="F787" s="493"/>
      <c r="G787" s="493"/>
      <c r="H787" s="493"/>
      <c r="I787" s="493"/>
      <c r="J787" s="493"/>
      <c r="K787" s="493"/>
      <c r="L787" s="493"/>
      <c r="M787" s="493"/>
      <c r="N787" s="493"/>
      <c r="O787" s="493"/>
    </row>
    <row r="788">
      <c r="A788" s="323"/>
      <c r="B788" s="323"/>
      <c r="C788" s="323"/>
      <c r="D788" s="493"/>
      <c r="E788" s="493"/>
      <c r="F788" s="493"/>
      <c r="G788" s="493"/>
      <c r="H788" s="493"/>
      <c r="I788" s="493"/>
      <c r="J788" s="493"/>
      <c r="K788" s="493"/>
      <c r="L788" s="493"/>
      <c r="M788" s="493"/>
      <c r="N788" s="493"/>
      <c r="O788" s="493"/>
    </row>
    <row r="789">
      <c r="A789" s="323"/>
      <c r="B789" s="323"/>
      <c r="C789" s="323"/>
      <c r="D789" s="493"/>
      <c r="E789" s="493"/>
      <c r="F789" s="493"/>
      <c r="G789" s="493"/>
      <c r="H789" s="493"/>
      <c r="I789" s="493"/>
      <c r="J789" s="493"/>
      <c r="K789" s="493"/>
      <c r="L789" s="493"/>
      <c r="M789" s="493"/>
      <c r="N789" s="493"/>
      <c r="O789" s="493"/>
    </row>
    <row r="790">
      <c r="A790" s="323"/>
      <c r="B790" s="323"/>
      <c r="C790" s="323"/>
      <c r="D790" s="493"/>
      <c r="E790" s="493"/>
      <c r="F790" s="493"/>
      <c r="G790" s="493"/>
      <c r="H790" s="493"/>
      <c r="I790" s="493"/>
      <c r="J790" s="493"/>
      <c r="K790" s="493"/>
      <c r="L790" s="493"/>
      <c r="M790" s="493"/>
      <c r="N790" s="493"/>
      <c r="O790" s="493"/>
    </row>
    <row r="791">
      <c r="A791" s="323"/>
      <c r="B791" s="323"/>
      <c r="C791" s="323"/>
      <c r="D791" s="493"/>
      <c r="E791" s="493"/>
      <c r="F791" s="493"/>
      <c r="G791" s="493"/>
      <c r="H791" s="493"/>
      <c r="I791" s="493"/>
      <c r="J791" s="493"/>
      <c r="K791" s="493"/>
      <c r="L791" s="493"/>
      <c r="M791" s="493"/>
      <c r="N791" s="493"/>
      <c r="O791" s="493"/>
    </row>
    <row r="792">
      <c r="A792" s="323"/>
      <c r="B792" s="323"/>
      <c r="C792" s="323"/>
      <c r="D792" s="493"/>
      <c r="E792" s="493"/>
      <c r="F792" s="493"/>
      <c r="G792" s="493"/>
      <c r="H792" s="493"/>
      <c r="I792" s="493"/>
      <c r="J792" s="493"/>
      <c r="K792" s="493"/>
      <c r="L792" s="493"/>
      <c r="M792" s="493"/>
      <c r="N792" s="493"/>
      <c r="O792" s="493"/>
    </row>
    <row r="793">
      <c r="A793" s="323"/>
      <c r="B793" s="323"/>
      <c r="C793" s="323"/>
      <c r="D793" s="493"/>
      <c r="E793" s="493"/>
      <c r="F793" s="493"/>
      <c r="G793" s="493"/>
      <c r="H793" s="493"/>
      <c r="I793" s="493"/>
      <c r="J793" s="493"/>
      <c r="K793" s="493"/>
      <c r="L793" s="493"/>
      <c r="M793" s="493"/>
      <c r="N793" s="493"/>
      <c r="O793" s="493"/>
    </row>
    <row r="794">
      <c r="A794" s="323"/>
      <c r="B794" s="323"/>
      <c r="C794" s="323"/>
      <c r="D794" s="493"/>
      <c r="E794" s="493"/>
      <c r="F794" s="493"/>
      <c r="G794" s="493"/>
      <c r="H794" s="493"/>
      <c r="I794" s="493"/>
      <c r="J794" s="493"/>
      <c r="K794" s="493"/>
      <c r="L794" s="493"/>
      <c r="M794" s="493"/>
      <c r="N794" s="493"/>
      <c r="O794" s="493"/>
    </row>
    <row r="795">
      <c r="A795" s="323"/>
      <c r="B795" s="323"/>
      <c r="C795" s="323"/>
      <c r="D795" s="493"/>
      <c r="E795" s="493"/>
      <c r="F795" s="493"/>
      <c r="G795" s="493"/>
      <c r="H795" s="493"/>
      <c r="I795" s="493"/>
      <c r="J795" s="493"/>
      <c r="K795" s="493"/>
      <c r="L795" s="493"/>
      <c r="M795" s="493"/>
      <c r="N795" s="493"/>
      <c r="O795" s="493"/>
    </row>
    <row r="796">
      <c r="A796" s="323"/>
      <c r="B796" s="323"/>
      <c r="C796" s="323"/>
      <c r="D796" s="493"/>
      <c r="E796" s="493"/>
      <c r="F796" s="493"/>
      <c r="G796" s="493"/>
      <c r="H796" s="493"/>
      <c r="I796" s="493"/>
      <c r="J796" s="493"/>
      <c r="K796" s="493"/>
      <c r="L796" s="493"/>
      <c r="M796" s="493"/>
      <c r="N796" s="493"/>
      <c r="O796" s="493"/>
    </row>
    <row r="797">
      <c r="A797" s="323"/>
      <c r="B797" s="323"/>
      <c r="C797" s="323"/>
      <c r="D797" s="493"/>
      <c r="E797" s="493"/>
      <c r="F797" s="493"/>
      <c r="G797" s="493"/>
      <c r="H797" s="493"/>
      <c r="I797" s="493"/>
      <c r="J797" s="493"/>
      <c r="K797" s="493"/>
      <c r="L797" s="493"/>
      <c r="M797" s="493"/>
      <c r="N797" s="493"/>
      <c r="O797" s="493"/>
    </row>
    <row r="798">
      <c r="A798" s="323"/>
      <c r="B798" s="323"/>
      <c r="C798" s="323"/>
      <c r="D798" s="493"/>
      <c r="E798" s="493"/>
      <c r="F798" s="493"/>
      <c r="G798" s="493"/>
      <c r="H798" s="493"/>
      <c r="I798" s="493"/>
      <c r="J798" s="493"/>
      <c r="K798" s="493"/>
      <c r="L798" s="493"/>
      <c r="M798" s="493"/>
      <c r="N798" s="493"/>
      <c r="O798" s="493"/>
    </row>
    <row r="799">
      <c r="A799" s="323"/>
      <c r="B799" s="323"/>
      <c r="C799" s="323"/>
      <c r="D799" s="493"/>
      <c r="E799" s="493"/>
      <c r="F799" s="493"/>
      <c r="G799" s="493"/>
      <c r="H799" s="493"/>
      <c r="I799" s="493"/>
      <c r="J799" s="493"/>
      <c r="K799" s="493"/>
      <c r="L799" s="493"/>
      <c r="M799" s="493"/>
      <c r="N799" s="493"/>
      <c r="O799" s="493"/>
    </row>
    <row r="800">
      <c r="A800" s="323"/>
      <c r="B800" s="323"/>
      <c r="C800" s="323"/>
      <c r="D800" s="493"/>
      <c r="E800" s="493"/>
      <c r="F800" s="493"/>
      <c r="G800" s="493"/>
      <c r="H800" s="493"/>
      <c r="I800" s="493"/>
      <c r="J800" s="493"/>
      <c r="K800" s="493"/>
      <c r="L800" s="493"/>
      <c r="M800" s="493"/>
      <c r="N800" s="493"/>
      <c r="O800" s="493"/>
    </row>
    <row r="801">
      <c r="A801" s="323"/>
      <c r="B801" s="323"/>
      <c r="C801" s="323"/>
      <c r="D801" s="493"/>
      <c r="E801" s="493"/>
      <c r="F801" s="493"/>
      <c r="G801" s="493"/>
      <c r="H801" s="493"/>
      <c r="I801" s="493"/>
      <c r="J801" s="493"/>
      <c r="K801" s="493"/>
      <c r="L801" s="493"/>
      <c r="M801" s="493"/>
      <c r="N801" s="493"/>
      <c r="O801" s="493"/>
    </row>
    <row r="802">
      <c r="A802" s="323"/>
      <c r="B802" s="323"/>
      <c r="C802" s="323"/>
      <c r="D802" s="493"/>
      <c r="E802" s="493"/>
      <c r="F802" s="493"/>
      <c r="G802" s="493"/>
      <c r="H802" s="493"/>
      <c r="I802" s="493"/>
      <c r="J802" s="493"/>
      <c r="K802" s="493"/>
      <c r="L802" s="493"/>
      <c r="M802" s="493"/>
      <c r="N802" s="493"/>
      <c r="O802" s="493"/>
    </row>
    <row r="803">
      <c r="A803" s="323"/>
      <c r="B803" s="323"/>
      <c r="C803" s="323"/>
      <c r="D803" s="493"/>
      <c r="E803" s="493"/>
      <c r="F803" s="493"/>
      <c r="G803" s="493"/>
      <c r="H803" s="493"/>
      <c r="I803" s="493"/>
      <c r="J803" s="493"/>
      <c r="K803" s="493"/>
      <c r="L803" s="493"/>
      <c r="M803" s="493"/>
      <c r="N803" s="493"/>
      <c r="O803" s="493"/>
    </row>
    <row r="804">
      <c r="A804" s="323"/>
      <c r="B804" s="323"/>
      <c r="C804" s="323"/>
      <c r="D804" s="493"/>
      <c r="E804" s="493"/>
      <c r="F804" s="493"/>
      <c r="G804" s="493"/>
      <c r="H804" s="493"/>
      <c r="I804" s="493"/>
      <c r="J804" s="493"/>
      <c r="K804" s="493"/>
      <c r="L804" s="493"/>
      <c r="M804" s="493"/>
      <c r="N804" s="493"/>
      <c r="O804" s="493"/>
    </row>
    <row r="805">
      <c r="A805" s="323"/>
      <c r="B805" s="323"/>
      <c r="C805" s="323"/>
      <c r="D805" s="493"/>
      <c r="E805" s="493"/>
      <c r="F805" s="493"/>
      <c r="G805" s="493"/>
      <c r="H805" s="493"/>
      <c r="I805" s="493"/>
      <c r="J805" s="493"/>
      <c r="K805" s="493"/>
      <c r="L805" s="493"/>
      <c r="M805" s="493"/>
      <c r="N805" s="493"/>
      <c r="O805" s="493"/>
    </row>
    <row r="806">
      <c r="A806" s="323"/>
      <c r="B806" s="323"/>
      <c r="C806" s="323"/>
      <c r="D806" s="493"/>
      <c r="E806" s="493"/>
      <c r="F806" s="493"/>
      <c r="G806" s="493"/>
      <c r="H806" s="493"/>
      <c r="I806" s="493"/>
      <c r="J806" s="493"/>
      <c r="K806" s="493"/>
      <c r="L806" s="493"/>
      <c r="M806" s="493"/>
      <c r="N806" s="493"/>
      <c r="O806" s="493"/>
    </row>
    <row r="807">
      <c r="A807" s="323"/>
      <c r="B807" s="323"/>
      <c r="C807" s="323"/>
      <c r="D807" s="493"/>
      <c r="E807" s="493"/>
      <c r="F807" s="493"/>
      <c r="G807" s="493"/>
      <c r="H807" s="493"/>
      <c r="I807" s="493"/>
      <c r="J807" s="493"/>
      <c r="K807" s="493"/>
      <c r="L807" s="493"/>
      <c r="M807" s="493"/>
      <c r="N807" s="493"/>
      <c r="O807" s="493"/>
    </row>
    <row r="808">
      <c r="A808" s="323"/>
      <c r="B808" s="323"/>
      <c r="C808" s="323"/>
      <c r="D808" s="493"/>
      <c r="E808" s="493"/>
      <c r="F808" s="493"/>
      <c r="G808" s="493"/>
      <c r="H808" s="493"/>
      <c r="I808" s="493"/>
      <c r="J808" s="493"/>
      <c r="K808" s="493"/>
      <c r="L808" s="493"/>
      <c r="M808" s="493"/>
      <c r="N808" s="493"/>
      <c r="O808" s="493"/>
    </row>
    <row r="809">
      <c r="A809" s="323"/>
      <c r="B809" s="323"/>
      <c r="C809" s="323"/>
      <c r="D809" s="493"/>
      <c r="E809" s="493"/>
      <c r="F809" s="493"/>
      <c r="G809" s="493"/>
      <c r="H809" s="493"/>
      <c r="I809" s="493"/>
      <c r="J809" s="493"/>
      <c r="K809" s="493"/>
      <c r="L809" s="493"/>
      <c r="M809" s="493"/>
      <c r="N809" s="493"/>
      <c r="O809" s="493"/>
    </row>
    <row r="810">
      <c r="A810" s="323"/>
      <c r="B810" s="323"/>
      <c r="C810" s="323"/>
      <c r="D810" s="493"/>
      <c r="E810" s="493"/>
      <c r="F810" s="493"/>
      <c r="G810" s="493"/>
      <c r="H810" s="493"/>
      <c r="I810" s="493"/>
      <c r="J810" s="493"/>
      <c r="K810" s="493"/>
      <c r="L810" s="493"/>
      <c r="M810" s="493"/>
      <c r="N810" s="493"/>
      <c r="O810" s="493"/>
    </row>
    <row r="811">
      <c r="A811" s="323"/>
      <c r="B811" s="323"/>
      <c r="C811" s="323"/>
      <c r="D811" s="493"/>
      <c r="E811" s="493"/>
      <c r="F811" s="493"/>
      <c r="G811" s="493"/>
      <c r="H811" s="493"/>
      <c r="I811" s="493"/>
      <c r="J811" s="493"/>
      <c r="K811" s="493"/>
      <c r="L811" s="493"/>
      <c r="M811" s="493"/>
      <c r="N811" s="493"/>
      <c r="O811" s="493"/>
    </row>
    <row r="812">
      <c r="A812" s="323"/>
      <c r="B812" s="323"/>
      <c r="C812" s="323"/>
      <c r="D812" s="493"/>
      <c r="E812" s="493"/>
      <c r="F812" s="493"/>
      <c r="G812" s="493"/>
      <c r="H812" s="493"/>
      <c r="I812" s="493"/>
      <c r="J812" s="493"/>
      <c r="K812" s="493"/>
      <c r="L812" s="493"/>
      <c r="M812" s="493"/>
      <c r="N812" s="493"/>
      <c r="O812" s="493"/>
    </row>
    <row r="813">
      <c r="A813" s="323"/>
      <c r="B813" s="323"/>
      <c r="C813" s="323"/>
      <c r="D813" s="493"/>
      <c r="E813" s="493"/>
      <c r="F813" s="493"/>
      <c r="G813" s="493"/>
      <c r="H813" s="493"/>
      <c r="I813" s="493"/>
      <c r="J813" s="493"/>
      <c r="K813" s="493"/>
      <c r="L813" s="493"/>
      <c r="M813" s="493"/>
      <c r="N813" s="493"/>
      <c r="O813" s="493"/>
    </row>
    <row r="814">
      <c r="A814" s="323"/>
      <c r="B814" s="323"/>
      <c r="C814" s="323"/>
      <c r="D814" s="493"/>
      <c r="E814" s="493"/>
      <c r="F814" s="493"/>
      <c r="G814" s="493"/>
      <c r="H814" s="493"/>
      <c r="I814" s="493"/>
      <c r="J814" s="493"/>
      <c r="K814" s="493"/>
      <c r="L814" s="493"/>
      <c r="M814" s="493"/>
      <c r="N814" s="493"/>
      <c r="O814" s="493"/>
    </row>
    <row r="815">
      <c r="A815" s="323"/>
      <c r="B815" s="323"/>
      <c r="C815" s="323"/>
      <c r="D815" s="493"/>
      <c r="E815" s="493"/>
      <c r="F815" s="493"/>
      <c r="G815" s="493"/>
      <c r="H815" s="493"/>
      <c r="I815" s="493"/>
      <c r="J815" s="493"/>
      <c r="K815" s="493"/>
      <c r="L815" s="493"/>
      <c r="M815" s="493"/>
      <c r="N815" s="493"/>
      <c r="O815" s="493"/>
    </row>
    <row r="816">
      <c r="A816" s="323"/>
      <c r="B816" s="323"/>
      <c r="C816" s="323"/>
      <c r="D816" s="493"/>
      <c r="E816" s="493"/>
      <c r="F816" s="493"/>
      <c r="G816" s="493"/>
      <c r="H816" s="493"/>
      <c r="I816" s="493"/>
      <c r="J816" s="493"/>
      <c r="K816" s="493"/>
      <c r="L816" s="493"/>
      <c r="M816" s="493"/>
      <c r="N816" s="493"/>
      <c r="O816" s="493"/>
    </row>
    <row r="817">
      <c r="A817" s="323"/>
      <c r="B817" s="323"/>
      <c r="C817" s="323"/>
      <c r="D817" s="493"/>
      <c r="E817" s="493"/>
      <c r="F817" s="493"/>
      <c r="G817" s="493"/>
      <c r="H817" s="493"/>
      <c r="I817" s="493"/>
      <c r="J817" s="493"/>
      <c r="K817" s="493"/>
      <c r="L817" s="493"/>
      <c r="M817" s="493"/>
      <c r="N817" s="493"/>
      <c r="O817" s="493"/>
    </row>
    <row r="818">
      <c r="A818" s="323"/>
      <c r="B818" s="323"/>
      <c r="C818" s="323"/>
      <c r="D818" s="493"/>
      <c r="E818" s="493"/>
      <c r="F818" s="493"/>
      <c r="G818" s="493"/>
      <c r="H818" s="493"/>
      <c r="I818" s="493"/>
      <c r="J818" s="493"/>
      <c r="K818" s="493"/>
      <c r="L818" s="493"/>
      <c r="M818" s="493"/>
      <c r="N818" s="493"/>
      <c r="O818" s="493"/>
    </row>
    <row r="819">
      <c r="A819" s="323"/>
      <c r="B819" s="323"/>
      <c r="C819" s="323"/>
      <c r="D819" s="493"/>
      <c r="E819" s="493"/>
      <c r="F819" s="493"/>
      <c r="G819" s="493"/>
      <c r="H819" s="493"/>
      <c r="I819" s="493"/>
      <c r="J819" s="493"/>
      <c r="K819" s="493"/>
      <c r="L819" s="493"/>
      <c r="M819" s="493"/>
      <c r="N819" s="493"/>
      <c r="O819" s="493"/>
    </row>
    <row r="820">
      <c r="A820" s="323"/>
      <c r="B820" s="323"/>
      <c r="C820" s="323"/>
      <c r="D820" s="493"/>
      <c r="E820" s="493"/>
      <c r="F820" s="493"/>
      <c r="G820" s="493"/>
      <c r="H820" s="493"/>
      <c r="I820" s="493"/>
      <c r="J820" s="493"/>
      <c r="K820" s="493"/>
      <c r="L820" s="493"/>
      <c r="M820" s="493"/>
      <c r="N820" s="493"/>
      <c r="O820" s="493"/>
    </row>
    <row r="821">
      <c r="A821" s="323"/>
      <c r="B821" s="323"/>
      <c r="C821" s="323"/>
      <c r="D821" s="493"/>
      <c r="E821" s="493"/>
      <c r="F821" s="493"/>
      <c r="G821" s="493"/>
      <c r="H821" s="493"/>
      <c r="I821" s="493"/>
      <c r="J821" s="493"/>
      <c r="K821" s="493"/>
      <c r="L821" s="493"/>
      <c r="M821" s="493"/>
      <c r="N821" s="493"/>
      <c r="O821" s="493"/>
    </row>
    <row r="822">
      <c r="A822" s="323"/>
      <c r="B822" s="323"/>
      <c r="C822" s="323"/>
      <c r="D822" s="493"/>
      <c r="E822" s="493"/>
      <c r="F822" s="493"/>
      <c r="G822" s="493"/>
      <c r="H822" s="493"/>
      <c r="I822" s="493"/>
      <c r="J822" s="493"/>
      <c r="K822" s="493"/>
      <c r="L822" s="493"/>
      <c r="M822" s="493"/>
      <c r="N822" s="493"/>
      <c r="O822" s="493"/>
    </row>
    <row r="823">
      <c r="A823" s="323"/>
      <c r="B823" s="323"/>
      <c r="C823" s="323"/>
      <c r="D823" s="493"/>
      <c r="E823" s="493"/>
      <c r="F823" s="493"/>
      <c r="G823" s="493"/>
      <c r="H823" s="493"/>
      <c r="I823" s="493"/>
      <c r="J823" s="493"/>
      <c r="K823" s="493"/>
      <c r="L823" s="493"/>
      <c r="M823" s="493"/>
      <c r="N823" s="493"/>
      <c r="O823" s="493"/>
    </row>
    <row r="824">
      <c r="A824" s="323"/>
      <c r="B824" s="323"/>
      <c r="C824" s="323"/>
      <c r="D824" s="493"/>
      <c r="E824" s="493"/>
      <c r="F824" s="493"/>
      <c r="G824" s="493"/>
      <c r="H824" s="493"/>
      <c r="I824" s="493"/>
      <c r="J824" s="493"/>
      <c r="K824" s="493"/>
      <c r="L824" s="493"/>
      <c r="M824" s="493"/>
      <c r="N824" s="493"/>
      <c r="O824" s="493"/>
    </row>
    <row r="825">
      <c r="A825" s="323"/>
      <c r="B825" s="323"/>
      <c r="C825" s="323"/>
      <c r="D825" s="493"/>
      <c r="E825" s="493"/>
      <c r="F825" s="493"/>
      <c r="G825" s="493"/>
      <c r="H825" s="493"/>
      <c r="I825" s="493"/>
      <c r="J825" s="493"/>
      <c r="K825" s="493"/>
      <c r="L825" s="493"/>
      <c r="M825" s="493"/>
      <c r="N825" s="493"/>
      <c r="O825" s="493"/>
    </row>
    <row r="826">
      <c r="A826" s="323"/>
      <c r="B826" s="323"/>
      <c r="C826" s="323"/>
      <c r="D826" s="493"/>
      <c r="E826" s="493"/>
      <c r="F826" s="493"/>
      <c r="G826" s="493"/>
      <c r="H826" s="493"/>
      <c r="I826" s="493"/>
      <c r="J826" s="493"/>
      <c r="K826" s="493"/>
      <c r="L826" s="493"/>
      <c r="M826" s="493"/>
      <c r="N826" s="493"/>
      <c r="O826" s="493"/>
    </row>
    <row r="827">
      <c r="A827" s="323"/>
      <c r="B827" s="323"/>
      <c r="C827" s="323"/>
      <c r="D827" s="493"/>
      <c r="E827" s="493"/>
      <c r="F827" s="493"/>
      <c r="G827" s="493"/>
      <c r="H827" s="493"/>
      <c r="I827" s="493"/>
      <c r="J827" s="493"/>
      <c r="K827" s="493"/>
      <c r="L827" s="493"/>
      <c r="M827" s="493"/>
      <c r="N827" s="493"/>
      <c r="O827" s="493"/>
    </row>
    <row r="828">
      <c r="A828" s="323"/>
      <c r="B828" s="323"/>
      <c r="C828" s="323"/>
      <c r="D828" s="493"/>
      <c r="E828" s="493"/>
      <c r="F828" s="493"/>
      <c r="G828" s="493"/>
      <c r="H828" s="493"/>
      <c r="I828" s="493"/>
      <c r="J828" s="493"/>
      <c r="K828" s="493"/>
      <c r="L828" s="493"/>
      <c r="M828" s="493"/>
      <c r="N828" s="493"/>
      <c r="O828" s="493"/>
    </row>
    <row r="829">
      <c r="A829" s="323"/>
      <c r="B829" s="323"/>
      <c r="C829" s="323"/>
      <c r="D829" s="493"/>
      <c r="E829" s="493"/>
      <c r="F829" s="493"/>
      <c r="G829" s="493"/>
      <c r="H829" s="493"/>
      <c r="I829" s="493"/>
      <c r="J829" s="493"/>
      <c r="K829" s="493"/>
      <c r="L829" s="493"/>
      <c r="M829" s="493"/>
      <c r="N829" s="493"/>
      <c r="O829" s="493"/>
    </row>
    <row r="830">
      <c r="A830" s="323"/>
      <c r="B830" s="323"/>
      <c r="C830" s="323"/>
      <c r="D830" s="493"/>
      <c r="E830" s="493"/>
      <c r="F830" s="493"/>
      <c r="G830" s="493"/>
      <c r="H830" s="493"/>
      <c r="I830" s="493"/>
      <c r="J830" s="493"/>
      <c r="K830" s="493"/>
      <c r="L830" s="493"/>
      <c r="M830" s="493"/>
      <c r="N830" s="493"/>
      <c r="O830" s="493"/>
    </row>
    <row r="831">
      <c r="A831" s="323"/>
      <c r="B831" s="323"/>
      <c r="C831" s="323"/>
      <c r="D831" s="493"/>
      <c r="E831" s="493"/>
      <c r="F831" s="493"/>
      <c r="G831" s="493"/>
      <c r="H831" s="493"/>
      <c r="I831" s="493"/>
      <c r="J831" s="493"/>
      <c r="K831" s="493"/>
      <c r="L831" s="493"/>
      <c r="M831" s="493"/>
      <c r="N831" s="493"/>
      <c r="O831" s="493"/>
    </row>
    <row r="832">
      <c r="A832" s="323"/>
      <c r="B832" s="323"/>
      <c r="C832" s="323"/>
      <c r="D832" s="493"/>
      <c r="E832" s="493"/>
      <c r="F832" s="493"/>
      <c r="G832" s="493"/>
      <c r="H832" s="493"/>
      <c r="I832" s="493"/>
      <c r="J832" s="493"/>
      <c r="K832" s="493"/>
      <c r="L832" s="493"/>
      <c r="M832" s="493"/>
      <c r="N832" s="493"/>
      <c r="O832" s="493"/>
    </row>
    <row r="833">
      <c r="A833" s="323"/>
      <c r="B833" s="323"/>
      <c r="C833" s="323"/>
      <c r="D833" s="493"/>
      <c r="E833" s="493"/>
      <c r="F833" s="493"/>
      <c r="G833" s="493"/>
      <c r="H833" s="493"/>
      <c r="I833" s="493"/>
      <c r="J833" s="493"/>
      <c r="K833" s="493"/>
      <c r="L833" s="493"/>
      <c r="M833" s="493"/>
      <c r="N833" s="493"/>
      <c r="O833" s="493"/>
    </row>
    <row r="834">
      <c r="A834" s="323"/>
      <c r="B834" s="323"/>
      <c r="C834" s="323"/>
      <c r="D834" s="493"/>
      <c r="E834" s="493"/>
      <c r="F834" s="493"/>
      <c r="G834" s="493"/>
      <c r="H834" s="493"/>
      <c r="I834" s="493"/>
      <c r="J834" s="493"/>
      <c r="K834" s="493"/>
      <c r="L834" s="493"/>
      <c r="M834" s="493"/>
      <c r="N834" s="493"/>
      <c r="O834" s="493"/>
    </row>
    <row r="835">
      <c r="A835" s="323"/>
      <c r="B835" s="323"/>
      <c r="C835" s="323"/>
      <c r="D835" s="493"/>
      <c r="E835" s="493"/>
      <c r="F835" s="493"/>
      <c r="G835" s="493"/>
      <c r="H835" s="493"/>
      <c r="I835" s="493"/>
      <c r="J835" s="493"/>
      <c r="K835" s="493"/>
      <c r="L835" s="493"/>
      <c r="M835" s="493"/>
      <c r="N835" s="493"/>
      <c r="O835" s="493"/>
    </row>
    <row r="836">
      <c r="A836" s="323"/>
      <c r="B836" s="323"/>
      <c r="C836" s="323"/>
      <c r="D836" s="493"/>
      <c r="E836" s="493"/>
      <c r="F836" s="493"/>
      <c r="G836" s="493"/>
      <c r="H836" s="493"/>
      <c r="I836" s="493"/>
      <c r="J836" s="493"/>
      <c r="K836" s="493"/>
      <c r="L836" s="493"/>
      <c r="M836" s="493"/>
      <c r="N836" s="493"/>
      <c r="O836" s="493"/>
    </row>
    <row r="837">
      <c r="A837" s="323"/>
      <c r="B837" s="323"/>
      <c r="C837" s="323"/>
      <c r="D837" s="493"/>
      <c r="E837" s="493"/>
      <c r="F837" s="493"/>
      <c r="G837" s="493"/>
      <c r="H837" s="493"/>
      <c r="I837" s="493"/>
      <c r="J837" s="493"/>
      <c r="K837" s="493"/>
      <c r="L837" s="493"/>
      <c r="M837" s="493"/>
      <c r="N837" s="493"/>
      <c r="O837" s="493"/>
    </row>
    <row r="838">
      <c r="A838" s="323"/>
      <c r="B838" s="323"/>
      <c r="C838" s="323"/>
      <c r="D838" s="493"/>
      <c r="E838" s="493"/>
      <c r="F838" s="493"/>
      <c r="G838" s="493"/>
      <c r="H838" s="493"/>
      <c r="I838" s="493"/>
      <c r="J838" s="493"/>
      <c r="K838" s="493"/>
      <c r="L838" s="493"/>
      <c r="M838" s="493"/>
      <c r="N838" s="493"/>
      <c r="O838" s="493"/>
    </row>
    <row r="839">
      <c r="A839" s="323"/>
      <c r="B839" s="323"/>
      <c r="C839" s="323"/>
      <c r="D839" s="493"/>
      <c r="E839" s="493"/>
      <c r="F839" s="493"/>
      <c r="G839" s="493"/>
      <c r="H839" s="493"/>
      <c r="I839" s="493"/>
      <c r="J839" s="493"/>
      <c r="K839" s="493"/>
      <c r="L839" s="493"/>
      <c r="M839" s="493"/>
      <c r="N839" s="493"/>
      <c r="O839" s="493"/>
    </row>
    <row r="840">
      <c r="A840" s="323"/>
      <c r="B840" s="323"/>
      <c r="C840" s="323"/>
      <c r="D840" s="493"/>
      <c r="E840" s="493"/>
      <c r="F840" s="493"/>
      <c r="G840" s="493"/>
      <c r="H840" s="493"/>
      <c r="I840" s="493"/>
      <c r="J840" s="493"/>
      <c r="K840" s="493"/>
      <c r="L840" s="493"/>
      <c r="M840" s="493"/>
      <c r="N840" s="493"/>
      <c r="O840" s="493"/>
    </row>
    <row r="841">
      <c r="A841" s="323"/>
      <c r="B841" s="323"/>
      <c r="C841" s="323"/>
      <c r="D841" s="493"/>
      <c r="E841" s="493"/>
      <c r="F841" s="493"/>
      <c r="G841" s="493"/>
      <c r="H841" s="493"/>
      <c r="I841" s="493"/>
      <c r="J841" s="493"/>
      <c r="K841" s="493"/>
      <c r="L841" s="493"/>
      <c r="M841" s="493"/>
      <c r="N841" s="493"/>
      <c r="O841" s="493"/>
    </row>
    <row r="842">
      <c r="A842" s="323"/>
      <c r="B842" s="323"/>
      <c r="C842" s="323"/>
      <c r="D842" s="493"/>
      <c r="E842" s="493"/>
      <c r="F842" s="493"/>
      <c r="G842" s="493"/>
      <c r="H842" s="493"/>
      <c r="I842" s="493"/>
      <c r="J842" s="493"/>
      <c r="K842" s="493"/>
      <c r="L842" s="493"/>
      <c r="M842" s="493"/>
      <c r="N842" s="493"/>
      <c r="O842" s="493"/>
    </row>
    <row r="843">
      <c r="A843" s="323"/>
      <c r="B843" s="323"/>
      <c r="C843" s="323"/>
      <c r="D843" s="493"/>
      <c r="E843" s="493"/>
      <c r="F843" s="493"/>
      <c r="G843" s="493"/>
      <c r="H843" s="493"/>
      <c r="I843" s="493"/>
      <c r="J843" s="493"/>
      <c r="K843" s="493"/>
      <c r="L843" s="493"/>
      <c r="M843" s="493"/>
      <c r="N843" s="493"/>
      <c r="O843" s="493"/>
    </row>
    <row r="844">
      <c r="A844" s="323"/>
      <c r="B844" s="323"/>
      <c r="C844" s="323"/>
      <c r="D844" s="493"/>
      <c r="E844" s="493"/>
      <c r="F844" s="493"/>
      <c r="G844" s="493"/>
      <c r="H844" s="493"/>
      <c r="I844" s="493"/>
      <c r="J844" s="493"/>
      <c r="K844" s="493"/>
      <c r="L844" s="493"/>
      <c r="M844" s="493"/>
      <c r="N844" s="493"/>
      <c r="O844" s="493"/>
    </row>
    <row r="845">
      <c r="A845" s="323"/>
      <c r="B845" s="323"/>
      <c r="C845" s="323"/>
      <c r="D845" s="493"/>
      <c r="E845" s="493"/>
      <c r="F845" s="493"/>
      <c r="G845" s="493"/>
      <c r="H845" s="493"/>
      <c r="I845" s="493"/>
      <c r="J845" s="493"/>
      <c r="K845" s="493"/>
      <c r="L845" s="493"/>
      <c r="M845" s="493"/>
      <c r="N845" s="493"/>
      <c r="O845" s="493"/>
    </row>
    <row r="846">
      <c r="A846" s="323"/>
      <c r="B846" s="323"/>
      <c r="C846" s="323"/>
      <c r="D846" s="493"/>
      <c r="E846" s="493"/>
      <c r="F846" s="493"/>
      <c r="G846" s="493"/>
      <c r="H846" s="493"/>
      <c r="I846" s="493"/>
      <c r="J846" s="493"/>
      <c r="K846" s="493"/>
      <c r="L846" s="493"/>
      <c r="M846" s="493"/>
      <c r="N846" s="493"/>
      <c r="O846" s="493"/>
    </row>
    <row r="847">
      <c r="A847" s="323"/>
      <c r="B847" s="323"/>
      <c r="C847" s="323"/>
      <c r="D847" s="493"/>
      <c r="E847" s="493"/>
      <c r="F847" s="493"/>
      <c r="G847" s="493"/>
      <c r="H847" s="493"/>
      <c r="I847" s="493"/>
      <c r="J847" s="493"/>
      <c r="K847" s="493"/>
      <c r="L847" s="493"/>
      <c r="M847" s="493"/>
      <c r="N847" s="493"/>
      <c r="O847" s="493"/>
    </row>
    <row r="848">
      <c r="A848" s="323"/>
      <c r="B848" s="323"/>
      <c r="C848" s="323"/>
      <c r="D848" s="493"/>
      <c r="E848" s="493"/>
      <c r="F848" s="493"/>
      <c r="G848" s="493"/>
      <c r="H848" s="493"/>
      <c r="I848" s="493"/>
      <c r="J848" s="493"/>
      <c r="K848" s="493"/>
      <c r="L848" s="493"/>
      <c r="M848" s="493"/>
      <c r="N848" s="493"/>
      <c r="O848" s="493"/>
    </row>
    <row r="849">
      <c r="A849" s="323"/>
      <c r="B849" s="323"/>
      <c r="C849" s="323"/>
      <c r="D849" s="493"/>
      <c r="E849" s="493"/>
      <c r="F849" s="493"/>
      <c r="G849" s="493"/>
      <c r="H849" s="493"/>
      <c r="I849" s="493"/>
      <c r="J849" s="493"/>
      <c r="K849" s="493"/>
      <c r="L849" s="493"/>
      <c r="M849" s="493"/>
      <c r="N849" s="493"/>
      <c r="O849" s="493"/>
    </row>
    <row r="850">
      <c r="A850" s="323"/>
      <c r="B850" s="323"/>
      <c r="C850" s="323"/>
      <c r="D850" s="493"/>
      <c r="E850" s="493"/>
      <c r="F850" s="493"/>
      <c r="G850" s="493"/>
      <c r="H850" s="493"/>
      <c r="I850" s="493"/>
      <c r="J850" s="493"/>
      <c r="K850" s="493"/>
      <c r="L850" s="493"/>
      <c r="M850" s="493"/>
      <c r="N850" s="493"/>
      <c r="O850" s="493"/>
    </row>
    <row r="851">
      <c r="A851" s="323"/>
      <c r="B851" s="323"/>
      <c r="C851" s="323"/>
      <c r="D851" s="493"/>
      <c r="E851" s="493"/>
      <c r="F851" s="493"/>
      <c r="G851" s="493"/>
      <c r="H851" s="493"/>
      <c r="I851" s="493"/>
      <c r="J851" s="493"/>
      <c r="K851" s="493"/>
      <c r="L851" s="493"/>
      <c r="M851" s="493"/>
      <c r="N851" s="493"/>
      <c r="O851" s="493"/>
    </row>
    <row r="852">
      <c r="A852" s="323"/>
      <c r="B852" s="323"/>
      <c r="C852" s="323"/>
      <c r="D852" s="493"/>
      <c r="E852" s="493"/>
      <c r="F852" s="493"/>
      <c r="G852" s="493"/>
      <c r="H852" s="493"/>
      <c r="I852" s="493"/>
      <c r="J852" s="493"/>
      <c r="K852" s="493"/>
      <c r="L852" s="493"/>
      <c r="M852" s="493"/>
      <c r="N852" s="493"/>
      <c r="O852" s="493"/>
    </row>
    <row r="853">
      <c r="A853" s="323"/>
      <c r="B853" s="323"/>
      <c r="C853" s="323"/>
      <c r="D853" s="493"/>
      <c r="E853" s="493"/>
      <c r="F853" s="493"/>
      <c r="G853" s="493"/>
      <c r="H853" s="493"/>
      <c r="I853" s="493"/>
      <c r="J853" s="493"/>
      <c r="K853" s="493"/>
      <c r="L853" s="493"/>
      <c r="M853" s="493"/>
      <c r="N853" s="493"/>
      <c r="O853" s="493"/>
    </row>
    <row r="854">
      <c r="A854" s="323"/>
      <c r="B854" s="323"/>
      <c r="C854" s="323"/>
      <c r="D854" s="493"/>
      <c r="E854" s="493"/>
      <c r="F854" s="493"/>
      <c r="G854" s="493"/>
      <c r="H854" s="493"/>
      <c r="I854" s="493"/>
      <c r="J854" s="493"/>
      <c r="K854" s="493"/>
      <c r="L854" s="493"/>
      <c r="M854" s="493"/>
      <c r="N854" s="493"/>
      <c r="O854" s="493"/>
    </row>
    <row r="855">
      <c r="A855" s="323"/>
      <c r="B855" s="323"/>
      <c r="C855" s="323"/>
      <c r="D855" s="493"/>
      <c r="E855" s="493"/>
      <c r="F855" s="493"/>
      <c r="G855" s="493"/>
      <c r="H855" s="493"/>
      <c r="I855" s="493"/>
      <c r="J855" s="493"/>
      <c r="K855" s="493"/>
      <c r="L855" s="493"/>
      <c r="M855" s="493"/>
      <c r="N855" s="493"/>
      <c r="O855" s="493"/>
    </row>
    <row r="856">
      <c r="A856" s="323"/>
      <c r="B856" s="323"/>
      <c r="C856" s="323"/>
      <c r="D856" s="493"/>
      <c r="E856" s="493"/>
      <c r="F856" s="493"/>
      <c r="G856" s="493"/>
      <c r="H856" s="493"/>
      <c r="I856" s="493"/>
      <c r="J856" s="493"/>
      <c r="K856" s="493"/>
      <c r="L856" s="493"/>
      <c r="M856" s="493"/>
      <c r="N856" s="493"/>
      <c r="O856" s="493"/>
    </row>
    <row r="857">
      <c r="A857" s="323"/>
      <c r="B857" s="323"/>
      <c r="C857" s="323"/>
      <c r="D857" s="493"/>
      <c r="E857" s="493"/>
      <c r="F857" s="493"/>
      <c r="G857" s="493"/>
      <c r="H857" s="493"/>
      <c r="I857" s="493"/>
      <c r="J857" s="493"/>
      <c r="K857" s="493"/>
      <c r="L857" s="493"/>
      <c r="M857" s="493"/>
      <c r="N857" s="493"/>
      <c r="O857" s="493"/>
    </row>
    <row r="858">
      <c r="A858" s="323"/>
      <c r="B858" s="323"/>
      <c r="C858" s="323"/>
      <c r="D858" s="493"/>
      <c r="E858" s="493"/>
      <c r="F858" s="493"/>
      <c r="G858" s="493"/>
      <c r="H858" s="493"/>
      <c r="I858" s="493"/>
      <c r="J858" s="493"/>
      <c r="K858" s="493"/>
      <c r="L858" s="493"/>
      <c r="M858" s="493"/>
      <c r="N858" s="493"/>
      <c r="O858" s="493"/>
    </row>
    <row r="859">
      <c r="A859" s="323"/>
      <c r="B859" s="323"/>
      <c r="C859" s="323"/>
      <c r="D859" s="493"/>
      <c r="E859" s="493"/>
      <c r="F859" s="493"/>
      <c r="G859" s="493"/>
      <c r="H859" s="493"/>
      <c r="I859" s="493"/>
      <c r="J859" s="493"/>
      <c r="K859" s="493"/>
      <c r="L859" s="493"/>
      <c r="M859" s="493"/>
      <c r="N859" s="493"/>
      <c r="O859" s="493"/>
    </row>
    <row r="860">
      <c r="A860" s="323"/>
      <c r="B860" s="323"/>
      <c r="C860" s="323"/>
      <c r="D860" s="493"/>
      <c r="E860" s="493"/>
      <c r="F860" s="493"/>
      <c r="G860" s="493"/>
      <c r="H860" s="493"/>
      <c r="I860" s="493"/>
      <c r="J860" s="493"/>
      <c r="K860" s="493"/>
      <c r="L860" s="493"/>
      <c r="M860" s="493"/>
      <c r="N860" s="493"/>
      <c r="O860" s="493"/>
    </row>
    <row r="861">
      <c r="A861" s="323"/>
      <c r="B861" s="323"/>
      <c r="C861" s="323"/>
      <c r="D861" s="493"/>
      <c r="E861" s="493"/>
      <c r="F861" s="493"/>
      <c r="G861" s="493"/>
      <c r="H861" s="493"/>
      <c r="I861" s="493"/>
      <c r="J861" s="493"/>
      <c r="K861" s="493"/>
      <c r="L861" s="493"/>
      <c r="M861" s="493"/>
      <c r="N861" s="493"/>
      <c r="O861" s="493"/>
    </row>
    <row r="862">
      <c r="A862" s="323"/>
      <c r="B862" s="323"/>
      <c r="C862" s="323"/>
      <c r="D862" s="493"/>
      <c r="E862" s="493"/>
      <c r="F862" s="493"/>
      <c r="G862" s="493"/>
      <c r="H862" s="493"/>
      <c r="I862" s="493"/>
      <c r="J862" s="493"/>
      <c r="K862" s="493"/>
      <c r="L862" s="493"/>
      <c r="M862" s="493"/>
      <c r="N862" s="493"/>
      <c r="O862" s="493"/>
    </row>
    <row r="863">
      <c r="A863" s="323"/>
      <c r="B863" s="323"/>
      <c r="C863" s="323"/>
      <c r="D863" s="493"/>
      <c r="E863" s="493"/>
      <c r="F863" s="493"/>
      <c r="G863" s="493"/>
      <c r="H863" s="493"/>
      <c r="I863" s="493"/>
      <c r="J863" s="493"/>
      <c r="K863" s="493"/>
      <c r="L863" s="493"/>
      <c r="M863" s="493"/>
      <c r="N863" s="493"/>
      <c r="O863" s="493"/>
    </row>
    <row r="864">
      <c r="A864" s="323"/>
      <c r="B864" s="323"/>
      <c r="C864" s="323"/>
      <c r="D864" s="493"/>
      <c r="E864" s="493"/>
      <c r="F864" s="493"/>
      <c r="G864" s="493"/>
      <c r="H864" s="493"/>
      <c r="I864" s="493"/>
      <c r="J864" s="493"/>
      <c r="K864" s="493"/>
      <c r="L864" s="493"/>
      <c r="M864" s="493"/>
      <c r="N864" s="493"/>
      <c r="O864" s="493"/>
    </row>
    <row r="865">
      <c r="A865" s="323"/>
      <c r="B865" s="323"/>
      <c r="C865" s="323"/>
      <c r="D865" s="493"/>
      <c r="E865" s="493"/>
      <c r="F865" s="493"/>
      <c r="G865" s="493"/>
      <c r="H865" s="493"/>
      <c r="I865" s="493"/>
      <c r="J865" s="493"/>
      <c r="K865" s="493"/>
      <c r="L865" s="493"/>
      <c r="M865" s="493"/>
      <c r="N865" s="493"/>
      <c r="O865" s="493"/>
    </row>
    <row r="866">
      <c r="A866" s="323"/>
      <c r="B866" s="323"/>
      <c r="C866" s="323"/>
      <c r="D866" s="493"/>
      <c r="E866" s="493"/>
      <c r="F866" s="493"/>
      <c r="G866" s="493"/>
      <c r="H866" s="493"/>
      <c r="I866" s="493"/>
      <c r="J866" s="493"/>
      <c r="K866" s="493"/>
      <c r="L866" s="493"/>
      <c r="M866" s="493"/>
      <c r="N866" s="493"/>
      <c r="O866" s="493"/>
    </row>
    <row r="867">
      <c r="A867" s="323"/>
      <c r="B867" s="323"/>
      <c r="C867" s="323"/>
      <c r="D867" s="493"/>
      <c r="E867" s="493"/>
      <c r="F867" s="493"/>
      <c r="G867" s="493"/>
      <c r="H867" s="493"/>
      <c r="I867" s="493"/>
      <c r="J867" s="493"/>
      <c r="K867" s="493"/>
      <c r="L867" s="493"/>
      <c r="M867" s="493"/>
      <c r="N867" s="493"/>
      <c r="O867" s="493"/>
    </row>
    <row r="868">
      <c r="A868" s="323"/>
      <c r="B868" s="323"/>
      <c r="C868" s="323"/>
      <c r="D868" s="493"/>
      <c r="E868" s="493"/>
      <c r="F868" s="493"/>
      <c r="G868" s="493"/>
      <c r="H868" s="493"/>
      <c r="I868" s="493"/>
      <c r="J868" s="493"/>
      <c r="K868" s="493"/>
      <c r="L868" s="493"/>
      <c r="M868" s="493"/>
      <c r="N868" s="493"/>
      <c r="O868" s="493"/>
    </row>
    <row r="869">
      <c r="A869" s="323"/>
      <c r="B869" s="323"/>
      <c r="C869" s="323"/>
      <c r="D869" s="493"/>
      <c r="E869" s="493"/>
      <c r="F869" s="493"/>
      <c r="G869" s="493"/>
      <c r="H869" s="493"/>
      <c r="I869" s="493"/>
      <c r="J869" s="493"/>
      <c r="K869" s="493"/>
      <c r="L869" s="493"/>
      <c r="M869" s="493"/>
      <c r="N869" s="493"/>
      <c r="O869" s="493"/>
    </row>
    <row r="870">
      <c r="A870" s="323"/>
      <c r="B870" s="323"/>
      <c r="C870" s="323"/>
      <c r="D870" s="493"/>
      <c r="E870" s="493"/>
      <c r="F870" s="493"/>
      <c r="G870" s="493"/>
      <c r="H870" s="493"/>
      <c r="I870" s="493"/>
      <c r="J870" s="493"/>
      <c r="K870" s="493"/>
      <c r="L870" s="493"/>
      <c r="M870" s="493"/>
      <c r="N870" s="493"/>
      <c r="O870" s="493"/>
    </row>
    <row r="871">
      <c r="A871" s="323"/>
      <c r="B871" s="323"/>
      <c r="C871" s="323"/>
      <c r="D871" s="493"/>
      <c r="E871" s="493"/>
      <c r="F871" s="493"/>
      <c r="G871" s="493"/>
      <c r="H871" s="493"/>
      <c r="I871" s="493"/>
      <c r="J871" s="493"/>
      <c r="K871" s="493"/>
      <c r="L871" s="493"/>
      <c r="M871" s="493"/>
      <c r="N871" s="493"/>
      <c r="O871" s="493"/>
    </row>
    <row r="872">
      <c r="A872" s="323"/>
      <c r="B872" s="323"/>
      <c r="C872" s="323"/>
      <c r="D872" s="493"/>
      <c r="E872" s="493"/>
      <c r="F872" s="493"/>
      <c r="G872" s="493"/>
      <c r="H872" s="493"/>
      <c r="I872" s="493"/>
      <c r="J872" s="493"/>
      <c r="K872" s="493"/>
      <c r="L872" s="493"/>
      <c r="M872" s="493"/>
      <c r="N872" s="493"/>
      <c r="O872" s="493"/>
    </row>
    <row r="873">
      <c r="A873" s="323"/>
      <c r="B873" s="323"/>
      <c r="C873" s="323"/>
      <c r="D873" s="493"/>
      <c r="E873" s="493"/>
      <c r="F873" s="493"/>
      <c r="G873" s="493"/>
      <c r="H873" s="493"/>
      <c r="I873" s="493"/>
      <c r="J873" s="493"/>
      <c r="K873" s="493"/>
      <c r="L873" s="493"/>
      <c r="M873" s="493"/>
      <c r="N873" s="493"/>
      <c r="O873" s="493"/>
    </row>
    <row r="874">
      <c r="A874" s="323"/>
      <c r="B874" s="323"/>
      <c r="C874" s="323"/>
      <c r="D874" s="493"/>
      <c r="E874" s="493"/>
      <c r="F874" s="493"/>
      <c r="G874" s="493"/>
      <c r="H874" s="493"/>
      <c r="I874" s="493"/>
      <c r="J874" s="493"/>
      <c r="K874" s="493"/>
      <c r="L874" s="493"/>
      <c r="M874" s="493"/>
      <c r="N874" s="493"/>
      <c r="O874" s="493"/>
    </row>
    <row r="875">
      <c r="A875" s="323"/>
      <c r="B875" s="323"/>
      <c r="C875" s="323"/>
      <c r="D875" s="493"/>
      <c r="E875" s="493"/>
      <c r="F875" s="493"/>
      <c r="G875" s="493"/>
      <c r="H875" s="493"/>
      <c r="I875" s="493"/>
      <c r="J875" s="493"/>
      <c r="K875" s="493"/>
      <c r="L875" s="493"/>
      <c r="M875" s="493"/>
      <c r="N875" s="493"/>
      <c r="O875" s="493"/>
    </row>
    <row r="876">
      <c r="A876" s="323"/>
      <c r="B876" s="323"/>
      <c r="C876" s="323"/>
      <c r="D876" s="493"/>
      <c r="E876" s="493"/>
      <c r="F876" s="493"/>
      <c r="G876" s="493"/>
      <c r="H876" s="493"/>
      <c r="I876" s="493"/>
      <c r="J876" s="493"/>
      <c r="K876" s="493"/>
      <c r="L876" s="493"/>
      <c r="M876" s="493"/>
      <c r="N876" s="493"/>
      <c r="O876" s="493"/>
    </row>
    <row r="877">
      <c r="A877" s="323"/>
      <c r="B877" s="323"/>
      <c r="C877" s="323"/>
      <c r="D877" s="493"/>
      <c r="E877" s="493"/>
      <c r="F877" s="493"/>
      <c r="G877" s="493"/>
      <c r="H877" s="493"/>
      <c r="I877" s="493"/>
      <c r="J877" s="493"/>
      <c r="K877" s="493"/>
      <c r="L877" s="493"/>
      <c r="M877" s="493"/>
      <c r="N877" s="493"/>
      <c r="O877" s="493"/>
    </row>
    <row r="878">
      <c r="A878" s="323"/>
      <c r="B878" s="323"/>
      <c r="C878" s="323"/>
      <c r="D878" s="493"/>
      <c r="E878" s="493"/>
      <c r="F878" s="493"/>
      <c r="G878" s="493"/>
      <c r="H878" s="493"/>
      <c r="I878" s="493"/>
      <c r="J878" s="493"/>
      <c r="K878" s="493"/>
      <c r="L878" s="493"/>
      <c r="M878" s="493"/>
      <c r="N878" s="493"/>
      <c r="O878" s="493"/>
    </row>
    <row r="879">
      <c r="A879" s="323"/>
      <c r="B879" s="323"/>
      <c r="C879" s="323"/>
      <c r="D879" s="493"/>
      <c r="E879" s="493"/>
      <c r="F879" s="493"/>
      <c r="G879" s="493"/>
      <c r="H879" s="493"/>
      <c r="I879" s="493"/>
      <c r="J879" s="493"/>
      <c r="K879" s="493"/>
      <c r="L879" s="493"/>
      <c r="M879" s="493"/>
      <c r="N879" s="493"/>
      <c r="O879" s="493"/>
    </row>
    <row r="880">
      <c r="A880" s="323"/>
      <c r="B880" s="323"/>
      <c r="C880" s="323"/>
      <c r="D880" s="493"/>
      <c r="E880" s="493"/>
      <c r="F880" s="493"/>
      <c r="G880" s="493"/>
      <c r="H880" s="493"/>
      <c r="I880" s="493"/>
      <c r="J880" s="493"/>
      <c r="K880" s="493"/>
      <c r="L880" s="493"/>
      <c r="M880" s="493"/>
      <c r="N880" s="493"/>
      <c r="O880" s="493"/>
    </row>
    <row r="881">
      <c r="A881" s="323"/>
      <c r="B881" s="323"/>
      <c r="C881" s="323"/>
      <c r="D881" s="493"/>
      <c r="E881" s="493"/>
      <c r="F881" s="493"/>
      <c r="G881" s="493"/>
      <c r="H881" s="493"/>
      <c r="I881" s="493"/>
      <c r="J881" s="493"/>
      <c r="K881" s="493"/>
      <c r="L881" s="493"/>
      <c r="M881" s="493"/>
      <c r="N881" s="493"/>
      <c r="O881" s="493"/>
    </row>
    <row r="882">
      <c r="A882" s="323"/>
      <c r="B882" s="323"/>
      <c r="C882" s="323"/>
      <c r="D882" s="493"/>
      <c r="E882" s="493"/>
      <c r="F882" s="493"/>
      <c r="G882" s="493"/>
      <c r="H882" s="493"/>
      <c r="I882" s="493"/>
      <c r="J882" s="493"/>
      <c r="K882" s="493"/>
      <c r="L882" s="493"/>
      <c r="M882" s="493"/>
      <c r="N882" s="493"/>
      <c r="O882" s="493"/>
    </row>
    <row r="883">
      <c r="A883" s="323"/>
      <c r="B883" s="323"/>
      <c r="C883" s="323"/>
      <c r="D883" s="493"/>
      <c r="E883" s="493"/>
      <c r="F883" s="493"/>
      <c r="G883" s="493"/>
      <c r="H883" s="493"/>
      <c r="I883" s="493"/>
      <c r="J883" s="493"/>
      <c r="K883" s="493"/>
      <c r="L883" s="493"/>
      <c r="M883" s="493"/>
      <c r="N883" s="493"/>
      <c r="O883" s="493"/>
    </row>
    <row r="884">
      <c r="A884" s="323"/>
      <c r="B884" s="323"/>
      <c r="C884" s="323"/>
      <c r="D884" s="493"/>
      <c r="E884" s="493"/>
      <c r="F884" s="493"/>
      <c r="G884" s="493"/>
      <c r="H884" s="493"/>
      <c r="I884" s="493"/>
      <c r="J884" s="493"/>
      <c r="K884" s="493"/>
      <c r="L884" s="493"/>
      <c r="M884" s="493"/>
      <c r="N884" s="493"/>
      <c r="O884" s="493"/>
    </row>
    <row r="885">
      <c r="A885" s="323"/>
      <c r="B885" s="323"/>
      <c r="C885" s="323"/>
      <c r="D885" s="493"/>
      <c r="E885" s="493"/>
      <c r="F885" s="493"/>
      <c r="G885" s="493"/>
      <c r="H885" s="493"/>
      <c r="I885" s="493"/>
      <c r="J885" s="493"/>
      <c r="K885" s="493"/>
      <c r="L885" s="493"/>
      <c r="M885" s="493"/>
      <c r="N885" s="493"/>
      <c r="O885" s="493"/>
    </row>
    <row r="886">
      <c r="A886" s="323"/>
      <c r="B886" s="323"/>
      <c r="C886" s="323"/>
      <c r="D886" s="493"/>
      <c r="E886" s="493"/>
      <c r="F886" s="493"/>
      <c r="G886" s="493"/>
      <c r="H886" s="493"/>
      <c r="I886" s="493"/>
      <c r="J886" s="493"/>
      <c r="K886" s="493"/>
      <c r="L886" s="493"/>
      <c r="M886" s="493"/>
      <c r="N886" s="493"/>
      <c r="O886" s="493"/>
    </row>
    <row r="887">
      <c r="A887" s="323"/>
      <c r="B887" s="323"/>
      <c r="C887" s="323"/>
      <c r="D887" s="493"/>
      <c r="E887" s="493"/>
      <c r="F887" s="493"/>
      <c r="G887" s="493"/>
      <c r="H887" s="493"/>
      <c r="I887" s="493"/>
      <c r="J887" s="493"/>
      <c r="K887" s="493"/>
      <c r="L887" s="493"/>
      <c r="M887" s="493"/>
      <c r="N887" s="493"/>
      <c r="O887" s="493"/>
    </row>
    <row r="888">
      <c r="A888" s="323"/>
      <c r="B888" s="323"/>
      <c r="C888" s="323"/>
      <c r="D888" s="493"/>
      <c r="E888" s="493"/>
      <c r="F888" s="493"/>
      <c r="G888" s="493"/>
      <c r="H888" s="493"/>
      <c r="I888" s="493"/>
      <c r="J888" s="493"/>
      <c r="K888" s="493"/>
      <c r="L888" s="493"/>
      <c r="M888" s="493"/>
      <c r="N888" s="493"/>
      <c r="O888" s="493"/>
    </row>
    <row r="889">
      <c r="A889" s="323"/>
      <c r="B889" s="323"/>
      <c r="C889" s="323"/>
      <c r="D889" s="493"/>
      <c r="E889" s="493"/>
      <c r="F889" s="493"/>
      <c r="G889" s="493"/>
      <c r="H889" s="493"/>
      <c r="I889" s="493"/>
      <c r="J889" s="493"/>
      <c r="K889" s="493"/>
      <c r="L889" s="493"/>
      <c r="M889" s="493"/>
      <c r="N889" s="493"/>
      <c r="O889" s="493"/>
    </row>
    <row r="890">
      <c r="A890" s="323"/>
      <c r="B890" s="323"/>
      <c r="C890" s="323"/>
      <c r="D890" s="493"/>
      <c r="E890" s="493"/>
      <c r="F890" s="493"/>
      <c r="G890" s="493"/>
      <c r="H890" s="493"/>
      <c r="I890" s="493"/>
      <c r="J890" s="493"/>
      <c r="K890" s="493"/>
      <c r="L890" s="493"/>
      <c r="M890" s="493"/>
      <c r="N890" s="493"/>
      <c r="O890" s="493"/>
    </row>
    <row r="891">
      <c r="A891" s="323"/>
      <c r="B891" s="323"/>
      <c r="C891" s="323"/>
      <c r="D891" s="493"/>
      <c r="E891" s="493"/>
      <c r="F891" s="493"/>
      <c r="G891" s="493"/>
      <c r="H891" s="493"/>
      <c r="I891" s="493"/>
      <c r="J891" s="493"/>
      <c r="K891" s="493"/>
      <c r="L891" s="493"/>
      <c r="M891" s="493"/>
      <c r="N891" s="493"/>
      <c r="O891" s="493"/>
    </row>
    <row r="892">
      <c r="A892" s="323"/>
      <c r="B892" s="323"/>
      <c r="C892" s="323"/>
      <c r="D892" s="493"/>
      <c r="E892" s="493"/>
      <c r="F892" s="493"/>
      <c r="G892" s="493"/>
      <c r="H892" s="493"/>
      <c r="I892" s="493"/>
      <c r="J892" s="493"/>
      <c r="K892" s="493"/>
      <c r="L892" s="493"/>
      <c r="M892" s="493"/>
      <c r="N892" s="493"/>
      <c r="O892" s="493"/>
    </row>
    <row r="893">
      <c r="A893" s="323"/>
      <c r="B893" s="323"/>
      <c r="C893" s="323"/>
      <c r="D893" s="493"/>
      <c r="E893" s="493"/>
      <c r="F893" s="493"/>
      <c r="G893" s="493"/>
      <c r="H893" s="493"/>
      <c r="I893" s="493"/>
      <c r="J893" s="493"/>
      <c r="K893" s="493"/>
      <c r="L893" s="493"/>
      <c r="M893" s="493"/>
      <c r="N893" s="493"/>
      <c r="O893" s="493"/>
    </row>
    <row r="894">
      <c r="A894" s="323"/>
      <c r="B894" s="323"/>
      <c r="C894" s="323"/>
      <c r="D894" s="493"/>
      <c r="E894" s="493"/>
      <c r="F894" s="493"/>
      <c r="G894" s="493"/>
      <c r="H894" s="493"/>
      <c r="I894" s="493"/>
      <c r="J894" s="493"/>
      <c r="K894" s="493"/>
      <c r="L894" s="493"/>
      <c r="M894" s="493"/>
      <c r="N894" s="493"/>
      <c r="O894" s="493"/>
    </row>
    <row r="895">
      <c r="A895" s="323"/>
      <c r="B895" s="323"/>
      <c r="C895" s="323"/>
      <c r="D895" s="493"/>
      <c r="E895" s="493"/>
      <c r="F895" s="493"/>
      <c r="G895" s="493"/>
      <c r="H895" s="493"/>
      <c r="I895" s="493"/>
      <c r="J895" s="493"/>
      <c r="K895" s="493"/>
      <c r="L895" s="493"/>
      <c r="M895" s="493"/>
      <c r="N895" s="493"/>
      <c r="O895" s="493"/>
    </row>
    <row r="896">
      <c r="A896" s="323"/>
      <c r="B896" s="323"/>
      <c r="C896" s="323"/>
      <c r="D896" s="493"/>
      <c r="E896" s="493"/>
      <c r="F896" s="493"/>
      <c r="G896" s="493"/>
      <c r="H896" s="493"/>
      <c r="I896" s="493"/>
      <c r="J896" s="493"/>
      <c r="K896" s="493"/>
      <c r="L896" s="493"/>
      <c r="M896" s="493"/>
      <c r="N896" s="493"/>
      <c r="O896" s="493"/>
    </row>
    <row r="897">
      <c r="A897" s="323"/>
      <c r="B897" s="323"/>
      <c r="C897" s="323"/>
      <c r="D897" s="493"/>
      <c r="E897" s="493"/>
      <c r="F897" s="493"/>
      <c r="G897" s="493"/>
      <c r="H897" s="493"/>
      <c r="I897" s="493"/>
      <c r="J897" s="493"/>
      <c r="K897" s="493"/>
      <c r="L897" s="493"/>
      <c r="M897" s="493"/>
      <c r="N897" s="493"/>
      <c r="O897" s="493"/>
    </row>
    <row r="898">
      <c r="A898" s="323"/>
      <c r="B898" s="323"/>
      <c r="C898" s="323"/>
      <c r="D898" s="493"/>
      <c r="E898" s="493"/>
      <c r="F898" s="493"/>
      <c r="G898" s="493"/>
      <c r="H898" s="493"/>
      <c r="I898" s="493"/>
      <c r="J898" s="493"/>
      <c r="K898" s="493"/>
      <c r="L898" s="493"/>
      <c r="M898" s="493"/>
      <c r="N898" s="493"/>
      <c r="O898" s="493"/>
    </row>
    <row r="899">
      <c r="A899" s="323"/>
      <c r="B899" s="323"/>
      <c r="C899" s="323"/>
      <c r="D899" s="493"/>
      <c r="E899" s="493"/>
      <c r="F899" s="493"/>
      <c r="G899" s="493"/>
      <c r="H899" s="493"/>
      <c r="I899" s="493"/>
      <c r="J899" s="493"/>
      <c r="K899" s="493"/>
      <c r="L899" s="493"/>
      <c r="M899" s="493"/>
      <c r="N899" s="493"/>
      <c r="O899" s="493"/>
    </row>
    <row r="900">
      <c r="A900" s="323"/>
      <c r="B900" s="323"/>
      <c r="C900" s="323"/>
      <c r="D900" s="493"/>
      <c r="E900" s="493"/>
      <c r="F900" s="493"/>
      <c r="G900" s="493"/>
      <c r="H900" s="493"/>
      <c r="I900" s="493"/>
      <c r="J900" s="493"/>
      <c r="K900" s="493"/>
      <c r="L900" s="493"/>
      <c r="M900" s="493"/>
      <c r="N900" s="493"/>
      <c r="O900" s="493"/>
    </row>
    <row r="901">
      <c r="A901" s="323"/>
      <c r="B901" s="323"/>
      <c r="C901" s="323"/>
      <c r="D901" s="493"/>
      <c r="E901" s="493"/>
      <c r="F901" s="493"/>
      <c r="G901" s="493"/>
      <c r="H901" s="493"/>
      <c r="I901" s="493"/>
      <c r="J901" s="493"/>
      <c r="K901" s="493"/>
      <c r="L901" s="493"/>
      <c r="M901" s="493"/>
      <c r="N901" s="493"/>
      <c r="O901" s="493"/>
    </row>
    <row r="902">
      <c r="A902" s="323"/>
      <c r="B902" s="323"/>
      <c r="C902" s="323"/>
      <c r="D902" s="493"/>
      <c r="E902" s="493"/>
      <c r="F902" s="493"/>
      <c r="G902" s="493"/>
      <c r="H902" s="493"/>
      <c r="I902" s="493"/>
      <c r="J902" s="493"/>
      <c r="K902" s="493"/>
      <c r="L902" s="493"/>
      <c r="M902" s="493"/>
      <c r="N902" s="493"/>
      <c r="O902" s="493"/>
    </row>
    <row r="903">
      <c r="A903" s="323"/>
      <c r="B903" s="323"/>
      <c r="C903" s="323"/>
      <c r="D903" s="493"/>
      <c r="E903" s="493"/>
      <c r="F903" s="493"/>
      <c r="G903" s="493"/>
      <c r="H903" s="493"/>
      <c r="I903" s="493"/>
      <c r="J903" s="493"/>
      <c r="K903" s="493"/>
      <c r="L903" s="493"/>
      <c r="M903" s="493"/>
      <c r="N903" s="493"/>
      <c r="O903" s="493"/>
    </row>
    <row r="904">
      <c r="A904" s="323"/>
      <c r="B904" s="323"/>
      <c r="C904" s="323"/>
      <c r="D904" s="493"/>
      <c r="E904" s="493"/>
      <c r="F904" s="493"/>
      <c r="G904" s="493"/>
      <c r="H904" s="493"/>
      <c r="I904" s="493"/>
      <c r="J904" s="493"/>
      <c r="K904" s="493"/>
      <c r="L904" s="493"/>
      <c r="M904" s="493"/>
      <c r="N904" s="493"/>
      <c r="O904" s="493"/>
    </row>
    <row r="905">
      <c r="A905" s="323"/>
      <c r="B905" s="323"/>
      <c r="C905" s="323"/>
      <c r="D905" s="493"/>
      <c r="E905" s="493"/>
      <c r="F905" s="493"/>
      <c r="G905" s="493"/>
      <c r="H905" s="493"/>
      <c r="I905" s="493"/>
      <c r="J905" s="493"/>
      <c r="K905" s="493"/>
      <c r="L905" s="493"/>
      <c r="M905" s="493"/>
      <c r="N905" s="493"/>
      <c r="O905" s="493"/>
    </row>
    <row r="906">
      <c r="A906" s="323"/>
      <c r="B906" s="323"/>
      <c r="C906" s="323"/>
      <c r="D906" s="493"/>
      <c r="E906" s="493"/>
      <c r="F906" s="493"/>
      <c r="G906" s="493"/>
      <c r="H906" s="493"/>
      <c r="I906" s="493"/>
      <c r="J906" s="493"/>
      <c r="K906" s="493"/>
      <c r="L906" s="493"/>
      <c r="M906" s="493"/>
      <c r="N906" s="493"/>
      <c r="O906" s="493"/>
    </row>
    <row r="907">
      <c r="A907" s="323"/>
      <c r="B907" s="323"/>
      <c r="C907" s="323"/>
      <c r="D907" s="493"/>
      <c r="E907" s="493"/>
      <c r="F907" s="493"/>
      <c r="G907" s="493"/>
      <c r="H907" s="493"/>
      <c r="I907" s="493"/>
      <c r="J907" s="493"/>
      <c r="K907" s="493"/>
      <c r="L907" s="493"/>
      <c r="M907" s="493"/>
      <c r="N907" s="493"/>
      <c r="O907" s="493"/>
    </row>
    <row r="908">
      <c r="A908" s="323"/>
      <c r="B908" s="323"/>
      <c r="C908" s="323"/>
      <c r="D908" s="493"/>
      <c r="E908" s="493"/>
      <c r="F908" s="493"/>
      <c r="G908" s="493"/>
      <c r="H908" s="493"/>
      <c r="I908" s="493"/>
      <c r="J908" s="493"/>
      <c r="K908" s="493"/>
      <c r="L908" s="493"/>
      <c r="M908" s="493"/>
      <c r="N908" s="493"/>
      <c r="O908" s="493"/>
    </row>
    <row r="909">
      <c r="A909" s="323"/>
      <c r="B909" s="323"/>
      <c r="C909" s="323"/>
      <c r="D909" s="493"/>
      <c r="E909" s="493"/>
      <c r="F909" s="493"/>
      <c r="G909" s="493"/>
      <c r="H909" s="493"/>
      <c r="I909" s="493"/>
      <c r="J909" s="493"/>
      <c r="K909" s="493"/>
      <c r="L909" s="493"/>
      <c r="M909" s="493"/>
      <c r="N909" s="493"/>
      <c r="O909" s="493"/>
    </row>
    <row r="910">
      <c r="A910" s="323"/>
      <c r="B910" s="323"/>
      <c r="C910" s="323"/>
      <c r="D910" s="493"/>
      <c r="E910" s="493"/>
      <c r="F910" s="493"/>
      <c r="G910" s="493"/>
      <c r="H910" s="493"/>
      <c r="I910" s="493"/>
      <c r="J910" s="493"/>
      <c r="K910" s="493"/>
      <c r="L910" s="493"/>
      <c r="M910" s="493"/>
      <c r="N910" s="493"/>
      <c r="O910" s="493"/>
    </row>
    <row r="911">
      <c r="A911" s="323"/>
      <c r="B911" s="323"/>
      <c r="C911" s="323"/>
      <c r="D911" s="493"/>
      <c r="E911" s="493"/>
      <c r="F911" s="493"/>
      <c r="G911" s="493"/>
      <c r="H911" s="493"/>
      <c r="I911" s="493"/>
      <c r="J911" s="493"/>
      <c r="K911" s="493"/>
      <c r="L911" s="493"/>
      <c r="M911" s="493"/>
      <c r="N911" s="493"/>
      <c r="O911" s="493"/>
    </row>
    <row r="912">
      <c r="A912" s="323"/>
      <c r="B912" s="323"/>
      <c r="C912" s="323"/>
      <c r="D912" s="493"/>
      <c r="E912" s="493"/>
      <c r="F912" s="493"/>
      <c r="G912" s="493"/>
      <c r="H912" s="493"/>
      <c r="I912" s="493"/>
      <c r="J912" s="493"/>
      <c r="K912" s="493"/>
      <c r="L912" s="493"/>
      <c r="M912" s="493"/>
      <c r="N912" s="493"/>
      <c r="O912" s="493"/>
    </row>
    <row r="913">
      <c r="A913" s="323"/>
      <c r="B913" s="323"/>
      <c r="C913" s="323"/>
      <c r="D913" s="493"/>
      <c r="E913" s="493"/>
      <c r="F913" s="493"/>
      <c r="G913" s="493"/>
      <c r="H913" s="493"/>
      <c r="I913" s="493"/>
      <c r="J913" s="493"/>
      <c r="K913" s="493"/>
      <c r="L913" s="493"/>
      <c r="M913" s="493"/>
      <c r="N913" s="493"/>
      <c r="O913" s="493"/>
    </row>
    <row r="914">
      <c r="A914" s="323"/>
      <c r="B914" s="323"/>
      <c r="C914" s="323"/>
      <c r="D914" s="493"/>
      <c r="E914" s="493"/>
      <c r="F914" s="493"/>
      <c r="G914" s="493"/>
      <c r="H914" s="493"/>
      <c r="I914" s="493"/>
      <c r="J914" s="493"/>
      <c r="K914" s="493"/>
      <c r="L914" s="493"/>
      <c r="M914" s="493"/>
      <c r="N914" s="493"/>
      <c r="O914" s="493"/>
    </row>
    <row r="915">
      <c r="A915" s="323"/>
      <c r="B915" s="323"/>
      <c r="C915" s="323"/>
      <c r="D915" s="493"/>
      <c r="E915" s="493"/>
      <c r="F915" s="493"/>
      <c r="G915" s="493"/>
      <c r="H915" s="493"/>
      <c r="I915" s="493"/>
      <c r="J915" s="493"/>
      <c r="K915" s="493"/>
      <c r="L915" s="493"/>
      <c r="M915" s="493"/>
      <c r="N915" s="493"/>
      <c r="O915" s="493"/>
    </row>
    <row r="916">
      <c r="A916" s="323"/>
      <c r="B916" s="323"/>
      <c r="C916" s="323"/>
      <c r="D916" s="493"/>
      <c r="E916" s="493"/>
      <c r="F916" s="493"/>
      <c r="G916" s="493"/>
      <c r="H916" s="493"/>
      <c r="I916" s="493"/>
      <c r="J916" s="493"/>
      <c r="K916" s="493"/>
      <c r="L916" s="493"/>
      <c r="M916" s="493"/>
      <c r="N916" s="493"/>
      <c r="O916" s="493"/>
    </row>
    <row r="917">
      <c r="A917" s="323"/>
      <c r="B917" s="323"/>
      <c r="C917" s="323"/>
      <c r="D917" s="493"/>
      <c r="E917" s="493"/>
      <c r="F917" s="493"/>
      <c r="G917" s="493"/>
      <c r="H917" s="493"/>
      <c r="I917" s="493"/>
      <c r="J917" s="493"/>
      <c r="K917" s="493"/>
      <c r="L917" s="493"/>
      <c r="M917" s="493"/>
      <c r="N917" s="493"/>
      <c r="O917" s="493"/>
    </row>
    <row r="918">
      <c r="A918" s="323"/>
      <c r="B918" s="323"/>
      <c r="C918" s="323"/>
      <c r="D918" s="493"/>
      <c r="E918" s="493"/>
      <c r="F918" s="493"/>
      <c r="G918" s="493"/>
      <c r="H918" s="493"/>
      <c r="I918" s="493"/>
      <c r="J918" s="493"/>
      <c r="K918" s="493"/>
      <c r="L918" s="493"/>
      <c r="M918" s="493"/>
      <c r="N918" s="493"/>
      <c r="O918" s="493"/>
    </row>
    <row r="919">
      <c r="A919" s="323"/>
      <c r="B919" s="323"/>
      <c r="C919" s="323"/>
      <c r="D919" s="493"/>
      <c r="E919" s="493"/>
      <c r="F919" s="493"/>
      <c r="G919" s="493"/>
      <c r="H919" s="493"/>
      <c r="I919" s="493"/>
      <c r="J919" s="493"/>
      <c r="K919" s="493"/>
      <c r="L919" s="493"/>
      <c r="M919" s="493"/>
      <c r="N919" s="493"/>
      <c r="O919" s="493"/>
    </row>
    <row r="920">
      <c r="A920" s="323"/>
      <c r="B920" s="323"/>
      <c r="C920" s="323"/>
      <c r="D920" s="493"/>
      <c r="E920" s="493"/>
      <c r="F920" s="493"/>
      <c r="G920" s="493"/>
      <c r="H920" s="493"/>
      <c r="I920" s="493"/>
      <c r="J920" s="493"/>
      <c r="K920" s="493"/>
      <c r="L920" s="493"/>
      <c r="M920" s="493"/>
      <c r="N920" s="493"/>
      <c r="O920" s="493"/>
    </row>
    <row r="921">
      <c r="A921" s="323"/>
      <c r="B921" s="323"/>
      <c r="C921" s="323"/>
      <c r="D921" s="493"/>
      <c r="E921" s="493"/>
      <c r="F921" s="493"/>
      <c r="G921" s="493"/>
      <c r="H921" s="493"/>
      <c r="I921" s="493"/>
      <c r="J921" s="493"/>
      <c r="K921" s="493"/>
      <c r="L921" s="493"/>
      <c r="M921" s="493"/>
      <c r="N921" s="493"/>
      <c r="O921" s="493"/>
    </row>
    <row r="922">
      <c r="A922" s="323"/>
      <c r="B922" s="323"/>
      <c r="C922" s="323"/>
      <c r="D922" s="493"/>
      <c r="E922" s="493"/>
      <c r="F922" s="493"/>
      <c r="G922" s="493"/>
      <c r="H922" s="493"/>
      <c r="I922" s="493"/>
      <c r="J922" s="493"/>
      <c r="K922" s="493"/>
      <c r="L922" s="493"/>
      <c r="M922" s="493"/>
      <c r="N922" s="493"/>
      <c r="O922" s="493"/>
    </row>
    <row r="923">
      <c r="A923" s="323"/>
      <c r="B923" s="323"/>
      <c r="C923" s="323"/>
      <c r="D923" s="493"/>
      <c r="E923" s="493"/>
      <c r="F923" s="493"/>
      <c r="G923" s="493"/>
      <c r="H923" s="493"/>
      <c r="I923" s="493"/>
      <c r="J923" s="493"/>
      <c r="K923" s="493"/>
      <c r="L923" s="493"/>
      <c r="M923" s="493"/>
      <c r="N923" s="493"/>
      <c r="O923" s="493"/>
    </row>
    <row r="924">
      <c r="A924" s="323"/>
      <c r="B924" s="323"/>
      <c r="C924" s="323"/>
      <c r="D924" s="493"/>
      <c r="E924" s="493"/>
      <c r="F924" s="493"/>
      <c r="G924" s="493"/>
      <c r="H924" s="493"/>
      <c r="I924" s="493"/>
      <c r="J924" s="493"/>
      <c r="K924" s="493"/>
      <c r="L924" s="493"/>
      <c r="M924" s="493"/>
      <c r="N924" s="493"/>
      <c r="O924" s="493"/>
    </row>
    <row r="925">
      <c r="A925" s="323"/>
      <c r="B925" s="323"/>
      <c r="C925" s="323"/>
      <c r="D925" s="493"/>
      <c r="E925" s="493"/>
      <c r="F925" s="493"/>
      <c r="G925" s="493"/>
      <c r="H925" s="493"/>
      <c r="I925" s="493"/>
      <c r="J925" s="493"/>
      <c r="K925" s="493"/>
      <c r="L925" s="493"/>
      <c r="M925" s="493"/>
      <c r="N925" s="493"/>
      <c r="O925" s="493"/>
    </row>
    <row r="926">
      <c r="A926" s="323"/>
      <c r="B926" s="323"/>
      <c r="C926" s="323"/>
      <c r="D926" s="493"/>
      <c r="E926" s="493"/>
      <c r="F926" s="493"/>
      <c r="G926" s="493"/>
      <c r="H926" s="493"/>
      <c r="I926" s="493"/>
      <c r="J926" s="493"/>
      <c r="K926" s="493"/>
      <c r="L926" s="493"/>
      <c r="M926" s="493"/>
      <c r="N926" s="493"/>
      <c r="O926" s="493"/>
    </row>
    <row r="927">
      <c r="A927" s="323"/>
      <c r="B927" s="323"/>
      <c r="C927" s="323"/>
      <c r="D927" s="493"/>
      <c r="E927" s="493"/>
      <c r="F927" s="493"/>
      <c r="G927" s="493"/>
      <c r="H927" s="493"/>
      <c r="I927" s="493"/>
      <c r="J927" s="493"/>
      <c r="K927" s="493"/>
      <c r="L927" s="493"/>
      <c r="M927" s="493"/>
      <c r="N927" s="493"/>
      <c r="O927" s="493"/>
    </row>
    <row r="928">
      <c r="A928" s="323"/>
      <c r="B928" s="323"/>
      <c r="C928" s="323"/>
      <c r="D928" s="493"/>
      <c r="E928" s="493"/>
      <c r="F928" s="493"/>
      <c r="G928" s="493"/>
      <c r="H928" s="493"/>
      <c r="I928" s="493"/>
      <c r="J928" s="493"/>
      <c r="K928" s="493"/>
      <c r="L928" s="493"/>
      <c r="M928" s="493"/>
      <c r="N928" s="493"/>
      <c r="O928" s="493"/>
    </row>
    <row r="929">
      <c r="A929" s="323"/>
      <c r="B929" s="323"/>
      <c r="C929" s="323"/>
      <c r="D929" s="493"/>
      <c r="E929" s="493"/>
      <c r="F929" s="493"/>
      <c r="G929" s="493"/>
      <c r="H929" s="493"/>
      <c r="I929" s="493"/>
      <c r="J929" s="493"/>
      <c r="K929" s="493"/>
      <c r="L929" s="493"/>
      <c r="M929" s="493"/>
      <c r="N929" s="493"/>
      <c r="O929" s="493"/>
    </row>
    <row r="930">
      <c r="A930" s="323"/>
      <c r="B930" s="323"/>
      <c r="C930" s="323"/>
      <c r="D930" s="493"/>
      <c r="E930" s="493"/>
      <c r="F930" s="493"/>
      <c r="G930" s="493"/>
      <c r="H930" s="493"/>
      <c r="I930" s="493"/>
      <c r="J930" s="493"/>
      <c r="K930" s="493"/>
      <c r="L930" s="493"/>
      <c r="M930" s="493"/>
      <c r="N930" s="493"/>
      <c r="O930" s="493"/>
    </row>
    <row r="931">
      <c r="A931" s="323"/>
      <c r="B931" s="323"/>
      <c r="C931" s="323"/>
      <c r="D931" s="493"/>
      <c r="E931" s="493"/>
      <c r="F931" s="493"/>
      <c r="G931" s="493"/>
      <c r="H931" s="493"/>
      <c r="I931" s="493"/>
      <c r="J931" s="493"/>
      <c r="K931" s="493"/>
      <c r="L931" s="493"/>
      <c r="M931" s="493"/>
      <c r="N931" s="493"/>
      <c r="O931" s="493"/>
    </row>
    <row r="932">
      <c r="A932" s="323"/>
      <c r="B932" s="323"/>
      <c r="C932" s="323"/>
      <c r="D932" s="493"/>
      <c r="E932" s="493"/>
      <c r="F932" s="493"/>
      <c r="G932" s="493"/>
      <c r="H932" s="493"/>
      <c r="I932" s="493"/>
      <c r="J932" s="493"/>
      <c r="K932" s="493"/>
      <c r="L932" s="493"/>
      <c r="M932" s="493"/>
      <c r="N932" s="493"/>
      <c r="O932" s="493"/>
    </row>
    <row r="933">
      <c r="A933" s="323"/>
      <c r="B933" s="323"/>
      <c r="C933" s="323"/>
      <c r="D933" s="493"/>
      <c r="E933" s="493"/>
      <c r="F933" s="493"/>
      <c r="G933" s="493"/>
      <c r="H933" s="493"/>
      <c r="I933" s="493"/>
      <c r="J933" s="493"/>
      <c r="K933" s="493"/>
      <c r="L933" s="493"/>
      <c r="M933" s="493"/>
      <c r="N933" s="493"/>
      <c r="O933" s="493"/>
    </row>
    <row r="934">
      <c r="A934" s="323"/>
      <c r="B934" s="323"/>
      <c r="C934" s="323"/>
      <c r="D934" s="493"/>
      <c r="E934" s="493"/>
      <c r="F934" s="493"/>
      <c r="G934" s="493"/>
      <c r="H934" s="493"/>
      <c r="I934" s="493"/>
      <c r="J934" s="493"/>
      <c r="K934" s="493"/>
      <c r="L934" s="493"/>
      <c r="M934" s="493"/>
      <c r="N934" s="493"/>
      <c r="O934" s="493"/>
    </row>
    <row r="935">
      <c r="A935" s="323"/>
      <c r="B935" s="323"/>
      <c r="C935" s="323"/>
      <c r="D935" s="493"/>
      <c r="E935" s="493"/>
      <c r="F935" s="493"/>
      <c r="G935" s="493"/>
      <c r="H935" s="493"/>
      <c r="I935" s="493"/>
      <c r="J935" s="493"/>
      <c r="K935" s="493"/>
      <c r="L935" s="493"/>
      <c r="M935" s="493"/>
      <c r="N935" s="493"/>
      <c r="O935" s="493"/>
    </row>
    <row r="936">
      <c r="A936" s="323"/>
      <c r="B936" s="323"/>
      <c r="C936" s="323"/>
      <c r="D936" s="493"/>
      <c r="E936" s="493"/>
      <c r="F936" s="493"/>
      <c r="G936" s="493"/>
      <c r="H936" s="493"/>
      <c r="I936" s="493"/>
      <c r="J936" s="493"/>
      <c r="K936" s="493"/>
      <c r="L936" s="493"/>
      <c r="M936" s="493"/>
      <c r="N936" s="493"/>
      <c r="O936" s="493"/>
    </row>
    <row r="937">
      <c r="A937" s="323"/>
      <c r="B937" s="323"/>
      <c r="C937" s="323"/>
      <c r="D937" s="493"/>
      <c r="E937" s="493"/>
      <c r="F937" s="493"/>
      <c r="G937" s="493"/>
      <c r="H937" s="493"/>
      <c r="I937" s="493"/>
      <c r="J937" s="493"/>
      <c r="K937" s="493"/>
      <c r="L937" s="493"/>
      <c r="M937" s="493"/>
      <c r="N937" s="493"/>
      <c r="O937" s="493"/>
    </row>
    <row r="938">
      <c r="A938" s="323"/>
      <c r="B938" s="323"/>
      <c r="C938" s="323"/>
      <c r="D938" s="493"/>
      <c r="E938" s="493"/>
      <c r="F938" s="493"/>
      <c r="G938" s="493"/>
      <c r="H938" s="493"/>
      <c r="I938" s="493"/>
      <c r="J938" s="493"/>
      <c r="K938" s="493"/>
      <c r="L938" s="493"/>
      <c r="M938" s="493"/>
      <c r="N938" s="493"/>
      <c r="O938" s="493"/>
    </row>
    <row r="939">
      <c r="A939" s="323"/>
      <c r="B939" s="323"/>
      <c r="C939" s="323"/>
      <c r="D939" s="493"/>
      <c r="E939" s="493"/>
      <c r="F939" s="493"/>
      <c r="G939" s="493"/>
      <c r="H939" s="493"/>
      <c r="I939" s="493"/>
      <c r="J939" s="493"/>
      <c r="K939" s="493"/>
      <c r="L939" s="493"/>
      <c r="M939" s="493"/>
      <c r="N939" s="493"/>
      <c r="O939" s="493"/>
    </row>
    <row r="940">
      <c r="A940" s="323"/>
      <c r="B940" s="323"/>
      <c r="C940" s="323"/>
      <c r="D940" s="493"/>
      <c r="E940" s="493"/>
      <c r="F940" s="493"/>
      <c r="G940" s="493"/>
      <c r="H940" s="493"/>
      <c r="I940" s="493"/>
      <c r="J940" s="493"/>
      <c r="K940" s="493"/>
      <c r="L940" s="493"/>
      <c r="M940" s="493"/>
      <c r="N940" s="493"/>
      <c r="O940" s="493"/>
    </row>
    <row r="941">
      <c r="A941" s="323"/>
      <c r="B941" s="323"/>
      <c r="C941" s="323"/>
      <c r="D941" s="493"/>
      <c r="E941" s="493"/>
      <c r="F941" s="493"/>
      <c r="G941" s="493"/>
      <c r="H941" s="493"/>
      <c r="I941" s="493"/>
      <c r="J941" s="493"/>
      <c r="K941" s="493"/>
      <c r="L941" s="493"/>
      <c r="M941" s="493"/>
      <c r="N941" s="493"/>
      <c r="O941" s="493"/>
    </row>
    <row r="942">
      <c r="A942" s="323"/>
      <c r="B942" s="323"/>
      <c r="C942" s="323"/>
      <c r="D942" s="493"/>
      <c r="E942" s="493"/>
      <c r="F942" s="493"/>
      <c r="G942" s="493"/>
      <c r="H942" s="493"/>
      <c r="I942" s="493"/>
      <c r="J942" s="493"/>
      <c r="K942" s="493"/>
      <c r="L942" s="493"/>
      <c r="M942" s="493"/>
      <c r="N942" s="493"/>
      <c r="O942" s="493"/>
    </row>
    <row r="943">
      <c r="A943" s="323"/>
      <c r="B943" s="323"/>
      <c r="C943" s="323"/>
      <c r="D943" s="493"/>
      <c r="E943" s="493"/>
      <c r="F943" s="493"/>
      <c r="G943" s="493"/>
      <c r="H943" s="493"/>
      <c r="I943" s="493"/>
      <c r="J943" s="493"/>
      <c r="K943" s="493"/>
      <c r="L943" s="493"/>
      <c r="M943" s="493"/>
      <c r="N943" s="493"/>
      <c r="O943" s="493"/>
    </row>
    <row r="944">
      <c r="A944" s="323"/>
      <c r="B944" s="323"/>
      <c r="C944" s="323"/>
      <c r="D944" s="493"/>
      <c r="E944" s="493"/>
      <c r="F944" s="493"/>
      <c r="G944" s="493"/>
      <c r="H944" s="493"/>
      <c r="I944" s="493"/>
      <c r="J944" s="493"/>
      <c r="K944" s="493"/>
      <c r="L944" s="493"/>
      <c r="M944" s="493"/>
      <c r="N944" s="493"/>
      <c r="O944" s="493"/>
    </row>
    <row r="945">
      <c r="A945" s="323"/>
      <c r="B945" s="323"/>
      <c r="C945" s="323"/>
      <c r="D945" s="493"/>
      <c r="E945" s="493"/>
      <c r="F945" s="493"/>
      <c r="G945" s="493"/>
      <c r="H945" s="493"/>
      <c r="I945" s="493"/>
      <c r="J945" s="493"/>
      <c r="K945" s="493"/>
      <c r="L945" s="493"/>
      <c r="M945" s="493"/>
      <c r="N945" s="493"/>
      <c r="O945" s="493"/>
    </row>
    <row r="946">
      <c r="A946" s="323"/>
      <c r="B946" s="323"/>
      <c r="C946" s="323"/>
      <c r="D946" s="493"/>
      <c r="E946" s="493"/>
      <c r="F946" s="493"/>
      <c r="G946" s="493"/>
      <c r="H946" s="493"/>
      <c r="I946" s="493"/>
      <c r="J946" s="493"/>
      <c r="K946" s="493"/>
      <c r="L946" s="493"/>
      <c r="M946" s="493"/>
      <c r="N946" s="493"/>
      <c r="O946" s="493"/>
    </row>
    <row r="947">
      <c r="A947" s="323"/>
      <c r="B947" s="323"/>
      <c r="C947" s="323"/>
      <c r="D947" s="493"/>
      <c r="E947" s="493"/>
      <c r="F947" s="493"/>
      <c r="G947" s="493"/>
      <c r="H947" s="493"/>
      <c r="I947" s="493"/>
      <c r="J947" s="493"/>
      <c r="K947" s="493"/>
      <c r="L947" s="493"/>
      <c r="M947" s="493"/>
      <c r="N947" s="493"/>
      <c r="O947" s="493"/>
    </row>
    <row r="948">
      <c r="A948" s="323"/>
      <c r="B948" s="323"/>
      <c r="C948" s="323"/>
      <c r="D948" s="493"/>
      <c r="E948" s="493"/>
      <c r="F948" s="493"/>
      <c r="G948" s="493"/>
      <c r="H948" s="493"/>
      <c r="I948" s="493"/>
      <c r="J948" s="493"/>
      <c r="K948" s="493"/>
      <c r="L948" s="493"/>
      <c r="M948" s="493"/>
      <c r="N948" s="493"/>
      <c r="O948" s="493"/>
    </row>
    <row r="949">
      <c r="A949" s="323"/>
      <c r="B949" s="323"/>
      <c r="C949" s="323"/>
      <c r="D949" s="493"/>
      <c r="E949" s="493"/>
      <c r="F949" s="493"/>
      <c r="G949" s="493"/>
      <c r="H949" s="493"/>
      <c r="I949" s="493"/>
      <c r="J949" s="493"/>
      <c r="K949" s="493"/>
      <c r="L949" s="493"/>
      <c r="M949" s="493"/>
      <c r="N949" s="493"/>
      <c r="O949" s="493"/>
    </row>
    <row r="950">
      <c r="A950" s="323"/>
      <c r="B950" s="323"/>
      <c r="C950" s="323"/>
      <c r="D950" s="493"/>
      <c r="E950" s="493"/>
      <c r="F950" s="493"/>
      <c r="G950" s="493"/>
      <c r="H950" s="493"/>
      <c r="I950" s="493"/>
      <c r="J950" s="493"/>
      <c r="K950" s="493"/>
      <c r="L950" s="493"/>
      <c r="M950" s="493"/>
      <c r="N950" s="493"/>
      <c r="O950" s="493"/>
    </row>
    <row r="951">
      <c r="A951" s="323"/>
      <c r="B951" s="323"/>
      <c r="C951" s="323"/>
      <c r="D951" s="493"/>
      <c r="E951" s="493"/>
      <c r="F951" s="493"/>
      <c r="G951" s="493"/>
      <c r="H951" s="493"/>
      <c r="I951" s="493"/>
      <c r="J951" s="493"/>
      <c r="K951" s="493"/>
      <c r="L951" s="493"/>
      <c r="M951" s="493"/>
      <c r="N951" s="493"/>
      <c r="O951" s="493"/>
    </row>
    <row r="952">
      <c r="A952" s="323"/>
      <c r="B952" s="323"/>
      <c r="C952" s="323"/>
      <c r="D952" s="493"/>
      <c r="E952" s="493"/>
      <c r="F952" s="493"/>
      <c r="G952" s="493"/>
      <c r="H952" s="493"/>
      <c r="I952" s="493"/>
      <c r="J952" s="493"/>
      <c r="K952" s="493"/>
      <c r="L952" s="493"/>
      <c r="M952" s="493"/>
      <c r="N952" s="493"/>
      <c r="O952" s="493"/>
    </row>
    <row r="953">
      <c r="A953" s="323"/>
      <c r="B953" s="323"/>
      <c r="C953" s="323"/>
      <c r="D953" s="493"/>
      <c r="E953" s="493"/>
      <c r="F953" s="493"/>
      <c r="G953" s="493"/>
      <c r="H953" s="493"/>
      <c r="I953" s="493"/>
      <c r="J953" s="493"/>
      <c r="K953" s="493"/>
      <c r="L953" s="493"/>
      <c r="M953" s="493"/>
      <c r="N953" s="493"/>
      <c r="O953" s="493"/>
    </row>
    <row r="954">
      <c r="A954" s="323"/>
      <c r="B954" s="323"/>
      <c r="C954" s="323"/>
      <c r="D954" s="493"/>
      <c r="E954" s="493"/>
      <c r="F954" s="493"/>
      <c r="G954" s="493"/>
      <c r="H954" s="493"/>
      <c r="I954" s="493"/>
      <c r="J954" s="493"/>
      <c r="K954" s="493"/>
      <c r="L954" s="493"/>
      <c r="M954" s="493"/>
      <c r="N954" s="493"/>
      <c r="O954" s="493"/>
    </row>
    <row r="955">
      <c r="A955" s="323"/>
      <c r="B955" s="323"/>
      <c r="C955" s="323"/>
      <c r="D955" s="493"/>
      <c r="E955" s="493"/>
      <c r="F955" s="493"/>
      <c r="G955" s="493"/>
      <c r="H955" s="493"/>
      <c r="I955" s="493"/>
      <c r="J955" s="493"/>
      <c r="K955" s="493"/>
      <c r="L955" s="493"/>
      <c r="M955" s="493"/>
      <c r="N955" s="493"/>
      <c r="O955" s="493"/>
    </row>
    <row r="956">
      <c r="A956" s="323"/>
      <c r="B956" s="323"/>
      <c r="C956" s="323"/>
      <c r="D956" s="493"/>
      <c r="E956" s="493"/>
      <c r="F956" s="493"/>
      <c r="G956" s="493"/>
      <c r="H956" s="493"/>
      <c r="I956" s="493"/>
      <c r="J956" s="493"/>
      <c r="K956" s="493"/>
      <c r="L956" s="493"/>
      <c r="M956" s="493"/>
      <c r="N956" s="493"/>
      <c r="O956" s="493"/>
    </row>
    <row r="957">
      <c r="A957" s="323"/>
      <c r="B957" s="323"/>
      <c r="C957" s="323"/>
      <c r="D957" s="493"/>
      <c r="E957" s="493"/>
      <c r="F957" s="493"/>
      <c r="G957" s="493"/>
      <c r="H957" s="493"/>
      <c r="I957" s="493"/>
      <c r="J957" s="493"/>
      <c r="K957" s="493"/>
      <c r="L957" s="493"/>
      <c r="M957" s="493"/>
      <c r="N957" s="493"/>
      <c r="O957" s="493"/>
    </row>
    <row r="958">
      <c r="A958" s="323"/>
      <c r="B958" s="323"/>
      <c r="C958" s="323"/>
      <c r="D958" s="493"/>
      <c r="E958" s="493"/>
      <c r="F958" s="493"/>
      <c r="G958" s="493"/>
      <c r="H958" s="493"/>
      <c r="I958" s="493"/>
      <c r="J958" s="493"/>
      <c r="K958" s="493"/>
      <c r="L958" s="493"/>
      <c r="M958" s="493"/>
      <c r="N958" s="493"/>
      <c r="O958" s="493"/>
    </row>
    <row r="959">
      <c r="A959" s="323"/>
      <c r="B959" s="323"/>
      <c r="C959" s="323"/>
      <c r="D959" s="493"/>
      <c r="E959" s="493"/>
      <c r="F959" s="493"/>
      <c r="G959" s="493"/>
      <c r="H959" s="493"/>
      <c r="I959" s="493"/>
      <c r="J959" s="493"/>
      <c r="K959" s="493"/>
      <c r="L959" s="493"/>
      <c r="M959" s="493"/>
      <c r="N959" s="493"/>
      <c r="O959" s="493"/>
    </row>
    <row r="960">
      <c r="A960" s="323"/>
      <c r="B960" s="323"/>
      <c r="C960" s="323"/>
      <c r="D960" s="493"/>
      <c r="E960" s="493"/>
      <c r="F960" s="493"/>
      <c r="G960" s="493"/>
      <c r="H960" s="493"/>
      <c r="I960" s="493"/>
      <c r="J960" s="493"/>
      <c r="K960" s="493"/>
      <c r="L960" s="493"/>
      <c r="M960" s="493"/>
      <c r="N960" s="493"/>
      <c r="O960" s="493"/>
    </row>
    <row r="961">
      <c r="A961" s="323"/>
      <c r="B961" s="323"/>
      <c r="C961" s="323"/>
      <c r="D961" s="493"/>
      <c r="E961" s="493"/>
      <c r="F961" s="493"/>
      <c r="G961" s="493"/>
      <c r="H961" s="493"/>
      <c r="I961" s="493"/>
      <c r="J961" s="493"/>
      <c r="K961" s="493"/>
      <c r="L961" s="493"/>
      <c r="M961" s="493"/>
      <c r="N961" s="493"/>
      <c r="O961" s="493"/>
    </row>
    <row r="962">
      <c r="A962" s="323"/>
      <c r="B962" s="323"/>
      <c r="C962" s="323"/>
      <c r="D962" s="493"/>
      <c r="E962" s="493"/>
      <c r="F962" s="493"/>
      <c r="G962" s="493"/>
      <c r="H962" s="493"/>
      <c r="I962" s="493"/>
      <c r="J962" s="493"/>
      <c r="K962" s="493"/>
      <c r="L962" s="493"/>
      <c r="M962" s="493"/>
      <c r="N962" s="493"/>
      <c r="O962" s="493"/>
    </row>
    <row r="963">
      <c r="A963" s="323"/>
      <c r="B963" s="323"/>
      <c r="C963" s="323"/>
      <c r="D963" s="493"/>
      <c r="E963" s="493"/>
      <c r="F963" s="493"/>
      <c r="G963" s="493"/>
      <c r="H963" s="493"/>
      <c r="I963" s="493"/>
      <c r="J963" s="493"/>
      <c r="K963" s="493"/>
      <c r="L963" s="493"/>
      <c r="M963" s="493"/>
      <c r="N963" s="493"/>
      <c r="O963" s="493"/>
    </row>
    <row r="964">
      <c r="A964" s="323"/>
      <c r="B964" s="323"/>
      <c r="C964" s="323"/>
      <c r="D964" s="493"/>
      <c r="E964" s="493"/>
      <c r="F964" s="493"/>
      <c r="G964" s="493"/>
      <c r="H964" s="493"/>
      <c r="I964" s="493"/>
      <c r="J964" s="493"/>
      <c r="K964" s="493"/>
      <c r="L964" s="493"/>
      <c r="M964" s="493"/>
      <c r="N964" s="493"/>
      <c r="O964" s="493"/>
    </row>
    <row r="965">
      <c r="A965" s="323"/>
      <c r="B965" s="323"/>
      <c r="C965" s="323"/>
      <c r="D965" s="493"/>
      <c r="E965" s="493"/>
      <c r="F965" s="493"/>
      <c r="G965" s="493"/>
      <c r="H965" s="493"/>
      <c r="I965" s="493"/>
      <c r="J965" s="493"/>
      <c r="K965" s="493"/>
      <c r="L965" s="493"/>
      <c r="M965" s="493"/>
      <c r="N965" s="493"/>
      <c r="O965" s="493"/>
    </row>
    <row r="966">
      <c r="A966" s="323"/>
      <c r="B966" s="323"/>
      <c r="C966" s="323"/>
      <c r="D966" s="493"/>
      <c r="E966" s="493"/>
      <c r="F966" s="493"/>
      <c r="G966" s="493"/>
      <c r="H966" s="493"/>
      <c r="I966" s="493"/>
      <c r="J966" s="493"/>
      <c r="K966" s="493"/>
      <c r="L966" s="493"/>
      <c r="M966" s="493"/>
      <c r="N966" s="493"/>
      <c r="O966" s="493"/>
    </row>
    <row r="967">
      <c r="A967" s="323"/>
      <c r="B967" s="323"/>
      <c r="C967" s="323"/>
      <c r="D967" s="493"/>
      <c r="E967" s="493"/>
      <c r="F967" s="493"/>
      <c r="G967" s="493"/>
      <c r="H967" s="493"/>
      <c r="I967" s="493"/>
      <c r="J967" s="493"/>
      <c r="K967" s="493"/>
      <c r="L967" s="493"/>
      <c r="M967" s="493"/>
      <c r="N967" s="493"/>
      <c r="O967" s="493"/>
    </row>
    <row r="968">
      <c r="A968" s="323"/>
      <c r="B968" s="323"/>
      <c r="C968" s="323"/>
      <c r="D968" s="493"/>
      <c r="E968" s="493"/>
      <c r="F968" s="493"/>
      <c r="G968" s="493"/>
      <c r="H968" s="493"/>
      <c r="I968" s="493"/>
      <c r="J968" s="493"/>
      <c r="K968" s="493"/>
      <c r="L968" s="493"/>
      <c r="M968" s="493"/>
      <c r="N968" s="493"/>
      <c r="O968" s="493"/>
    </row>
    <row r="969">
      <c r="A969" s="323"/>
      <c r="B969" s="323"/>
      <c r="C969" s="323"/>
      <c r="D969" s="493"/>
      <c r="E969" s="493"/>
      <c r="F969" s="493"/>
      <c r="G969" s="493"/>
      <c r="H969" s="493"/>
      <c r="I969" s="493"/>
      <c r="J969" s="493"/>
      <c r="K969" s="493"/>
      <c r="L969" s="493"/>
      <c r="M969" s="493"/>
      <c r="N969" s="493"/>
      <c r="O969" s="493"/>
    </row>
    <row r="970">
      <c r="A970" s="323"/>
      <c r="B970" s="323"/>
      <c r="C970" s="323"/>
      <c r="D970" s="493"/>
      <c r="E970" s="493"/>
      <c r="F970" s="493"/>
      <c r="G970" s="493"/>
      <c r="H970" s="493"/>
      <c r="I970" s="493"/>
      <c r="J970" s="493"/>
      <c r="K970" s="493"/>
      <c r="L970" s="493"/>
      <c r="M970" s="493"/>
      <c r="N970" s="493"/>
      <c r="O970" s="493"/>
    </row>
    <row r="971">
      <c r="A971" s="323"/>
      <c r="B971" s="323"/>
      <c r="C971" s="323"/>
      <c r="D971" s="493"/>
      <c r="E971" s="493"/>
      <c r="F971" s="493"/>
      <c r="G971" s="493"/>
      <c r="H971" s="493"/>
      <c r="I971" s="493"/>
      <c r="J971" s="493"/>
      <c r="K971" s="493"/>
      <c r="L971" s="493"/>
      <c r="M971" s="493"/>
      <c r="N971" s="493"/>
      <c r="O971" s="493"/>
    </row>
    <row r="972">
      <c r="A972" s="323"/>
      <c r="B972" s="323"/>
      <c r="C972" s="323"/>
      <c r="D972" s="493"/>
      <c r="E972" s="493"/>
      <c r="F972" s="493"/>
      <c r="G972" s="493"/>
      <c r="H972" s="493"/>
      <c r="I972" s="493"/>
      <c r="J972" s="493"/>
      <c r="K972" s="493"/>
      <c r="L972" s="493"/>
      <c r="M972" s="493"/>
      <c r="N972" s="493"/>
      <c r="O972" s="493"/>
    </row>
    <row r="973">
      <c r="A973" s="323"/>
      <c r="B973" s="323"/>
      <c r="C973" s="323"/>
      <c r="D973" s="493"/>
      <c r="E973" s="493"/>
      <c r="F973" s="493"/>
      <c r="G973" s="493"/>
      <c r="H973" s="493"/>
      <c r="I973" s="493"/>
      <c r="J973" s="493"/>
      <c r="K973" s="493"/>
      <c r="L973" s="493"/>
      <c r="M973" s="493"/>
      <c r="N973" s="493"/>
      <c r="O973" s="493"/>
    </row>
    <row r="974">
      <c r="A974" s="323"/>
      <c r="B974" s="323"/>
      <c r="C974" s="323"/>
      <c r="D974" s="493"/>
      <c r="E974" s="493"/>
      <c r="F974" s="493"/>
      <c r="G974" s="493"/>
      <c r="H974" s="493"/>
      <c r="I974" s="493"/>
      <c r="J974" s="493"/>
      <c r="K974" s="493"/>
      <c r="L974" s="493"/>
      <c r="M974" s="493"/>
      <c r="N974" s="493"/>
      <c r="O974" s="493"/>
    </row>
    <row r="975">
      <c r="A975" s="323"/>
      <c r="B975" s="323"/>
      <c r="C975" s="323"/>
      <c r="D975" s="493"/>
      <c r="E975" s="493"/>
      <c r="F975" s="493"/>
      <c r="G975" s="493"/>
      <c r="H975" s="493"/>
      <c r="I975" s="493"/>
      <c r="J975" s="493"/>
      <c r="K975" s="493"/>
      <c r="L975" s="493"/>
      <c r="M975" s="493"/>
      <c r="N975" s="493"/>
      <c r="O975" s="493"/>
    </row>
    <row r="976">
      <c r="A976" s="323"/>
      <c r="B976" s="323"/>
      <c r="C976" s="323"/>
      <c r="D976" s="493"/>
      <c r="E976" s="493"/>
      <c r="F976" s="493"/>
      <c r="G976" s="493"/>
      <c r="H976" s="493"/>
      <c r="I976" s="493"/>
      <c r="J976" s="493"/>
      <c r="K976" s="493"/>
      <c r="L976" s="493"/>
      <c r="M976" s="493"/>
      <c r="N976" s="493"/>
      <c r="O976" s="493"/>
    </row>
    <row r="977">
      <c r="A977" s="323"/>
      <c r="B977" s="323"/>
      <c r="C977" s="323"/>
      <c r="D977" s="493"/>
      <c r="E977" s="493"/>
      <c r="F977" s="493"/>
      <c r="G977" s="493"/>
      <c r="H977" s="493"/>
      <c r="I977" s="493"/>
      <c r="J977" s="493"/>
      <c r="K977" s="493"/>
      <c r="L977" s="493"/>
      <c r="M977" s="493"/>
      <c r="N977" s="493"/>
      <c r="O977" s="493"/>
    </row>
    <row r="978">
      <c r="A978" s="323"/>
      <c r="B978" s="323"/>
      <c r="C978" s="323"/>
      <c r="D978" s="493"/>
      <c r="E978" s="493"/>
      <c r="F978" s="493"/>
      <c r="G978" s="493"/>
      <c r="H978" s="493"/>
      <c r="I978" s="493"/>
      <c r="J978" s="493"/>
      <c r="K978" s="493"/>
      <c r="L978" s="493"/>
      <c r="M978" s="493"/>
      <c r="N978" s="493"/>
      <c r="O978" s="493"/>
    </row>
    <row r="979">
      <c r="A979" s="323"/>
      <c r="B979" s="323"/>
      <c r="C979" s="323"/>
      <c r="D979" s="493"/>
      <c r="E979" s="493"/>
      <c r="F979" s="493"/>
      <c r="G979" s="493"/>
      <c r="H979" s="493"/>
      <c r="I979" s="493"/>
      <c r="J979" s="493"/>
      <c r="K979" s="493"/>
      <c r="L979" s="493"/>
      <c r="M979" s="493"/>
      <c r="N979" s="493"/>
      <c r="O979" s="493"/>
    </row>
    <row r="980">
      <c r="A980" s="323"/>
      <c r="B980" s="323"/>
      <c r="C980" s="323"/>
      <c r="D980" s="493"/>
      <c r="E980" s="493"/>
      <c r="F980" s="493"/>
      <c r="G980" s="493"/>
      <c r="H980" s="493"/>
      <c r="I980" s="493"/>
      <c r="J980" s="493"/>
      <c r="K980" s="493"/>
      <c r="L980" s="493"/>
      <c r="M980" s="493"/>
      <c r="N980" s="493"/>
      <c r="O980" s="493"/>
    </row>
    <row r="981">
      <c r="A981" s="323"/>
      <c r="B981" s="323"/>
      <c r="C981" s="323"/>
      <c r="D981" s="493"/>
      <c r="E981" s="493"/>
      <c r="F981" s="493"/>
      <c r="G981" s="493"/>
      <c r="H981" s="493"/>
      <c r="I981" s="493"/>
      <c r="J981" s="493"/>
      <c r="K981" s="493"/>
      <c r="L981" s="493"/>
      <c r="M981" s="493"/>
      <c r="N981" s="493"/>
      <c r="O981" s="493"/>
    </row>
    <row r="982">
      <c r="A982" s="323"/>
      <c r="B982" s="323"/>
      <c r="C982" s="323"/>
      <c r="D982" s="493"/>
      <c r="E982" s="493"/>
      <c r="F982" s="493"/>
      <c r="G982" s="493"/>
      <c r="H982" s="493"/>
      <c r="I982" s="493"/>
      <c r="J982" s="493"/>
      <c r="K982" s="493"/>
      <c r="L982" s="493"/>
      <c r="M982" s="493"/>
      <c r="N982" s="493"/>
      <c r="O982" s="493"/>
    </row>
    <row r="983">
      <c r="A983" s="323"/>
      <c r="B983" s="323"/>
      <c r="C983" s="323"/>
      <c r="D983" s="493"/>
      <c r="E983" s="493"/>
      <c r="F983" s="493"/>
      <c r="G983" s="493"/>
      <c r="H983" s="493"/>
      <c r="I983" s="493"/>
      <c r="J983" s="493"/>
      <c r="K983" s="493"/>
      <c r="L983" s="493"/>
      <c r="M983" s="493"/>
      <c r="N983" s="493"/>
      <c r="O983" s="493"/>
    </row>
    <row r="984">
      <c r="A984" s="323"/>
      <c r="B984" s="323"/>
      <c r="C984" s="323"/>
      <c r="D984" s="493"/>
      <c r="E984" s="493"/>
      <c r="F984" s="493"/>
      <c r="G984" s="493"/>
      <c r="H984" s="493"/>
      <c r="I984" s="493"/>
      <c r="J984" s="493"/>
      <c r="K984" s="493"/>
      <c r="L984" s="493"/>
      <c r="M984" s="493"/>
      <c r="N984" s="493"/>
      <c r="O984" s="493"/>
    </row>
    <row r="985">
      <c r="A985" s="323"/>
      <c r="B985" s="323"/>
      <c r="C985" s="323"/>
      <c r="D985" s="493"/>
      <c r="E985" s="493"/>
      <c r="F985" s="493"/>
      <c r="G985" s="493"/>
      <c r="H985" s="493"/>
      <c r="I985" s="493"/>
      <c r="J985" s="493"/>
      <c r="K985" s="493"/>
      <c r="L985" s="493"/>
      <c r="M985" s="493"/>
      <c r="N985" s="493"/>
      <c r="O985" s="493"/>
    </row>
    <row r="986">
      <c r="A986" s="323"/>
      <c r="B986" s="323"/>
      <c r="C986" s="323"/>
      <c r="D986" s="493"/>
      <c r="E986" s="493"/>
      <c r="F986" s="493"/>
      <c r="G986" s="493"/>
      <c r="H986" s="493"/>
      <c r="I986" s="493"/>
      <c r="J986" s="493"/>
      <c r="K986" s="493"/>
      <c r="L986" s="493"/>
      <c r="M986" s="493"/>
      <c r="N986" s="493"/>
      <c r="O986" s="493"/>
    </row>
    <row r="987">
      <c r="A987" s="323"/>
      <c r="B987" s="323"/>
      <c r="C987" s="323"/>
      <c r="D987" s="493"/>
      <c r="E987" s="493"/>
      <c r="F987" s="493"/>
      <c r="G987" s="493"/>
      <c r="H987" s="493"/>
      <c r="I987" s="493"/>
      <c r="J987" s="493"/>
      <c r="K987" s="493"/>
      <c r="L987" s="493"/>
      <c r="M987" s="493"/>
      <c r="N987" s="493"/>
      <c r="O987" s="493"/>
    </row>
    <row r="988">
      <c r="A988" s="323"/>
      <c r="B988" s="323"/>
      <c r="C988" s="323"/>
      <c r="D988" s="493"/>
      <c r="E988" s="493"/>
      <c r="F988" s="493"/>
      <c r="G988" s="493"/>
      <c r="H988" s="493"/>
      <c r="I988" s="493"/>
      <c r="J988" s="493"/>
      <c r="K988" s="493"/>
      <c r="L988" s="493"/>
      <c r="M988" s="493"/>
      <c r="N988" s="493"/>
      <c r="O988" s="493"/>
    </row>
    <row r="989">
      <c r="A989" s="323"/>
      <c r="B989" s="323"/>
      <c r="C989" s="323"/>
      <c r="D989" s="493"/>
      <c r="E989" s="493"/>
      <c r="F989" s="493"/>
      <c r="G989" s="493"/>
      <c r="H989" s="493"/>
      <c r="I989" s="493"/>
      <c r="J989" s="493"/>
      <c r="K989" s="493"/>
      <c r="L989" s="493"/>
      <c r="M989" s="493"/>
      <c r="N989" s="493"/>
      <c r="O989" s="493"/>
    </row>
  </sheetData>
  <mergeCells count="2">
    <mergeCell ref="C57:D57"/>
    <mergeCell ref="C64:E64"/>
  </mergeCells>
  <conditionalFormatting sqref="A2:A55 F3:F10">
    <cfRule type="cellIs" dxfId="4" priority="1" operator="equal">
      <formula>"Not Found"</formula>
    </cfRule>
  </conditionalFormatting>
  <hyperlinks>
    <hyperlink r:id="rId1" ref="E2"/>
    <hyperlink r:id="rId2" ref="E3"/>
    <hyperlink r:id="rId3" location="slide=id.g2edd551b383_0_751" ref="C64"/>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88"/>
    <col customWidth="1" min="2" max="2" width="20.75"/>
    <col customWidth="1" min="3" max="3" width="15.13"/>
    <col customWidth="1" min="4" max="4" width="41.38"/>
    <col customWidth="1" min="5" max="5" width="12.88"/>
    <col customWidth="1" min="6" max="6" width="12.75"/>
  </cols>
  <sheetData>
    <row r="1">
      <c r="A1" s="429" t="s">
        <v>161</v>
      </c>
      <c r="B1" s="459" t="s">
        <v>466</v>
      </c>
      <c r="C1" s="225" t="s">
        <v>467</v>
      </c>
      <c r="D1" s="223" t="s">
        <v>468</v>
      </c>
      <c r="E1" s="226" t="s">
        <v>307</v>
      </c>
      <c r="F1" s="430" t="s">
        <v>377</v>
      </c>
      <c r="G1" s="163"/>
      <c r="H1" s="163"/>
      <c r="I1" s="163"/>
      <c r="J1" s="163"/>
      <c r="K1" s="163"/>
      <c r="L1" s="163"/>
      <c r="M1" s="163"/>
      <c r="N1" s="163"/>
      <c r="O1" s="163"/>
      <c r="P1" s="163"/>
      <c r="Q1" s="163"/>
      <c r="R1" s="163"/>
      <c r="S1" s="163"/>
      <c r="T1" s="163"/>
      <c r="U1" s="163"/>
      <c r="V1" s="163"/>
      <c r="W1" s="163"/>
      <c r="X1" s="163"/>
      <c r="Y1" s="163"/>
      <c r="Z1" s="163"/>
      <c r="AA1" s="163"/>
      <c r="AB1" s="163"/>
    </row>
    <row r="2">
      <c r="A2" s="22" t="s">
        <v>207</v>
      </c>
      <c r="B2" s="461">
        <v>0.6</v>
      </c>
      <c r="C2" s="268">
        <v>0.644</v>
      </c>
      <c r="D2" s="22" t="str">
        <f t="shared" ref="D2:D11" si="1">IF(C2 &lt;0.5, "Low", IF(C2 &lt;0.8, "Medium", "High"))</f>
        <v>Medium</v>
      </c>
      <c r="E2" s="466">
        <f t="shared" ref="E2:E11" si="2">IF(C2 &lt;0.5, (1/3), IF(C2 &lt;0.8, (2/3), 1))</f>
        <v>0.6666666667</v>
      </c>
      <c r="F2" s="317" t="s">
        <v>471</v>
      </c>
    </row>
    <row r="3">
      <c r="A3" s="22" t="s">
        <v>240</v>
      </c>
      <c r="B3" s="461">
        <v>0.59</v>
      </c>
      <c r="C3" s="268">
        <v>0.608</v>
      </c>
      <c r="D3" s="22" t="str">
        <f t="shared" si="1"/>
        <v>Medium</v>
      </c>
      <c r="E3" s="466">
        <f t="shared" si="2"/>
        <v>0.6666666667</v>
      </c>
    </row>
    <row r="4">
      <c r="A4" s="22" t="s">
        <v>268</v>
      </c>
      <c r="B4" s="461">
        <v>0.53</v>
      </c>
      <c r="C4" s="268">
        <v>0.465</v>
      </c>
      <c r="D4" s="22" t="str">
        <f t="shared" si="1"/>
        <v>Low</v>
      </c>
      <c r="E4" s="466">
        <f t="shared" si="2"/>
        <v>0.3333333333</v>
      </c>
    </row>
    <row r="5">
      <c r="A5" s="22" t="s">
        <v>329</v>
      </c>
      <c r="B5" s="461">
        <v>0.45</v>
      </c>
      <c r="C5" s="268">
        <v>0.527</v>
      </c>
      <c r="D5" s="22" t="str">
        <f t="shared" si="1"/>
        <v>Medium</v>
      </c>
      <c r="E5" s="466">
        <f t="shared" si="2"/>
        <v>0.6666666667</v>
      </c>
    </row>
    <row r="6">
      <c r="A6" s="22" t="s">
        <v>331</v>
      </c>
      <c r="B6" s="461">
        <v>0.48</v>
      </c>
      <c r="C6" s="268">
        <v>0.495</v>
      </c>
      <c r="D6" s="22" t="str">
        <f t="shared" si="1"/>
        <v>Low</v>
      </c>
      <c r="E6" s="466">
        <f t="shared" si="2"/>
        <v>0.3333333333</v>
      </c>
    </row>
    <row r="7">
      <c r="A7" s="22" t="s">
        <v>333</v>
      </c>
      <c r="B7" s="461">
        <v>0.29</v>
      </c>
      <c r="C7" s="268">
        <v>0.284</v>
      </c>
      <c r="D7" s="22" t="str">
        <f t="shared" si="1"/>
        <v>Low</v>
      </c>
      <c r="E7" s="466">
        <f t="shared" si="2"/>
        <v>0.3333333333</v>
      </c>
    </row>
    <row r="8">
      <c r="A8" s="22" t="s">
        <v>225</v>
      </c>
      <c r="B8" s="461">
        <v>0.49</v>
      </c>
      <c r="C8" s="268">
        <v>0.515</v>
      </c>
      <c r="D8" s="22" t="str">
        <f t="shared" si="1"/>
        <v>Medium</v>
      </c>
      <c r="E8" s="466">
        <f t="shared" si="2"/>
        <v>0.6666666667</v>
      </c>
    </row>
    <row r="9">
      <c r="A9" s="22" t="s">
        <v>338</v>
      </c>
      <c r="B9" s="461">
        <v>0.56</v>
      </c>
      <c r="C9" s="268">
        <v>0.606</v>
      </c>
      <c r="D9" s="22" t="str">
        <f t="shared" si="1"/>
        <v>Medium</v>
      </c>
      <c r="E9" s="466">
        <f t="shared" si="2"/>
        <v>0.6666666667</v>
      </c>
    </row>
    <row r="10">
      <c r="A10" s="22" t="s">
        <v>340</v>
      </c>
      <c r="B10" s="461">
        <v>0.12</v>
      </c>
      <c r="C10" s="268">
        <v>0.292</v>
      </c>
      <c r="D10" s="22" t="str">
        <f t="shared" si="1"/>
        <v>Low</v>
      </c>
      <c r="E10" s="466">
        <f t="shared" si="2"/>
        <v>0.3333333333</v>
      </c>
    </row>
    <row r="11">
      <c r="A11" s="22" t="s">
        <v>342</v>
      </c>
      <c r="B11" s="461">
        <v>0.24</v>
      </c>
      <c r="C11" s="268">
        <v>0.147</v>
      </c>
      <c r="D11" s="22" t="str">
        <f t="shared" si="1"/>
        <v>Low</v>
      </c>
      <c r="E11" s="466">
        <f t="shared" si="2"/>
        <v>0.3333333333</v>
      </c>
    </row>
    <row r="12">
      <c r="A12" s="22" t="s">
        <v>346</v>
      </c>
      <c r="B12" s="470" t="s">
        <v>382</v>
      </c>
      <c r="C12" s="471" t="s">
        <v>382</v>
      </c>
      <c r="D12" s="472" t="s">
        <v>382</v>
      </c>
      <c r="E12" s="473" t="s">
        <v>382</v>
      </c>
    </row>
    <row r="13">
      <c r="A13" s="22" t="s">
        <v>351</v>
      </c>
      <c r="B13" s="461">
        <v>0.11</v>
      </c>
      <c r="C13" s="268">
        <v>0.101</v>
      </c>
      <c r="D13" s="22" t="str">
        <f t="shared" ref="D13:D14" si="3">IF(C13 &lt;0.5, "Low", IF(C13 &lt;0.8, "Medium", "High"))</f>
        <v>Low</v>
      </c>
      <c r="E13" s="466">
        <f t="shared" ref="E13:E14" si="4">IF(C13 &lt;0.5, (1/3), IF(C13 &lt;0.8, (2/3), 10))</f>
        <v>0.3333333333</v>
      </c>
    </row>
    <row r="14">
      <c r="A14" s="22" t="s">
        <v>356</v>
      </c>
      <c r="B14" s="461">
        <v>0.56</v>
      </c>
      <c r="C14" s="268">
        <v>0.573</v>
      </c>
      <c r="D14" s="22" t="str">
        <f t="shared" si="3"/>
        <v>Medium</v>
      </c>
      <c r="E14" s="466">
        <f t="shared" si="4"/>
        <v>0.6666666667</v>
      </c>
    </row>
    <row r="15">
      <c r="A15" s="22" t="s">
        <v>357</v>
      </c>
      <c r="B15" s="470" t="s">
        <v>382</v>
      </c>
      <c r="C15" s="471" t="s">
        <v>382</v>
      </c>
      <c r="D15" s="472" t="s">
        <v>382</v>
      </c>
      <c r="E15" s="473" t="s">
        <v>382</v>
      </c>
    </row>
    <row r="16">
      <c r="A16" s="22" t="s">
        <v>276</v>
      </c>
      <c r="B16" s="461">
        <v>0.42</v>
      </c>
      <c r="C16" s="268">
        <v>0.527</v>
      </c>
      <c r="D16" s="22" t="str">
        <f t="shared" ref="D16:D17" si="5">IF(C16 &lt;0.5, "Low", IF(C16 &lt;0.8, "Medium", "High"))</f>
        <v>Medium</v>
      </c>
      <c r="E16" s="466">
        <f t="shared" ref="E16:E17" si="6">IF(C16 &lt;0.5, (1/3), IF(C16 &lt;0.8, (2/3), 1))</f>
        <v>0.6666666667</v>
      </c>
    </row>
    <row r="17">
      <c r="A17" s="22" t="s">
        <v>285</v>
      </c>
      <c r="B17" s="461">
        <v>0.61</v>
      </c>
      <c r="C17" s="268">
        <v>0.785</v>
      </c>
      <c r="D17" s="22" t="str">
        <f t="shared" si="5"/>
        <v>Medium</v>
      </c>
      <c r="E17" s="466">
        <f t="shared" si="6"/>
        <v>0.6666666667</v>
      </c>
    </row>
    <row r="18">
      <c r="A18" s="22" t="s">
        <v>360</v>
      </c>
      <c r="B18" s="470" t="s">
        <v>382</v>
      </c>
      <c r="C18" s="471" t="s">
        <v>382</v>
      </c>
      <c r="D18" s="472" t="s">
        <v>382</v>
      </c>
      <c r="E18" s="473" t="s">
        <v>382</v>
      </c>
    </row>
    <row r="19">
      <c r="A19" s="22" t="s">
        <v>362</v>
      </c>
      <c r="B19" s="470" t="s">
        <v>382</v>
      </c>
      <c r="C19" s="471" t="s">
        <v>382</v>
      </c>
      <c r="D19" s="472" t="s">
        <v>382</v>
      </c>
      <c r="E19" s="473" t="s">
        <v>382</v>
      </c>
    </row>
    <row r="20">
      <c r="A20" s="22" t="s">
        <v>363</v>
      </c>
      <c r="B20" s="461">
        <v>0.6</v>
      </c>
      <c r="C20" s="268">
        <v>0.621</v>
      </c>
      <c r="D20" s="22" t="str">
        <f t="shared" ref="D20:D25" si="7">IF(C20 &lt;0.5, "Low", IF(C20 &lt;0.8, "Medium", "High"))</f>
        <v>Medium</v>
      </c>
      <c r="E20" s="466">
        <f t="shared" ref="E20:E25" si="8">IF(C20 &lt;0.5, (1/3), IF(C20 &lt;0.8, (2/3), 1))</f>
        <v>0.6666666667</v>
      </c>
    </row>
    <row r="21">
      <c r="A21" s="22" t="s">
        <v>255</v>
      </c>
      <c r="B21" s="461">
        <v>0.57</v>
      </c>
      <c r="C21" s="268">
        <v>0.561</v>
      </c>
      <c r="D21" s="22" t="str">
        <f t="shared" si="7"/>
        <v>Medium</v>
      </c>
      <c r="E21" s="466">
        <f t="shared" si="8"/>
        <v>0.6666666667</v>
      </c>
    </row>
    <row r="22">
      <c r="A22" s="22" t="s">
        <v>374</v>
      </c>
      <c r="B22" s="461">
        <v>0.18</v>
      </c>
      <c r="C22" s="268">
        <v>0.168</v>
      </c>
      <c r="D22" s="22" t="str">
        <f t="shared" si="7"/>
        <v>Low</v>
      </c>
      <c r="E22" s="466">
        <f t="shared" si="8"/>
        <v>0.3333333333</v>
      </c>
    </row>
    <row r="23">
      <c r="A23" s="22" t="s">
        <v>263</v>
      </c>
      <c r="B23" s="461">
        <v>0.36</v>
      </c>
      <c r="C23" s="268">
        <v>0.298</v>
      </c>
      <c r="D23" s="22" t="str">
        <f t="shared" si="7"/>
        <v>Low</v>
      </c>
      <c r="E23" s="466">
        <f t="shared" si="8"/>
        <v>0.3333333333</v>
      </c>
    </row>
    <row r="24">
      <c r="A24" s="22" t="s">
        <v>266</v>
      </c>
      <c r="B24" s="461">
        <v>0.6</v>
      </c>
      <c r="C24" s="268">
        <v>0.709</v>
      </c>
      <c r="D24" s="22" t="str">
        <f t="shared" si="7"/>
        <v>Medium</v>
      </c>
      <c r="E24" s="466">
        <f t="shared" si="8"/>
        <v>0.6666666667</v>
      </c>
    </row>
    <row r="25">
      <c r="A25" s="22" t="s">
        <v>385</v>
      </c>
      <c r="B25" s="461">
        <v>0.31</v>
      </c>
      <c r="C25" s="268">
        <v>0.306</v>
      </c>
      <c r="D25" s="22" t="str">
        <f t="shared" si="7"/>
        <v>Low</v>
      </c>
      <c r="E25" s="466">
        <f t="shared" si="8"/>
        <v>0.3333333333</v>
      </c>
    </row>
    <row r="26">
      <c r="A26" s="22" t="s">
        <v>386</v>
      </c>
      <c r="B26" s="470" t="s">
        <v>382</v>
      </c>
      <c r="C26" s="471" t="s">
        <v>382</v>
      </c>
      <c r="D26" s="472" t="s">
        <v>382</v>
      </c>
      <c r="E26" s="473" t="s">
        <v>382</v>
      </c>
    </row>
    <row r="27">
      <c r="A27" s="22" t="s">
        <v>280</v>
      </c>
      <c r="B27" s="461">
        <v>0.69</v>
      </c>
      <c r="C27" s="268">
        <v>0.695</v>
      </c>
      <c r="D27" s="22" t="str">
        <f t="shared" ref="D27:D29" si="9">IF(C27 &lt;0.5, "Low", IF(C27 &lt;0.8, "Medium", "High"))</f>
        <v>Medium</v>
      </c>
      <c r="E27" s="466">
        <f t="shared" ref="E27:E29" si="10">IF(C27 &lt;0.5, (1/3), IF(C27 &lt;0.8, (2/3), 1))</f>
        <v>0.6666666667</v>
      </c>
    </row>
    <row r="28">
      <c r="A28" s="22" t="s">
        <v>392</v>
      </c>
      <c r="B28" s="461">
        <v>0.47</v>
      </c>
      <c r="C28" s="268">
        <v>0.49</v>
      </c>
      <c r="D28" s="22" t="str">
        <f t="shared" si="9"/>
        <v>Low</v>
      </c>
      <c r="E28" s="466">
        <f t="shared" si="10"/>
        <v>0.3333333333</v>
      </c>
    </row>
    <row r="29">
      <c r="A29" s="22" t="s">
        <v>394</v>
      </c>
      <c r="B29" s="461">
        <v>0.22</v>
      </c>
      <c r="C29" s="268">
        <v>0.628</v>
      </c>
      <c r="D29" s="22" t="str">
        <f t="shared" si="9"/>
        <v>Medium</v>
      </c>
      <c r="E29" s="466">
        <f t="shared" si="10"/>
        <v>0.6666666667</v>
      </c>
    </row>
    <row r="30">
      <c r="A30" s="22" t="s">
        <v>396</v>
      </c>
      <c r="B30" s="470" t="s">
        <v>382</v>
      </c>
      <c r="C30" s="471" t="s">
        <v>382</v>
      </c>
      <c r="D30" s="472" t="s">
        <v>382</v>
      </c>
      <c r="E30" s="473" t="s">
        <v>382</v>
      </c>
    </row>
    <row r="31">
      <c r="A31" s="22" t="s">
        <v>336</v>
      </c>
      <c r="B31" s="461">
        <v>0.21</v>
      </c>
      <c r="C31" s="268">
        <v>0.329</v>
      </c>
      <c r="D31" s="22" t="str">
        <f t="shared" ref="D31:D33" si="11">IF(C31 &lt;0.5, "Low", IF(C31 &lt;0.8, "Medium", "High"))</f>
        <v>Low</v>
      </c>
      <c r="E31" s="466">
        <f t="shared" ref="E31:E33" si="12">IF(C31 &lt;0.5, (1/3), IF(C31 &lt;0.8, (2/3), 1))</f>
        <v>0.3333333333</v>
      </c>
    </row>
    <row r="32">
      <c r="A32" s="22" t="s">
        <v>343</v>
      </c>
      <c r="B32" s="461">
        <v>0.56</v>
      </c>
      <c r="C32" s="268">
        <v>0.479</v>
      </c>
      <c r="D32" s="22" t="str">
        <f t="shared" si="11"/>
        <v>Low</v>
      </c>
      <c r="E32" s="466">
        <f t="shared" si="12"/>
        <v>0.3333333333</v>
      </c>
    </row>
    <row r="33">
      <c r="A33" s="22" t="s">
        <v>399</v>
      </c>
      <c r="B33" s="461">
        <v>0.45</v>
      </c>
      <c r="C33" s="268">
        <v>0.45</v>
      </c>
      <c r="D33" s="22" t="str">
        <f t="shared" si="11"/>
        <v>Low</v>
      </c>
      <c r="E33" s="466">
        <f t="shared" si="12"/>
        <v>0.3333333333</v>
      </c>
    </row>
    <row r="34">
      <c r="A34" s="22" t="s">
        <v>401</v>
      </c>
      <c r="B34" s="461">
        <v>0.23</v>
      </c>
      <c r="C34" s="479">
        <v>0.226</v>
      </c>
      <c r="D34" s="472" t="s">
        <v>382</v>
      </c>
      <c r="E34" s="473" t="s">
        <v>382</v>
      </c>
    </row>
    <row r="35">
      <c r="A35" s="22" t="s">
        <v>354</v>
      </c>
      <c r="B35" s="461">
        <v>0.17</v>
      </c>
      <c r="C35" s="268">
        <v>0.32</v>
      </c>
      <c r="D35" s="22" t="str">
        <f>IF(C35 &lt;0.5, "Low", IF(C35 &lt;0.8, "Medium", "High"))</f>
        <v>Low</v>
      </c>
      <c r="E35" s="466">
        <f>IF(C35 &lt;0.5, (1/3), IF(C35 &lt;0.8, (2/3), 1))</f>
        <v>0.3333333333</v>
      </c>
    </row>
    <row r="36">
      <c r="A36" s="22" t="s">
        <v>290</v>
      </c>
      <c r="B36" s="461">
        <v>0.26</v>
      </c>
      <c r="C36" s="471" t="s">
        <v>382</v>
      </c>
      <c r="D36" s="472" t="s">
        <v>382</v>
      </c>
      <c r="E36" s="473" t="s">
        <v>382</v>
      </c>
      <c r="F36" s="16"/>
    </row>
    <row r="37">
      <c r="A37" s="22" t="s">
        <v>291</v>
      </c>
      <c r="B37" s="461">
        <v>0.16</v>
      </c>
      <c r="C37" s="268">
        <v>0.372</v>
      </c>
      <c r="D37" s="22" t="str">
        <f t="shared" ref="D37:D45" si="13">IF(C37 &lt;0.5, "Low", IF(C37 &lt;0.8, "Medium", "High"))</f>
        <v>Low</v>
      </c>
      <c r="E37" s="466">
        <f t="shared" ref="E37:E45" si="14">IF(C37 &lt;0.5, (1/3), IF(C37 &lt;0.8, (2/3), 1))</f>
        <v>0.3333333333</v>
      </c>
    </row>
    <row r="38">
      <c r="A38" s="22" t="s">
        <v>296</v>
      </c>
      <c r="B38" s="461">
        <v>0.66</v>
      </c>
      <c r="C38" s="268">
        <v>0.618</v>
      </c>
      <c r="D38" s="22" t="str">
        <f t="shared" si="13"/>
        <v>Medium</v>
      </c>
      <c r="E38" s="466">
        <f t="shared" si="14"/>
        <v>0.6666666667</v>
      </c>
    </row>
    <row r="39">
      <c r="A39" s="22" t="s">
        <v>407</v>
      </c>
      <c r="B39" s="461">
        <v>0.5</v>
      </c>
      <c r="C39" s="268">
        <v>0.478</v>
      </c>
      <c r="D39" s="22" t="str">
        <f t="shared" si="13"/>
        <v>Low</v>
      </c>
      <c r="E39" s="466">
        <f t="shared" si="14"/>
        <v>0.3333333333</v>
      </c>
    </row>
    <row r="40">
      <c r="A40" s="22" t="s">
        <v>299</v>
      </c>
      <c r="B40" s="461">
        <v>0.52</v>
      </c>
      <c r="C40" s="268">
        <v>0.588</v>
      </c>
      <c r="D40" s="22" t="str">
        <f t="shared" si="13"/>
        <v>Medium</v>
      </c>
      <c r="E40" s="466">
        <f t="shared" si="14"/>
        <v>0.6666666667</v>
      </c>
    </row>
    <row r="41">
      <c r="A41" s="22" t="s">
        <v>302</v>
      </c>
      <c r="B41" s="461">
        <v>0.6</v>
      </c>
      <c r="C41" s="268">
        <v>0.605</v>
      </c>
      <c r="D41" s="22" t="str">
        <f t="shared" si="13"/>
        <v>Medium</v>
      </c>
      <c r="E41" s="466">
        <f t="shared" si="14"/>
        <v>0.6666666667</v>
      </c>
    </row>
    <row r="42">
      <c r="A42" s="22" t="s">
        <v>410</v>
      </c>
      <c r="B42" s="461">
        <v>0.3</v>
      </c>
      <c r="C42" s="268">
        <v>0.16</v>
      </c>
      <c r="D42" s="22" t="str">
        <f t="shared" si="13"/>
        <v>Low</v>
      </c>
      <c r="E42" s="466">
        <f t="shared" si="14"/>
        <v>0.3333333333</v>
      </c>
    </row>
    <row r="43">
      <c r="A43" s="22" t="s">
        <v>411</v>
      </c>
      <c r="B43" s="461">
        <v>0.6</v>
      </c>
      <c r="C43" s="268">
        <v>0.71</v>
      </c>
      <c r="D43" s="22" t="str">
        <f t="shared" si="13"/>
        <v>Medium</v>
      </c>
      <c r="E43" s="466">
        <f t="shared" si="14"/>
        <v>0.6666666667</v>
      </c>
    </row>
    <row r="44">
      <c r="A44" s="22" t="s">
        <v>309</v>
      </c>
      <c r="B44" s="461">
        <v>0.22</v>
      </c>
      <c r="C44" s="268">
        <v>0.294</v>
      </c>
      <c r="D44" s="22" t="str">
        <f t="shared" si="13"/>
        <v>Low</v>
      </c>
      <c r="E44" s="466">
        <f t="shared" si="14"/>
        <v>0.3333333333</v>
      </c>
    </row>
    <row r="45">
      <c r="A45" s="22" t="s">
        <v>412</v>
      </c>
      <c r="B45" s="461">
        <v>0.57</v>
      </c>
      <c r="C45" s="268">
        <v>0.658</v>
      </c>
      <c r="D45" s="22" t="str">
        <f t="shared" si="13"/>
        <v>Medium</v>
      </c>
      <c r="E45" s="466">
        <f t="shared" si="14"/>
        <v>0.6666666667</v>
      </c>
    </row>
    <row r="46">
      <c r="A46" s="22" t="s">
        <v>415</v>
      </c>
      <c r="B46" s="470" t="s">
        <v>382</v>
      </c>
      <c r="C46" s="471" t="s">
        <v>382</v>
      </c>
      <c r="D46" s="472" t="s">
        <v>382</v>
      </c>
      <c r="E46" s="473" t="s">
        <v>382</v>
      </c>
    </row>
    <row r="47">
      <c r="A47" s="22" t="s">
        <v>313</v>
      </c>
      <c r="B47" s="461">
        <v>0.58</v>
      </c>
      <c r="C47" s="268">
        <v>0.55</v>
      </c>
      <c r="D47" s="22" t="str">
        <f>IF(C47 &lt;0.5, "Low", IF(C47 &lt;0.8, "Medium", "High"))</f>
        <v>Medium</v>
      </c>
      <c r="E47" s="466">
        <f>IF(C47 &lt;0.5, (1/3), IF(C47 &lt;0.8, (2/3), 1))</f>
        <v>0.6666666667</v>
      </c>
    </row>
    <row r="48">
      <c r="A48" s="22" t="s">
        <v>416</v>
      </c>
      <c r="B48" s="470" t="s">
        <v>382</v>
      </c>
      <c r="C48" s="471" t="s">
        <v>382</v>
      </c>
      <c r="D48" s="472" t="s">
        <v>382</v>
      </c>
      <c r="E48" s="473" t="s">
        <v>382</v>
      </c>
    </row>
    <row r="49">
      <c r="A49" s="22" t="s">
        <v>417</v>
      </c>
      <c r="B49" s="470" t="s">
        <v>382</v>
      </c>
      <c r="C49" s="471" t="s">
        <v>382</v>
      </c>
      <c r="D49" s="472" t="s">
        <v>382</v>
      </c>
      <c r="E49" s="473" t="s">
        <v>382</v>
      </c>
    </row>
    <row r="50">
      <c r="A50" s="22" t="s">
        <v>418</v>
      </c>
      <c r="B50" s="461">
        <v>0.67</v>
      </c>
      <c r="C50" s="268">
        <v>0.675</v>
      </c>
      <c r="D50" s="22" t="str">
        <f t="shared" ref="D50:D51" si="15">IF(C50 &lt;0.5, "Low", IF(C50 &lt;0.8, "Medium", "High"))</f>
        <v>Medium</v>
      </c>
      <c r="E50" s="466">
        <f t="shared" ref="E50:E51" si="16">IF(C50 &lt;0.5, (1/3), IF(C50 &lt;0.8, (2/3), 1))</f>
        <v>0.6666666667</v>
      </c>
    </row>
    <row r="51">
      <c r="A51" s="22" t="s">
        <v>398</v>
      </c>
      <c r="B51" s="461">
        <v>0.46</v>
      </c>
      <c r="C51" s="268">
        <v>0.622</v>
      </c>
      <c r="D51" s="22" t="str">
        <f t="shared" si="15"/>
        <v>Medium</v>
      </c>
      <c r="E51" s="466">
        <f t="shared" si="16"/>
        <v>0.6666666667</v>
      </c>
    </row>
    <row r="52">
      <c r="A52" s="22" t="s">
        <v>318</v>
      </c>
      <c r="B52" s="470" t="s">
        <v>382</v>
      </c>
      <c r="C52" s="471" t="s">
        <v>382</v>
      </c>
      <c r="D52" s="472" t="s">
        <v>382</v>
      </c>
      <c r="E52" s="473" t="s">
        <v>382</v>
      </c>
    </row>
    <row r="53">
      <c r="A53" s="22" t="s">
        <v>405</v>
      </c>
      <c r="B53" s="461">
        <v>0.82</v>
      </c>
      <c r="C53" s="268">
        <v>0.846</v>
      </c>
      <c r="D53" s="22" t="str">
        <f t="shared" ref="D53:D55" si="17">IF(C53 &lt;0.5, "Low", IF(C53 &lt;0.8, "Medium", "High"))</f>
        <v>High</v>
      </c>
      <c r="E53" s="466">
        <f t="shared" ref="E53:E55" si="18">IF(C53 &lt;0.5, (1/3), IF(C53 &lt;0.8, (2/3), 1))</f>
        <v>1</v>
      </c>
    </row>
    <row r="54">
      <c r="A54" s="22" t="s">
        <v>408</v>
      </c>
      <c r="B54" s="461">
        <v>0.59</v>
      </c>
      <c r="C54" s="268">
        <v>0.608</v>
      </c>
      <c r="D54" s="22" t="str">
        <f t="shared" si="17"/>
        <v>Medium</v>
      </c>
      <c r="E54" s="466">
        <f t="shared" si="18"/>
        <v>0.6666666667</v>
      </c>
    </row>
    <row r="55">
      <c r="A55" s="244" t="s">
        <v>320</v>
      </c>
      <c r="B55" s="480">
        <v>0.61</v>
      </c>
      <c r="C55" s="481">
        <v>0.686</v>
      </c>
      <c r="D55" s="244" t="str">
        <f t="shared" si="17"/>
        <v>Medium</v>
      </c>
      <c r="E55" s="482">
        <f t="shared" si="18"/>
        <v>0.6666666667</v>
      </c>
    </row>
    <row r="56">
      <c r="A56" s="22"/>
      <c r="C56" s="483"/>
    </row>
    <row r="57">
      <c r="C57" s="357" t="s">
        <v>474</v>
      </c>
      <c r="D57" s="62"/>
      <c r="E57" s="418" t="s">
        <v>421</v>
      </c>
    </row>
    <row r="58">
      <c r="C58" s="360" t="s">
        <v>422</v>
      </c>
      <c r="D58" s="423">
        <f>max(C2:C55)</f>
        <v>0.846</v>
      </c>
      <c r="E58" s="449" t="s">
        <v>405</v>
      </c>
    </row>
    <row r="59">
      <c r="C59" s="360" t="s">
        <v>423</v>
      </c>
      <c r="D59" s="423">
        <f>min(C2:C55)</f>
        <v>0.101</v>
      </c>
      <c r="E59" s="424" t="s">
        <v>351</v>
      </c>
    </row>
    <row r="60">
      <c r="C60" s="360" t="s">
        <v>424</v>
      </c>
      <c r="D60" s="423">
        <f>AVERAGE(C2:C55)</f>
        <v>0.4957906977</v>
      </c>
    </row>
    <row r="61">
      <c r="C61" s="360" t="s">
        <v>425</v>
      </c>
      <c r="D61" s="423">
        <f>median(C2:C55)</f>
        <v>0.527</v>
      </c>
    </row>
    <row r="62">
      <c r="C62" s="367" t="s">
        <v>446</v>
      </c>
      <c r="D62" s="451">
        <f>STDEV(C2:C55)</f>
        <v>0.1852675746</v>
      </c>
    </row>
    <row r="63">
      <c r="A63" s="22"/>
      <c r="C63" s="483"/>
    </row>
    <row r="64">
      <c r="A64" s="22"/>
      <c r="C64" s="484" t="s">
        <v>325</v>
      </c>
      <c r="H64" s="485"/>
      <c r="I64" s="485"/>
      <c r="J64" s="485"/>
      <c r="K64" s="485"/>
      <c r="L64" s="485"/>
    </row>
    <row r="65">
      <c r="A65" s="22"/>
      <c r="C65" s="486" t="str">
        <f t="array" ref="C65:C82">{"INDICATOR INFORMATION";
  "Index Category: "&amp;CHAR(10)&amp;
  "EV Readiness Index - Measures country preparedness to adopt EVs at large scale";
  "";
  "Sub-Category: "&amp;CHAR(10)&amp;
  "Power Sector Maturity";
  "";
  "Indicator Name: "&amp;CHAR(10)&amp;
  "Electricity Regulatory Index (ERI)";
  "";
  "Description: "&amp;CHAR(10)&amp;
  "Annual index by African Development Bank (AfDB) that evaluates countries' regulatory and legal environment for electricity";
  "";
  "Scoring Categories: "&amp;CHAR(10)&amp;
  "• Low (&lt;0.5) = Low Readiness (1/3)"&amp;CHAR(10)&amp;
  "• Medium (0.5-0.8) = Medium Readiness (2/3)"&amp;CHAR(10)&amp;
  "• High (&gt;0.8) = High Readiness (3/3)";
  "";
  "Summary Statistics (2022): "&amp;CHAR(10)&amp;
  "• Maximum: 0.85 (Uganda)"&amp;CHAR(10)&amp;
  "• Minimum: 0.10 (Congo)"&amp;CHAR(10)&amp;
  "• Average: 0.50"&amp;CHAR(10)&amp;
  "• Median: 0.53"&amp;CHAR(10)&amp;
  "• Standard Deviation: 0.19";
  "";
  "Coverage Note: "&amp;CHAR(10)&amp;
  "• Data available for 43 countries"&amp;CHAR(10)&amp;
  "• 11 countries marked as 'Not Found'";
  "";
  "Methodology Note: "&amp;CHAR(10)&amp;
  "• Based on AfDB's ERI scoring system"&amp;CHAR(10)&amp;
  "• Medium category combines two original ERI medium categories"&amp;CHAR(10)&amp;
  "• Latest dataset from 2022";
  "";
  "Data Source: "&amp;CHAR(10)&amp;
  "• African Development Bank (AfDB)"}</f>
        <v>INDICATOR INFORMATION</v>
      </c>
      <c r="D65" s="438"/>
      <c r="E65" s="438"/>
      <c r="F65" s="438"/>
      <c r="G65" s="439"/>
      <c r="H65" s="432"/>
      <c r="I65" s="432"/>
      <c r="J65" s="432"/>
      <c r="K65" s="432"/>
      <c r="L65" s="432"/>
    </row>
    <row r="66">
      <c r="A66" s="22"/>
      <c r="C66" s="487" t="s">
        <v>339</v>
      </c>
      <c r="G66" s="373"/>
    </row>
    <row r="67">
      <c r="A67" s="22"/>
      <c r="C67" s="487" t="s">
        <v>126</v>
      </c>
      <c r="G67" s="373"/>
    </row>
    <row r="68">
      <c r="A68" s="22"/>
      <c r="C68" s="487" t="s">
        <v>475</v>
      </c>
      <c r="G68" s="373"/>
    </row>
    <row r="69">
      <c r="A69" s="22"/>
      <c r="C69" s="487" t="s">
        <v>126</v>
      </c>
      <c r="G69" s="373"/>
    </row>
    <row r="70">
      <c r="A70" s="22"/>
      <c r="C70" s="487" t="s">
        <v>476</v>
      </c>
      <c r="G70" s="373"/>
    </row>
    <row r="71">
      <c r="A71" s="22"/>
      <c r="C71" s="487" t="s">
        <v>126</v>
      </c>
      <c r="G71" s="373"/>
    </row>
    <row r="72">
      <c r="A72" s="22"/>
      <c r="C72" s="487" t="s">
        <v>477</v>
      </c>
      <c r="G72" s="373"/>
    </row>
    <row r="73">
      <c r="A73" s="22"/>
      <c r="C73" s="487" t="s">
        <v>126</v>
      </c>
      <c r="G73" s="373"/>
    </row>
    <row r="74">
      <c r="A74" s="22"/>
      <c r="C74" s="487" t="s">
        <v>478</v>
      </c>
      <c r="G74" s="373"/>
    </row>
    <row r="75">
      <c r="A75" s="22"/>
      <c r="C75" s="487" t="s">
        <v>126</v>
      </c>
      <c r="G75" s="373"/>
    </row>
    <row r="76">
      <c r="A76" s="22"/>
      <c r="C76" s="487" t="s">
        <v>479</v>
      </c>
      <c r="G76" s="373"/>
    </row>
    <row r="77">
      <c r="A77" s="22"/>
      <c r="C77" s="487" t="s">
        <v>126</v>
      </c>
      <c r="G77" s="373"/>
    </row>
    <row r="78">
      <c r="A78" s="22"/>
      <c r="C78" s="487" t="s">
        <v>480</v>
      </c>
      <c r="G78" s="373"/>
    </row>
    <row r="79">
      <c r="A79" s="22"/>
      <c r="C79" s="487" t="s">
        <v>126</v>
      </c>
      <c r="G79" s="373"/>
    </row>
    <row r="80">
      <c r="A80" s="22"/>
      <c r="C80" s="487" t="s">
        <v>481</v>
      </c>
      <c r="G80" s="373"/>
    </row>
    <row r="81">
      <c r="A81" s="22"/>
      <c r="C81" s="487" t="s">
        <v>126</v>
      </c>
      <c r="G81" s="373"/>
    </row>
    <row r="82">
      <c r="A82" s="22"/>
      <c r="C82" s="487" t="s">
        <v>482</v>
      </c>
      <c r="G82" s="373"/>
    </row>
    <row r="83">
      <c r="A83" s="22"/>
      <c r="C83" s="488"/>
      <c r="D83" s="283"/>
      <c r="E83" s="283"/>
      <c r="F83" s="283"/>
      <c r="G83" s="374"/>
    </row>
    <row r="84">
      <c r="A84" s="22"/>
      <c r="C84" s="483"/>
    </row>
    <row r="85">
      <c r="A85" s="22"/>
      <c r="C85" s="483"/>
    </row>
    <row r="86">
      <c r="A86" s="22"/>
      <c r="C86" s="483"/>
    </row>
    <row r="87">
      <c r="A87" s="22"/>
      <c r="C87" s="483"/>
    </row>
    <row r="88">
      <c r="A88" s="22"/>
      <c r="C88" s="483"/>
    </row>
    <row r="89">
      <c r="A89" s="22"/>
      <c r="C89" s="483"/>
    </row>
    <row r="90">
      <c r="A90" s="22"/>
      <c r="C90" s="483"/>
    </row>
    <row r="91">
      <c r="A91" s="22"/>
      <c r="C91" s="483"/>
    </row>
    <row r="92">
      <c r="A92" s="22"/>
      <c r="C92" s="483"/>
    </row>
    <row r="93">
      <c r="A93" s="22"/>
      <c r="C93" s="483"/>
    </row>
    <row r="94">
      <c r="A94" s="22"/>
      <c r="C94" s="483"/>
    </row>
    <row r="95">
      <c r="A95" s="22"/>
      <c r="C95" s="483"/>
    </row>
    <row r="96">
      <c r="A96" s="22"/>
      <c r="C96" s="483"/>
    </row>
    <row r="97">
      <c r="A97" s="22"/>
      <c r="C97" s="483"/>
    </row>
    <row r="98">
      <c r="A98" s="22"/>
      <c r="C98" s="483"/>
    </row>
    <row r="99">
      <c r="A99" s="22"/>
      <c r="C99" s="483"/>
    </row>
    <row r="100">
      <c r="A100" s="22"/>
      <c r="C100" s="483"/>
    </row>
    <row r="101">
      <c r="A101" s="22"/>
      <c r="C101" s="483"/>
    </row>
    <row r="102">
      <c r="A102" s="22"/>
      <c r="C102" s="483"/>
    </row>
    <row r="103">
      <c r="A103" s="22"/>
      <c r="C103" s="483"/>
    </row>
    <row r="104">
      <c r="A104" s="22"/>
      <c r="C104" s="483"/>
    </row>
    <row r="105">
      <c r="A105" s="22"/>
      <c r="C105" s="483"/>
    </row>
    <row r="106">
      <c r="A106" s="22"/>
      <c r="C106" s="483"/>
    </row>
    <row r="107">
      <c r="A107" s="22"/>
      <c r="C107" s="483"/>
    </row>
    <row r="108">
      <c r="A108" s="22"/>
      <c r="C108" s="483"/>
    </row>
    <row r="109">
      <c r="A109" s="22"/>
      <c r="C109" s="483"/>
    </row>
    <row r="110">
      <c r="A110" s="22"/>
      <c r="C110" s="483"/>
    </row>
    <row r="111">
      <c r="A111" s="22"/>
      <c r="C111" s="483"/>
    </row>
    <row r="112">
      <c r="A112" s="22"/>
      <c r="C112" s="483"/>
    </row>
    <row r="113">
      <c r="A113" s="22"/>
      <c r="C113" s="483"/>
    </row>
    <row r="114">
      <c r="A114" s="22"/>
      <c r="C114" s="483"/>
    </row>
    <row r="115">
      <c r="A115" s="22"/>
      <c r="C115" s="483"/>
    </row>
    <row r="116">
      <c r="A116" s="22"/>
      <c r="C116" s="483"/>
    </row>
    <row r="117">
      <c r="A117" s="22"/>
      <c r="C117" s="483"/>
    </row>
    <row r="118">
      <c r="A118" s="22"/>
      <c r="C118" s="483"/>
    </row>
    <row r="119">
      <c r="A119" s="22"/>
      <c r="C119" s="483"/>
    </row>
    <row r="120">
      <c r="A120" s="22"/>
      <c r="C120" s="483"/>
    </row>
    <row r="121">
      <c r="A121" s="22"/>
      <c r="C121" s="483"/>
    </row>
    <row r="122">
      <c r="A122" s="22"/>
      <c r="C122" s="483"/>
    </row>
    <row r="123">
      <c r="A123" s="22"/>
      <c r="C123" s="483"/>
    </row>
    <row r="124">
      <c r="A124" s="22"/>
      <c r="C124" s="483"/>
    </row>
    <row r="125">
      <c r="A125" s="22"/>
      <c r="C125" s="483"/>
    </row>
    <row r="126">
      <c r="A126" s="22"/>
      <c r="C126" s="483"/>
    </row>
    <row r="127">
      <c r="A127" s="22"/>
      <c r="C127" s="483"/>
    </row>
    <row r="128">
      <c r="A128" s="22"/>
      <c r="C128" s="483"/>
    </row>
    <row r="129">
      <c r="A129" s="22"/>
      <c r="C129" s="483"/>
    </row>
    <row r="130">
      <c r="A130" s="22"/>
      <c r="C130" s="483"/>
    </row>
    <row r="131">
      <c r="A131" s="22"/>
      <c r="C131" s="483"/>
    </row>
    <row r="132">
      <c r="A132" s="22"/>
      <c r="C132" s="483"/>
    </row>
    <row r="133">
      <c r="A133" s="22"/>
      <c r="C133" s="483"/>
    </row>
    <row r="134">
      <c r="A134" s="22"/>
      <c r="C134" s="483"/>
    </row>
    <row r="135">
      <c r="A135" s="22"/>
      <c r="C135" s="483"/>
    </row>
    <row r="136">
      <c r="A136" s="22"/>
      <c r="C136" s="483"/>
    </row>
    <row r="137">
      <c r="A137" s="22"/>
      <c r="C137" s="483"/>
    </row>
    <row r="138">
      <c r="A138" s="22"/>
      <c r="C138" s="483"/>
    </row>
    <row r="139">
      <c r="A139" s="22"/>
      <c r="C139" s="483"/>
    </row>
    <row r="140">
      <c r="A140" s="22"/>
      <c r="C140" s="483"/>
    </row>
    <row r="141">
      <c r="A141" s="22"/>
      <c r="C141" s="483"/>
    </row>
    <row r="142">
      <c r="A142" s="22"/>
      <c r="C142" s="483"/>
    </row>
    <row r="143">
      <c r="A143" s="22"/>
      <c r="C143" s="483"/>
    </row>
    <row r="144">
      <c r="A144" s="22"/>
      <c r="C144" s="483"/>
    </row>
    <row r="145">
      <c r="A145" s="22"/>
      <c r="C145" s="483"/>
    </row>
    <row r="146">
      <c r="A146" s="22"/>
      <c r="C146" s="483"/>
    </row>
    <row r="147">
      <c r="A147" s="22"/>
      <c r="C147" s="483"/>
    </row>
    <row r="148">
      <c r="A148" s="22"/>
      <c r="C148" s="483"/>
    </row>
    <row r="149">
      <c r="A149" s="22"/>
      <c r="C149" s="483"/>
    </row>
    <row r="150">
      <c r="A150" s="22"/>
      <c r="C150" s="483"/>
    </row>
    <row r="151">
      <c r="A151" s="22"/>
      <c r="C151" s="483"/>
    </row>
    <row r="152">
      <c r="A152" s="22"/>
      <c r="C152" s="483"/>
    </row>
    <row r="153">
      <c r="A153" s="22"/>
      <c r="C153" s="483"/>
    </row>
    <row r="154">
      <c r="A154" s="22"/>
      <c r="C154" s="483"/>
    </row>
    <row r="155">
      <c r="A155" s="22"/>
      <c r="C155" s="483"/>
    </row>
    <row r="156">
      <c r="A156" s="22"/>
      <c r="C156" s="483"/>
    </row>
    <row r="157">
      <c r="A157" s="22"/>
      <c r="C157" s="483"/>
    </row>
    <row r="158">
      <c r="A158" s="22"/>
      <c r="C158" s="483"/>
    </row>
    <row r="159">
      <c r="A159" s="22"/>
      <c r="C159" s="483"/>
    </row>
    <row r="160">
      <c r="A160" s="22"/>
      <c r="C160" s="483"/>
    </row>
    <row r="161">
      <c r="A161" s="22"/>
      <c r="C161" s="483"/>
    </row>
    <row r="162">
      <c r="A162" s="22"/>
      <c r="C162" s="483"/>
    </row>
    <row r="163">
      <c r="A163" s="22"/>
      <c r="C163" s="483"/>
    </row>
    <row r="164">
      <c r="A164" s="22"/>
      <c r="C164" s="483"/>
    </row>
    <row r="165">
      <c r="A165" s="22"/>
      <c r="C165" s="483"/>
    </row>
    <row r="166">
      <c r="A166" s="22"/>
      <c r="C166" s="483"/>
    </row>
    <row r="167">
      <c r="A167" s="22"/>
      <c r="C167" s="483"/>
    </row>
    <row r="168">
      <c r="A168" s="22"/>
      <c r="C168" s="483"/>
    </row>
    <row r="169">
      <c r="A169" s="22"/>
      <c r="C169" s="483"/>
    </row>
    <row r="170">
      <c r="A170" s="22"/>
      <c r="C170" s="483"/>
    </row>
    <row r="171">
      <c r="A171" s="22"/>
      <c r="C171" s="483"/>
    </row>
    <row r="172">
      <c r="A172" s="22"/>
      <c r="C172" s="483"/>
    </row>
    <row r="173">
      <c r="A173" s="22"/>
      <c r="C173" s="483"/>
    </row>
    <row r="174">
      <c r="A174" s="22"/>
      <c r="C174" s="483"/>
    </row>
    <row r="175">
      <c r="A175" s="22"/>
      <c r="C175" s="483"/>
    </row>
    <row r="176">
      <c r="A176" s="22"/>
      <c r="C176" s="483"/>
    </row>
    <row r="177">
      <c r="A177" s="22"/>
      <c r="C177" s="483"/>
    </row>
    <row r="178">
      <c r="A178" s="22"/>
      <c r="C178" s="483"/>
    </row>
    <row r="179">
      <c r="A179" s="22"/>
      <c r="C179" s="483"/>
    </row>
    <row r="180">
      <c r="A180" s="22"/>
      <c r="C180" s="483"/>
    </row>
    <row r="181">
      <c r="A181" s="22"/>
      <c r="C181" s="483"/>
    </row>
    <row r="182">
      <c r="A182" s="22"/>
      <c r="C182" s="483"/>
    </row>
    <row r="183">
      <c r="A183" s="22"/>
      <c r="C183" s="483"/>
    </row>
    <row r="184">
      <c r="A184" s="22"/>
      <c r="C184" s="483"/>
    </row>
    <row r="185">
      <c r="A185" s="22"/>
      <c r="C185" s="483"/>
    </row>
    <row r="186">
      <c r="A186" s="22"/>
      <c r="C186" s="483"/>
    </row>
    <row r="187">
      <c r="A187" s="22"/>
      <c r="C187" s="483"/>
    </row>
    <row r="188">
      <c r="A188" s="22"/>
      <c r="C188" s="483"/>
    </row>
    <row r="189">
      <c r="A189" s="22"/>
      <c r="C189" s="483"/>
    </row>
    <row r="190">
      <c r="A190" s="22"/>
      <c r="C190" s="483"/>
    </row>
    <row r="191">
      <c r="A191" s="22"/>
      <c r="C191" s="483"/>
    </row>
    <row r="192">
      <c r="A192" s="22"/>
      <c r="C192" s="483"/>
    </row>
    <row r="193">
      <c r="A193" s="22"/>
      <c r="C193" s="483"/>
    </row>
    <row r="194">
      <c r="A194" s="22"/>
      <c r="C194" s="483"/>
    </row>
    <row r="195">
      <c r="A195" s="22"/>
      <c r="C195" s="483"/>
    </row>
    <row r="196">
      <c r="A196" s="22"/>
      <c r="C196" s="483"/>
    </row>
    <row r="197">
      <c r="A197" s="22"/>
      <c r="C197" s="483"/>
    </row>
    <row r="198">
      <c r="A198" s="22"/>
      <c r="C198" s="483"/>
    </row>
    <row r="199">
      <c r="A199" s="22"/>
      <c r="C199" s="483"/>
    </row>
    <row r="200">
      <c r="A200" s="22"/>
      <c r="C200" s="483"/>
    </row>
    <row r="201">
      <c r="A201" s="22"/>
      <c r="C201" s="483"/>
    </row>
    <row r="202">
      <c r="A202" s="22"/>
      <c r="C202" s="483"/>
    </row>
    <row r="203">
      <c r="A203" s="22"/>
      <c r="C203" s="483"/>
    </row>
    <row r="204">
      <c r="A204" s="22"/>
      <c r="C204" s="483"/>
    </row>
    <row r="205">
      <c r="A205" s="22"/>
      <c r="C205" s="483"/>
    </row>
    <row r="206">
      <c r="A206" s="22"/>
      <c r="C206" s="483"/>
    </row>
    <row r="207">
      <c r="A207" s="22"/>
      <c r="C207" s="483"/>
    </row>
    <row r="208">
      <c r="A208" s="22"/>
      <c r="C208" s="483"/>
    </row>
    <row r="209">
      <c r="A209" s="22"/>
      <c r="C209" s="483"/>
    </row>
    <row r="210">
      <c r="A210" s="22"/>
      <c r="C210" s="483"/>
    </row>
    <row r="211">
      <c r="A211" s="22"/>
      <c r="C211" s="483"/>
    </row>
    <row r="212">
      <c r="A212" s="22"/>
      <c r="C212" s="483"/>
    </row>
    <row r="213">
      <c r="A213" s="22"/>
      <c r="C213" s="483"/>
    </row>
    <row r="214">
      <c r="A214" s="22"/>
      <c r="C214" s="483"/>
    </row>
    <row r="215">
      <c r="A215" s="22"/>
      <c r="C215" s="483"/>
    </row>
    <row r="216">
      <c r="A216" s="22"/>
      <c r="C216" s="483"/>
    </row>
    <row r="217">
      <c r="A217" s="22"/>
      <c r="C217" s="483"/>
    </row>
    <row r="218">
      <c r="A218" s="22"/>
      <c r="C218" s="483"/>
    </row>
    <row r="219">
      <c r="A219" s="22"/>
      <c r="C219" s="483"/>
    </row>
    <row r="220">
      <c r="A220" s="22"/>
      <c r="C220" s="483"/>
    </row>
    <row r="221">
      <c r="A221" s="22"/>
      <c r="C221" s="483"/>
    </row>
    <row r="222">
      <c r="A222" s="22"/>
      <c r="C222" s="483"/>
    </row>
    <row r="223">
      <c r="A223" s="22"/>
      <c r="C223" s="483"/>
    </row>
    <row r="224">
      <c r="A224" s="22"/>
      <c r="C224" s="483"/>
    </row>
    <row r="225">
      <c r="A225" s="22"/>
      <c r="C225" s="483"/>
    </row>
    <row r="226">
      <c r="A226" s="22"/>
      <c r="C226" s="483"/>
    </row>
    <row r="227">
      <c r="A227" s="22"/>
      <c r="C227" s="483"/>
    </row>
    <row r="228">
      <c r="A228" s="22"/>
      <c r="C228" s="483"/>
    </row>
    <row r="229">
      <c r="A229" s="22"/>
      <c r="C229" s="483"/>
    </row>
    <row r="230">
      <c r="A230" s="22"/>
      <c r="C230" s="483"/>
    </row>
    <row r="231">
      <c r="A231" s="22"/>
      <c r="C231" s="483"/>
    </row>
    <row r="232">
      <c r="A232" s="22"/>
      <c r="C232" s="483"/>
    </row>
    <row r="233">
      <c r="A233" s="22"/>
      <c r="C233" s="483"/>
    </row>
    <row r="234">
      <c r="A234" s="22"/>
      <c r="C234" s="483"/>
    </row>
    <row r="235">
      <c r="A235" s="22"/>
      <c r="C235" s="483"/>
    </row>
    <row r="236">
      <c r="A236" s="22"/>
      <c r="C236" s="483"/>
    </row>
    <row r="237">
      <c r="A237" s="22"/>
      <c r="C237" s="483"/>
    </row>
    <row r="238">
      <c r="A238" s="22"/>
      <c r="C238" s="483"/>
    </row>
    <row r="239">
      <c r="A239" s="22"/>
      <c r="C239" s="483"/>
    </row>
    <row r="240">
      <c r="A240" s="22"/>
      <c r="C240" s="483"/>
    </row>
    <row r="241">
      <c r="A241" s="22"/>
      <c r="C241" s="483"/>
    </row>
    <row r="242">
      <c r="A242" s="22"/>
      <c r="C242" s="483"/>
    </row>
    <row r="243">
      <c r="A243" s="22"/>
      <c r="C243" s="483"/>
    </row>
    <row r="244">
      <c r="A244" s="22"/>
      <c r="C244" s="483"/>
    </row>
    <row r="245">
      <c r="A245" s="22"/>
      <c r="C245" s="483"/>
    </row>
    <row r="246">
      <c r="A246" s="22"/>
      <c r="C246" s="483"/>
    </row>
    <row r="247">
      <c r="A247" s="22"/>
      <c r="C247" s="483"/>
    </row>
    <row r="248">
      <c r="A248" s="22"/>
      <c r="C248" s="483"/>
    </row>
    <row r="249">
      <c r="A249" s="22"/>
      <c r="C249" s="483"/>
    </row>
    <row r="250">
      <c r="A250" s="22"/>
      <c r="C250" s="483"/>
    </row>
    <row r="251">
      <c r="A251" s="22"/>
      <c r="C251" s="483"/>
    </row>
    <row r="252">
      <c r="A252" s="22"/>
      <c r="C252" s="483"/>
    </row>
    <row r="253">
      <c r="A253" s="22"/>
      <c r="C253" s="483"/>
    </row>
    <row r="254">
      <c r="A254" s="22"/>
      <c r="C254" s="483"/>
    </row>
    <row r="255">
      <c r="A255" s="22"/>
      <c r="C255" s="483"/>
    </row>
    <row r="256">
      <c r="A256" s="22"/>
      <c r="C256" s="483"/>
    </row>
    <row r="257">
      <c r="A257" s="22"/>
      <c r="C257" s="483"/>
    </row>
    <row r="258">
      <c r="A258" s="22"/>
      <c r="C258" s="483"/>
    </row>
    <row r="259">
      <c r="A259" s="22"/>
      <c r="C259" s="483"/>
    </row>
    <row r="260">
      <c r="A260" s="22"/>
      <c r="C260" s="483"/>
    </row>
    <row r="261">
      <c r="A261" s="22"/>
      <c r="C261" s="483"/>
    </row>
    <row r="262">
      <c r="A262" s="22"/>
      <c r="C262" s="483"/>
    </row>
    <row r="263">
      <c r="A263" s="22"/>
      <c r="C263" s="483"/>
    </row>
    <row r="264">
      <c r="A264" s="22"/>
      <c r="C264" s="483"/>
    </row>
    <row r="265">
      <c r="A265" s="22"/>
      <c r="C265" s="483"/>
    </row>
    <row r="266">
      <c r="A266" s="22"/>
      <c r="C266" s="483"/>
    </row>
    <row r="267">
      <c r="A267" s="22"/>
      <c r="C267" s="483"/>
    </row>
    <row r="268">
      <c r="A268" s="22"/>
      <c r="C268" s="483"/>
    </row>
    <row r="269">
      <c r="A269" s="22"/>
      <c r="C269" s="483"/>
    </row>
    <row r="270">
      <c r="A270" s="22"/>
      <c r="C270" s="483"/>
    </row>
    <row r="271">
      <c r="A271" s="22"/>
      <c r="C271" s="483"/>
    </row>
    <row r="272">
      <c r="A272" s="22"/>
      <c r="C272" s="483"/>
    </row>
    <row r="273">
      <c r="A273" s="22"/>
      <c r="C273" s="483"/>
    </row>
    <row r="274">
      <c r="A274" s="22"/>
      <c r="C274" s="483"/>
    </row>
    <row r="275">
      <c r="A275" s="22"/>
      <c r="C275" s="483"/>
    </row>
    <row r="276">
      <c r="A276" s="22"/>
      <c r="C276" s="483"/>
    </row>
    <row r="277">
      <c r="A277" s="22"/>
      <c r="C277" s="483"/>
    </row>
    <row r="278">
      <c r="A278" s="22"/>
      <c r="C278" s="483"/>
    </row>
    <row r="279">
      <c r="A279" s="22"/>
      <c r="C279" s="483"/>
    </row>
    <row r="280">
      <c r="A280" s="22"/>
      <c r="C280" s="483"/>
    </row>
    <row r="281">
      <c r="A281" s="22"/>
      <c r="C281" s="483"/>
    </row>
    <row r="282">
      <c r="A282" s="22"/>
      <c r="C282" s="483"/>
    </row>
    <row r="283">
      <c r="A283" s="22"/>
      <c r="C283" s="483"/>
    </row>
    <row r="284">
      <c r="A284" s="22"/>
      <c r="C284" s="483"/>
    </row>
    <row r="285">
      <c r="A285" s="22"/>
      <c r="C285" s="483"/>
    </row>
    <row r="286">
      <c r="A286" s="22"/>
      <c r="C286" s="483"/>
    </row>
    <row r="287">
      <c r="A287" s="22"/>
      <c r="C287" s="483"/>
    </row>
    <row r="288">
      <c r="A288" s="22"/>
      <c r="C288" s="483"/>
    </row>
    <row r="289">
      <c r="A289" s="22"/>
      <c r="C289" s="483"/>
    </row>
    <row r="290">
      <c r="A290" s="22"/>
      <c r="C290" s="483"/>
    </row>
    <row r="291">
      <c r="A291" s="22"/>
      <c r="C291" s="483"/>
    </row>
    <row r="292">
      <c r="A292" s="22"/>
      <c r="C292" s="483"/>
    </row>
    <row r="293">
      <c r="A293" s="22"/>
      <c r="C293" s="483"/>
    </row>
    <row r="294">
      <c r="A294" s="22"/>
      <c r="C294" s="483"/>
    </row>
    <row r="295">
      <c r="A295" s="22"/>
      <c r="C295" s="483"/>
    </row>
    <row r="296">
      <c r="A296" s="22"/>
      <c r="C296" s="483"/>
    </row>
    <row r="297">
      <c r="A297" s="22"/>
      <c r="C297" s="483"/>
    </row>
    <row r="298">
      <c r="A298" s="22"/>
      <c r="C298" s="483"/>
    </row>
    <row r="299">
      <c r="A299" s="22"/>
      <c r="C299" s="483"/>
    </row>
    <row r="300">
      <c r="A300" s="22"/>
      <c r="C300" s="483"/>
    </row>
    <row r="301">
      <c r="A301" s="22"/>
      <c r="C301" s="483"/>
    </row>
    <row r="302">
      <c r="A302" s="22"/>
      <c r="C302" s="483"/>
    </row>
    <row r="303">
      <c r="A303" s="22"/>
      <c r="C303" s="483"/>
    </row>
    <row r="304">
      <c r="A304" s="22"/>
      <c r="C304" s="483"/>
    </row>
    <row r="305">
      <c r="A305" s="22"/>
      <c r="C305" s="483"/>
    </row>
    <row r="306">
      <c r="A306" s="22"/>
      <c r="C306" s="483"/>
    </row>
    <row r="307">
      <c r="A307" s="22"/>
      <c r="C307" s="483"/>
    </row>
    <row r="308">
      <c r="A308" s="22"/>
      <c r="C308" s="483"/>
    </row>
    <row r="309">
      <c r="A309" s="22"/>
      <c r="C309" s="483"/>
    </row>
    <row r="310">
      <c r="A310" s="22"/>
      <c r="C310" s="483"/>
    </row>
    <row r="311">
      <c r="A311" s="22"/>
      <c r="C311" s="483"/>
    </row>
    <row r="312">
      <c r="A312" s="22"/>
      <c r="C312" s="483"/>
    </row>
    <row r="313">
      <c r="A313" s="22"/>
      <c r="C313" s="483"/>
    </row>
    <row r="314">
      <c r="A314" s="22"/>
      <c r="C314" s="483"/>
    </row>
    <row r="315">
      <c r="A315" s="22"/>
      <c r="C315" s="483"/>
    </row>
    <row r="316">
      <c r="A316" s="22"/>
      <c r="C316" s="483"/>
    </row>
    <row r="317">
      <c r="A317" s="22"/>
      <c r="C317" s="483"/>
    </row>
    <row r="318">
      <c r="A318" s="22"/>
      <c r="C318" s="483"/>
    </row>
    <row r="319">
      <c r="A319" s="22"/>
      <c r="C319" s="483"/>
    </row>
    <row r="320">
      <c r="A320" s="22"/>
      <c r="C320" s="483"/>
    </row>
    <row r="321">
      <c r="A321" s="22"/>
      <c r="C321" s="483"/>
    </row>
    <row r="322">
      <c r="A322" s="22"/>
      <c r="C322" s="483"/>
    </row>
    <row r="323">
      <c r="A323" s="22"/>
      <c r="C323" s="483"/>
    </row>
    <row r="324">
      <c r="A324" s="22"/>
      <c r="C324" s="483"/>
    </row>
    <row r="325">
      <c r="A325" s="22"/>
      <c r="C325" s="483"/>
    </row>
    <row r="326">
      <c r="A326" s="22"/>
      <c r="C326" s="483"/>
    </row>
    <row r="327">
      <c r="A327" s="22"/>
      <c r="C327" s="483"/>
    </row>
    <row r="328">
      <c r="A328" s="22"/>
      <c r="C328" s="483"/>
    </row>
    <row r="329">
      <c r="A329" s="22"/>
      <c r="C329" s="483"/>
    </row>
    <row r="330">
      <c r="A330" s="22"/>
      <c r="C330" s="483"/>
    </row>
    <row r="331">
      <c r="A331" s="22"/>
      <c r="C331" s="483"/>
    </row>
    <row r="332">
      <c r="A332" s="22"/>
      <c r="C332" s="483"/>
    </row>
    <row r="333">
      <c r="A333" s="22"/>
      <c r="C333" s="483"/>
    </row>
    <row r="334">
      <c r="A334" s="22"/>
      <c r="C334" s="483"/>
    </row>
    <row r="335">
      <c r="A335" s="22"/>
      <c r="C335" s="483"/>
    </row>
    <row r="336">
      <c r="A336" s="22"/>
      <c r="C336" s="483"/>
    </row>
    <row r="337">
      <c r="A337" s="22"/>
      <c r="C337" s="483"/>
    </row>
    <row r="338">
      <c r="A338" s="22"/>
      <c r="C338" s="483"/>
    </row>
    <row r="339">
      <c r="A339" s="22"/>
      <c r="C339" s="483"/>
    </row>
    <row r="340">
      <c r="A340" s="22"/>
      <c r="C340" s="483"/>
    </row>
    <row r="341">
      <c r="A341" s="22"/>
      <c r="C341" s="483"/>
    </row>
    <row r="342">
      <c r="A342" s="22"/>
      <c r="C342" s="483"/>
    </row>
    <row r="343">
      <c r="A343" s="22"/>
      <c r="C343" s="483"/>
    </row>
    <row r="344">
      <c r="A344" s="22"/>
      <c r="C344" s="483"/>
    </row>
    <row r="345">
      <c r="A345" s="22"/>
      <c r="C345" s="483"/>
    </row>
    <row r="346">
      <c r="A346" s="22"/>
      <c r="C346" s="483"/>
    </row>
    <row r="347">
      <c r="A347" s="22"/>
      <c r="C347" s="483"/>
    </row>
    <row r="348">
      <c r="A348" s="22"/>
      <c r="C348" s="483"/>
    </row>
    <row r="349">
      <c r="A349" s="22"/>
      <c r="C349" s="483"/>
    </row>
    <row r="350">
      <c r="A350" s="22"/>
      <c r="C350" s="483"/>
    </row>
    <row r="351">
      <c r="A351" s="22"/>
      <c r="C351" s="483"/>
    </row>
    <row r="352">
      <c r="A352" s="22"/>
      <c r="C352" s="483"/>
    </row>
    <row r="353">
      <c r="A353" s="22"/>
      <c r="C353" s="483"/>
    </row>
    <row r="354">
      <c r="A354" s="22"/>
      <c r="C354" s="483"/>
    </row>
    <row r="355">
      <c r="A355" s="22"/>
      <c r="C355" s="483"/>
    </row>
    <row r="356">
      <c r="A356" s="22"/>
      <c r="C356" s="483"/>
    </row>
    <row r="357">
      <c r="A357" s="22"/>
      <c r="C357" s="483"/>
    </row>
    <row r="358">
      <c r="A358" s="22"/>
      <c r="C358" s="483"/>
    </row>
    <row r="359">
      <c r="A359" s="22"/>
      <c r="C359" s="483"/>
    </row>
    <row r="360">
      <c r="A360" s="22"/>
      <c r="C360" s="483"/>
    </row>
    <row r="361">
      <c r="A361" s="22"/>
      <c r="C361" s="483"/>
    </row>
    <row r="362">
      <c r="A362" s="22"/>
      <c r="C362" s="483"/>
    </row>
    <row r="363">
      <c r="A363" s="22"/>
      <c r="C363" s="483"/>
    </row>
    <row r="364">
      <c r="A364" s="22"/>
      <c r="C364" s="483"/>
    </row>
    <row r="365">
      <c r="A365" s="22"/>
      <c r="C365" s="483"/>
    </row>
    <row r="366">
      <c r="A366" s="22"/>
      <c r="C366" s="483"/>
    </row>
    <row r="367">
      <c r="A367" s="22"/>
      <c r="C367" s="483"/>
    </row>
    <row r="368">
      <c r="A368" s="22"/>
      <c r="C368" s="483"/>
    </row>
    <row r="369">
      <c r="A369" s="22"/>
      <c r="C369" s="483"/>
    </row>
    <row r="370">
      <c r="A370" s="22"/>
      <c r="C370" s="483"/>
    </row>
    <row r="371">
      <c r="A371" s="22"/>
      <c r="C371" s="483"/>
    </row>
    <row r="372">
      <c r="A372" s="22"/>
      <c r="C372" s="483"/>
    </row>
    <row r="373">
      <c r="A373" s="22"/>
      <c r="C373" s="483"/>
    </row>
    <row r="374">
      <c r="A374" s="22"/>
      <c r="C374" s="483"/>
    </row>
    <row r="375">
      <c r="A375" s="22"/>
      <c r="C375" s="483"/>
    </row>
    <row r="376">
      <c r="A376" s="22"/>
      <c r="C376" s="483"/>
    </row>
    <row r="377">
      <c r="A377" s="22"/>
      <c r="C377" s="483"/>
    </row>
    <row r="378">
      <c r="A378" s="22"/>
      <c r="C378" s="483"/>
    </row>
    <row r="379">
      <c r="A379" s="22"/>
      <c r="C379" s="483"/>
    </row>
    <row r="380">
      <c r="A380" s="22"/>
      <c r="C380" s="483"/>
    </row>
    <row r="381">
      <c r="A381" s="22"/>
      <c r="C381" s="483"/>
    </row>
    <row r="382">
      <c r="A382" s="22"/>
      <c r="C382" s="483"/>
    </row>
    <row r="383">
      <c r="A383" s="22"/>
      <c r="C383" s="483"/>
    </row>
    <row r="384">
      <c r="A384" s="22"/>
      <c r="C384" s="483"/>
    </row>
    <row r="385">
      <c r="A385" s="22"/>
      <c r="C385" s="483"/>
    </row>
    <row r="386">
      <c r="A386" s="22"/>
      <c r="C386" s="483"/>
    </row>
    <row r="387">
      <c r="A387" s="22"/>
      <c r="C387" s="483"/>
    </row>
    <row r="388">
      <c r="A388" s="22"/>
      <c r="C388" s="483"/>
    </row>
    <row r="389">
      <c r="A389" s="22"/>
      <c r="C389" s="483"/>
    </row>
    <row r="390">
      <c r="A390" s="22"/>
      <c r="C390" s="483"/>
    </row>
    <row r="391">
      <c r="A391" s="22"/>
      <c r="C391" s="483"/>
    </row>
    <row r="392">
      <c r="A392" s="22"/>
      <c r="C392" s="483"/>
    </row>
    <row r="393">
      <c r="A393" s="22"/>
      <c r="C393" s="483"/>
    </row>
    <row r="394">
      <c r="A394" s="22"/>
      <c r="C394" s="483"/>
    </row>
    <row r="395">
      <c r="A395" s="22"/>
      <c r="C395" s="483"/>
    </row>
    <row r="396">
      <c r="A396" s="22"/>
      <c r="C396" s="483"/>
    </row>
    <row r="397">
      <c r="A397" s="22"/>
      <c r="C397" s="483"/>
    </row>
    <row r="398">
      <c r="A398" s="22"/>
      <c r="C398" s="483"/>
    </row>
    <row r="399">
      <c r="A399" s="22"/>
      <c r="C399" s="483"/>
    </row>
    <row r="400">
      <c r="A400" s="22"/>
      <c r="C400" s="483"/>
    </row>
    <row r="401">
      <c r="A401" s="22"/>
      <c r="C401" s="483"/>
    </row>
    <row r="402">
      <c r="A402" s="22"/>
      <c r="C402" s="483"/>
    </row>
    <row r="403">
      <c r="A403" s="22"/>
      <c r="C403" s="483"/>
    </row>
    <row r="404">
      <c r="A404" s="22"/>
      <c r="C404" s="483"/>
    </row>
    <row r="405">
      <c r="A405" s="22"/>
      <c r="C405" s="483"/>
    </row>
    <row r="406">
      <c r="A406" s="22"/>
      <c r="C406" s="483"/>
    </row>
    <row r="407">
      <c r="A407" s="22"/>
      <c r="C407" s="483"/>
    </row>
    <row r="408">
      <c r="A408" s="22"/>
      <c r="C408" s="483"/>
    </row>
    <row r="409">
      <c r="A409" s="22"/>
      <c r="C409" s="483"/>
    </row>
    <row r="410">
      <c r="A410" s="22"/>
      <c r="C410" s="483"/>
    </row>
    <row r="411">
      <c r="A411" s="22"/>
      <c r="C411" s="483"/>
    </row>
    <row r="412">
      <c r="A412" s="22"/>
      <c r="C412" s="483"/>
    </row>
    <row r="413">
      <c r="A413" s="22"/>
      <c r="C413" s="483"/>
    </row>
    <row r="414">
      <c r="A414" s="22"/>
      <c r="C414" s="483"/>
    </row>
    <row r="415">
      <c r="A415" s="22"/>
      <c r="C415" s="483"/>
    </row>
    <row r="416">
      <c r="A416" s="22"/>
      <c r="C416" s="483"/>
    </row>
    <row r="417">
      <c r="A417" s="22"/>
      <c r="C417" s="483"/>
    </row>
    <row r="418">
      <c r="A418" s="22"/>
      <c r="C418" s="483"/>
    </row>
    <row r="419">
      <c r="A419" s="22"/>
      <c r="C419" s="483"/>
    </row>
    <row r="420">
      <c r="A420" s="22"/>
      <c r="C420" s="483"/>
    </row>
    <row r="421">
      <c r="A421" s="22"/>
      <c r="C421" s="483"/>
    </row>
    <row r="422">
      <c r="A422" s="22"/>
      <c r="C422" s="483"/>
    </row>
    <row r="423">
      <c r="A423" s="22"/>
      <c r="C423" s="483"/>
    </row>
    <row r="424">
      <c r="A424" s="22"/>
      <c r="C424" s="483"/>
    </row>
    <row r="425">
      <c r="A425" s="22"/>
      <c r="C425" s="483"/>
    </row>
    <row r="426">
      <c r="A426" s="22"/>
      <c r="C426" s="483"/>
    </row>
    <row r="427">
      <c r="A427" s="22"/>
      <c r="C427" s="483"/>
    </row>
    <row r="428">
      <c r="A428" s="22"/>
      <c r="C428" s="483"/>
    </row>
    <row r="429">
      <c r="A429" s="22"/>
      <c r="C429" s="483"/>
    </row>
    <row r="430">
      <c r="A430" s="22"/>
      <c r="C430" s="483"/>
    </row>
    <row r="431">
      <c r="A431" s="22"/>
      <c r="C431" s="483"/>
    </row>
    <row r="432">
      <c r="A432" s="22"/>
      <c r="C432" s="483"/>
    </row>
    <row r="433">
      <c r="A433" s="22"/>
      <c r="C433" s="483"/>
    </row>
    <row r="434">
      <c r="A434" s="22"/>
      <c r="C434" s="483"/>
    </row>
    <row r="435">
      <c r="A435" s="22"/>
      <c r="C435" s="483"/>
    </row>
    <row r="436">
      <c r="A436" s="22"/>
      <c r="C436" s="483"/>
    </row>
    <row r="437">
      <c r="A437" s="22"/>
      <c r="C437" s="483"/>
    </row>
    <row r="438">
      <c r="A438" s="22"/>
      <c r="C438" s="483"/>
    </row>
    <row r="439">
      <c r="A439" s="22"/>
      <c r="C439" s="483"/>
    </row>
    <row r="440">
      <c r="A440" s="22"/>
      <c r="C440" s="483"/>
    </row>
    <row r="441">
      <c r="A441" s="22"/>
      <c r="C441" s="483"/>
    </row>
    <row r="442">
      <c r="A442" s="22"/>
      <c r="C442" s="483"/>
    </row>
    <row r="443">
      <c r="A443" s="22"/>
      <c r="C443" s="483"/>
    </row>
    <row r="444">
      <c r="A444" s="22"/>
      <c r="C444" s="483"/>
    </row>
    <row r="445">
      <c r="A445" s="22"/>
      <c r="C445" s="483"/>
    </row>
    <row r="446">
      <c r="A446" s="22"/>
      <c r="C446" s="483"/>
    </row>
    <row r="447">
      <c r="A447" s="22"/>
      <c r="C447" s="483"/>
    </row>
    <row r="448">
      <c r="A448" s="22"/>
      <c r="C448" s="483"/>
    </row>
    <row r="449">
      <c r="A449" s="22"/>
      <c r="C449" s="483"/>
    </row>
    <row r="450">
      <c r="A450" s="22"/>
      <c r="C450" s="483"/>
    </row>
    <row r="451">
      <c r="A451" s="22"/>
      <c r="C451" s="483"/>
    </row>
    <row r="452">
      <c r="A452" s="22"/>
      <c r="C452" s="483"/>
    </row>
    <row r="453">
      <c r="A453" s="22"/>
      <c r="C453" s="483"/>
    </row>
    <row r="454">
      <c r="A454" s="22"/>
      <c r="C454" s="483"/>
    </row>
    <row r="455">
      <c r="A455" s="22"/>
      <c r="C455" s="483"/>
    </row>
    <row r="456">
      <c r="A456" s="22"/>
      <c r="C456" s="483"/>
    </row>
    <row r="457">
      <c r="A457" s="22"/>
      <c r="C457" s="483"/>
    </row>
    <row r="458">
      <c r="A458" s="22"/>
      <c r="C458" s="483"/>
    </row>
    <row r="459">
      <c r="A459" s="22"/>
      <c r="C459" s="483"/>
    </row>
    <row r="460">
      <c r="A460" s="22"/>
      <c r="C460" s="483"/>
    </row>
    <row r="461">
      <c r="A461" s="22"/>
      <c r="C461" s="483"/>
    </row>
    <row r="462">
      <c r="A462" s="22"/>
      <c r="C462" s="483"/>
    </row>
    <row r="463">
      <c r="A463" s="22"/>
      <c r="C463" s="483"/>
    </row>
    <row r="464">
      <c r="A464" s="22"/>
      <c r="C464" s="483"/>
    </row>
    <row r="465">
      <c r="A465" s="22"/>
      <c r="C465" s="483"/>
    </row>
    <row r="466">
      <c r="A466" s="22"/>
      <c r="C466" s="483"/>
    </row>
    <row r="467">
      <c r="A467" s="22"/>
      <c r="C467" s="483"/>
    </row>
    <row r="468">
      <c r="A468" s="22"/>
      <c r="C468" s="483"/>
    </row>
    <row r="469">
      <c r="A469" s="22"/>
      <c r="C469" s="483"/>
    </row>
    <row r="470">
      <c r="A470" s="22"/>
      <c r="C470" s="483"/>
    </row>
    <row r="471">
      <c r="A471" s="22"/>
      <c r="C471" s="483"/>
    </row>
    <row r="472">
      <c r="A472" s="22"/>
      <c r="C472" s="483"/>
    </row>
    <row r="473">
      <c r="A473" s="22"/>
      <c r="C473" s="483"/>
    </row>
    <row r="474">
      <c r="A474" s="22"/>
      <c r="C474" s="483"/>
    </row>
    <row r="475">
      <c r="A475" s="22"/>
      <c r="C475" s="483"/>
    </row>
    <row r="476">
      <c r="A476" s="22"/>
      <c r="C476" s="483"/>
    </row>
    <row r="477">
      <c r="A477" s="22"/>
      <c r="C477" s="483"/>
    </row>
    <row r="478">
      <c r="A478" s="22"/>
      <c r="C478" s="483"/>
    </row>
    <row r="479">
      <c r="A479" s="22"/>
      <c r="C479" s="483"/>
    </row>
    <row r="480">
      <c r="A480" s="22"/>
      <c r="C480" s="483"/>
    </row>
    <row r="481">
      <c r="A481" s="22"/>
      <c r="C481" s="483"/>
    </row>
    <row r="482">
      <c r="A482" s="22"/>
      <c r="C482" s="483"/>
    </row>
    <row r="483">
      <c r="A483" s="22"/>
      <c r="C483" s="483"/>
    </row>
    <row r="484">
      <c r="A484" s="22"/>
      <c r="C484" s="483"/>
    </row>
    <row r="485">
      <c r="A485" s="22"/>
      <c r="C485" s="483"/>
    </row>
    <row r="486">
      <c r="A486" s="22"/>
      <c r="C486" s="483"/>
    </row>
    <row r="487">
      <c r="A487" s="22"/>
      <c r="C487" s="483"/>
    </row>
    <row r="488">
      <c r="A488" s="22"/>
      <c r="C488" s="483"/>
    </row>
    <row r="489">
      <c r="A489" s="22"/>
      <c r="C489" s="483"/>
    </row>
    <row r="490">
      <c r="A490" s="22"/>
      <c r="C490" s="483"/>
    </row>
    <row r="491">
      <c r="A491" s="22"/>
      <c r="C491" s="483"/>
    </row>
    <row r="492">
      <c r="A492" s="22"/>
      <c r="C492" s="483"/>
    </row>
    <row r="493">
      <c r="A493" s="22"/>
      <c r="C493" s="483"/>
    </row>
    <row r="494">
      <c r="A494" s="22"/>
      <c r="C494" s="483"/>
    </row>
    <row r="495">
      <c r="A495" s="22"/>
      <c r="C495" s="483"/>
    </row>
    <row r="496">
      <c r="A496" s="22"/>
      <c r="C496" s="483"/>
    </row>
    <row r="497">
      <c r="A497" s="22"/>
      <c r="C497" s="483"/>
    </row>
    <row r="498">
      <c r="A498" s="22"/>
      <c r="C498" s="483"/>
    </row>
    <row r="499">
      <c r="A499" s="22"/>
      <c r="C499" s="483"/>
    </row>
    <row r="500">
      <c r="A500" s="22"/>
      <c r="C500" s="483"/>
    </row>
    <row r="501">
      <c r="A501" s="22"/>
      <c r="C501" s="483"/>
    </row>
    <row r="502">
      <c r="A502" s="22"/>
      <c r="C502" s="483"/>
    </row>
    <row r="503">
      <c r="A503" s="22"/>
      <c r="C503" s="483"/>
    </row>
    <row r="504">
      <c r="A504" s="22"/>
      <c r="C504" s="483"/>
    </row>
    <row r="505">
      <c r="A505" s="22"/>
      <c r="C505" s="483"/>
    </row>
    <row r="506">
      <c r="A506" s="22"/>
      <c r="C506" s="483"/>
    </row>
    <row r="507">
      <c r="A507" s="22"/>
      <c r="C507" s="483"/>
    </row>
    <row r="508">
      <c r="A508" s="22"/>
      <c r="C508" s="483"/>
    </row>
    <row r="509">
      <c r="A509" s="22"/>
      <c r="C509" s="483"/>
    </row>
    <row r="510">
      <c r="A510" s="22"/>
      <c r="C510" s="483"/>
    </row>
    <row r="511">
      <c r="A511" s="22"/>
      <c r="C511" s="483"/>
    </row>
    <row r="512">
      <c r="A512" s="22"/>
      <c r="C512" s="483"/>
    </row>
    <row r="513">
      <c r="A513" s="22"/>
      <c r="C513" s="483"/>
    </row>
    <row r="514">
      <c r="A514" s="22"/>
      <c r="C514" s="483"/>
    </row>
    <row r="515">
      <c r="A515" s="22"/>
      <c r="C515" s="483"/>
    </row>
    <row r="516">
      <c r="A516" s="22"/>
      <c r="C516" s="483"/>
    </row>
    <row r="517">
      <c r="A517" s="22"/>
      <c r="C517" s="483"/>
    </row>
    <row r="518">
      <c r="A518" s="22"/>
      <c r="C518" s="483"/>
    </row>
    <row r="519">
      <c r="A519" s="22"/>
      <c r="C519" s="483"/>
    </row>
    <row r="520">
      <c r="A520" s="22"/>
      <c r="C520" s="483"/>
    </row>
    <row r="521">
      <c r="A521" s="22"/>
      <c r="C521" s="483"/>
    </row>
    <row r="522">
      <c r="A522" s="22"/>
      <c r="C522" s="483"/>
    </row>
    <row r="523">
      <c r="A523" s="22"/>
      <c r="C523" s="483"/>
    </row>
    <row r="524">
      <c r="A524" s="22"/>
      <c r="C524" s="483"/>
    </row>
    <row r="525">
      <c r="A525" s="22"/>
      <c r="C525" s="483"/>
    </row>
    <row r="526">
      <c r="A526" s="22"/>
      <c r="C526" s="483"/>
    </row>
    <row r="527">
      <c r="A527" s="22"/>
      <c r="C527" s="483"/>
    </row>
    <row r="528">
      <c r="A528" s="22"/>
      <c r="C528" s="483"/>
    </row>
    <row r="529">
      <c r="A529" s="22"/>
      <c r="C529" s="483"/>
    </row>
    <row r="530">
      <c r="A530" s="22"/>
      <c r="C530" s="483"/>
    </row>
    <row r="531">
      <c r="A531" s="22"/>
      <c r="C531" s="483"/>
    </row>
    <row r="532">
      <c r="A532" s="22"/>
      <c r="C532" s="483"/>
    </row>
    <row r="533">
      <c r="A533" s="22"/>
      <c r="C533" s="483"/>
    </row>
    <row r="534">
      <c r="A534" s="22"/>
      <c r="C534" s="483"/>
    </row>
    <row r="535">
      <c r="A535" s="22"/>
      <c r="C535" s="483"/>
    </row>
    <row r="536">
      <c r="A536" s="22"/>
      <c r="C536" s="483"/>
    </row>
    <row r="537">
      <c r="A537" s="22"/>
      <c r="C537" s="483"/>
    </row>
    <row r="538">
      <c r="A538" s="22"/>
      <c r="C538" s="483"/>
    </row>
    <row r="539">
      <c r="A539" s="22"/>
      <c r="C539" s="483"/>
    </row>
    <row r="540">
      <c r="A540" s="22"/>
      <c r="C540" s="483"/>
    </row>
    <row r="541">
      <c r="A541" s="22"/>
      <c r="C541" s="483"/>
    </row>
    <row r="542">
      <c r="A542" s="22"/>
      <c r="C542" s="483"/>
    </row>
    <row r="543">
      <c r="A543" s="22"/>
      <c r="C543" s="483"/>
    </row>
    <row r="544">
      <c r="A544" s="22"/>
      <c r="C544" s="483"/>
    </row>
    <row r="545">
      <c r="A545" s="22"/>
      <c r="C545" s="483"/>
    </row>
    <row r="546">
      <c r="A546" s="22"/>
      <c r="C546" s="483"/>
    </row>
    <row r="547">
      <c r="A547" s="22"/>
      <c r="C547" s="483"/>
    </row>
    <row r="548">
      <c r="A548" s="22"/>
      <c r="C548" s="483"/>
    </row>
    <row r="549">
      <c r="A549" s="22"/>
      <c r="C549" s="483"/>
    </row>
    <row r="550">
      <c r="A550" s="22"/>
      <c r="C550" s="483"/>
    </row>
    <row r="551">
      <c r="A551" s="22"/>
      <c r="C551" s="483"/>
    </row>
    <row r="552">
      <c r="A552" s="22"/>
      <c r="C552" s="483"/>
    </row>
    <row r="553">
      <c r="A553" s="22"/>
      <c r="C553" s="483"/>
    </row>
    <row r="554">
      <c r="A554" s="22"/>
      <c r="C554" s="483"/>
    </row>
    <row r="555">
      <c r="A555" s="22"/>
      <c r="C555" s="483"/>
    </row>
    <row r="556">
      <c r="A556" s="22"/>
      <c r="C556" s="483"/>
    </row>
    <row r="557">
      <c r="A557" s="22"/>
      <c r="C557" s="483"/>
    </row>
    <row r="558">
      <c r="A558" s="22"/>
      <c r="C558" s="483"/>
    </row>
    <row r="559">
      <c r="A559" s="22"/>
      <c r="C559" s="483"/>
    </row>
    <row r="560">
      <c r="A560" s="22"/>
      <c r="C560" s="483"/>
    </row>
    <row r="561">
      <c r="A561" s="22"/>
      <c r="C561" s="483"/>
    </row>
    <row r="562">
      <c r="A562" s="22"/>
      <c r="C562" s="483"/>
    </row>
    <row r="563">
      <c r="A563" s="22"/>
      <c r="C563" s="483"/>
    </row>
    <row r="564">
      <c r="A564" s="22"/>
      <c r="C564" s="483"/>
    </row>
    <row r="565">
      <c r="A565" s="22"/>
      <c r="C565" s="483"/>
    </row>
    <row r="566">
      <c r="A566" s="22"/>
      <c r="C566" s="483"/>
    </row>
    <row r="567">
      <c r="A567" s="22"/>
      <c r="C567" s="483"/>
    </row>
    <row r="568">
      <c r="A568" s="22"/>
      <c r="C568" s="483"/>
    </row>
    <row r="569">
      <c r="A569" s="22"/>
      <c r="C569" s="483"/>
    </row>
    <row r="570">
      <c r="A570" s="22"/>
      <c r="C570" s="483"/>
    </row>
    <row r="571">
      <c r="A571" s="22"/>
      <c r="C571" s="483"/>
    </row>
    <row r="572">
      <c r="A572" s="22"/>
      <c r="C572" s="483"/>
    </row>
    <row r="573">
      <c r="A573" s="22"/>
      <c r="C573" s="483"/>
    </row>
    <row r="574">
      <c r="A574" s="22"/>
      <c r="C574" s="483"/>
    </row>
    <row r="575">
      <c r="A575" s="22"/>
      <c r="C575" s="483"/>
    </row>
    <row r="576">
      <c r="A576" s="22"/>
      <c r="C576" s="483"/>
    </row>
    <row r="577">
      <c r="A577" s="22"/>
      <c r="C577" s="483"/>
    </row>
    <row r="578">
      <c r="A578" s="22"/>
      <c r="C578" s="483"/>
    </row>
    <row r="579">
      <c r="A579" s="22"/>
      <c r="C579" s="483"/>
    </row>
    <row r="580">
      <c r="A580" s="22"/>
      <c r="C580" s="483"/>
    </row>
    <row r="581">
      <c r="A581" s="22"/>
      <c r="C581" s="483"/>
    </row>
    <row r="582">
      <c r="A582" s="22"/>
      <c r="C582" s="483"/>
    </row>
    <row r="583">
      <c r="A583" s="22"/>
      <c r="C583" s="483"/>
    </row>
    <row r="584">
      <c r="A584" s="22"/>
      <c r="C584" s="483"/>
    </row>
    <row r="585">
      <c r="A585" s="22"/>
      <c r="C585" s="483"/>
    </row>
    <row r="586">
      <c r="A586" s="22"/>
      <c r="C586" s="483"/>
    </row>
    <row r="587">
      <c r="A587" s="22"/>
      <c r="C587" s="483"/>
    </row>
    <row r="588">
      <c r="A588" s="22"/>
      <c r="C588" s="483"/>
    </row>
    <row r="589">
      <c r="A589" s="22"/>
      <c r="C589" s="483"/>
    </row>
    <row r="590">
      <c r="A590" s="22"/>
      <c r="C590" s="483"/>
    </row>
    <row r="591">
      <c r="A591" s="22"/>
      <c r="C591" s="483"/>
    </row>
    <row r="592">
      <c r="A592" s="22"/>
      <c r="C592" s="483"/>
    </row>
    <row r="593">
      <c r="A593" s="22"/>
      <c r="C593" s="483"/>
    </row>
    <row r="594">
      <c r="A594" s="22"/>
      <c r="C594" s="483"/>
    </row>
    <row r="595">
      <c r="A595" s="22"/>
      <c r="C595" s="483"/>
    </row>
    <row r="596">
      <c r="A596" s="22"/>
      <c r="C596" s="483"/>
    </row>
    <row r="597">
      <c r="A597" s="22"/>
      <c r="C597" s="483"/>
    </row>
    <row r="598">
      <c r="A598" s="22"/>
      <c r="C598" s="483"/>
    </row>
    <row r="599">
      <c r="A599" s="22"/>
      <c r="C599" s="483"/>
    </row>
    <row r="600">
      <c r="A600" s="22"/>
      <c r="C600" s="483"/>
    </row>
    <row r="601">
      <c r="A601" s="22"/>
      <c r="C601" s="483"/>
    </row>
    <row r="602">
      <c r="A602" s="22"/>
      <c r="C602" s="483"/>
    </row>
    <row r="603">
      <c r="A603" s="22"/>
      <c r="C603" s="483"/>
    </row>
    <row r="604">
      <c r="A604" s="22"/>
      <c r="C604" s="483"/>
    </row>
    <row r="605">
      <c r="A605" s="22"/>
      <c r="C605" s="483"/>
    </row>
    <row r="606">
      <c r="A606" s="22"/>
      <c r="C606" s="483"/>
    </row>
    <row r="607">
      <c r="A607" s="22"/>
      <c r="C607" s="483"/>
    </row>
    <row r="608">
      <c r="A608" s="22"/>
      <c r="C608" s="483"/>
    </row>
    <row r="609">
      <c r="A609" s="22"/>
      <c r="C609" s="483"/>
    </row>
    <row r="610">
      <c r="A610" s="22"/>
      <c r="C610" s="483"/>
    </row>
    <row r="611">
      <c r="A611" s="22"/>
      <c r="C611" s="483"/>
    </row>
    <row r="612">
      <c r="A612" s="22"/>
      <c r="C612" s="483"/>
    </row>
    <row r="613">
      <c r="A613" s="22"/>
      <c r="C613" s="483"/>
    </row>
    <row r="614">
      <c r="A614" s="22"/>
      <c r="C614" s="483"/>
    </row>
    <row r="615">
      <c r="A615" s="22"/>
      <c r="C615" s="483"/>
    </row>
    <row r="616">
      <c r="A616" s="22"/>
      <c r="C616" s="483"/>
    </row>
    <row r="617">
      <c r="A617" s="22"/>
      <c r="C617" s="483"/>
    </row>
    <row r="618">
      <c r="A618" s="22"/>
      <c r="C618" s="483"/>
    </row>
    <row r="619">
      <c r="A619" s="22"/>
      <c r="C619" s="483"/>
    </row>
    <row r="620">
      <c r="A620" s="22"/>
      <c r="C620" s="483"/>
    </row>
    <row r="621">
      <c r="A621" s="22"/>
      <c r="C621" s="483"/>
    </row>
    <row r="622">
      <c r="A622" s="22"/>
      <c r="C622" s="483"/>
    </row>
    <row r="623">
      <c r="A623" s="22"/>
      <c r="C623" s="483"/>
    </row>
    <row r="624">
      <c r="A624" s="22"/>
      <c r="C624" s="483"/>
    </row>
    <row r="625">
      <c r="A625" s="22"/>
      <c r="C625" s="483"/>
    </row>
    <row r="626">
      <c r="A626" s="22"/>
      <c r="C626" s="483"/>
    </row>
    <row r="627">
      <c r="A627" s="22"/>
      <c r="C627" s="483"/>
    </row>
    <row r="628">
      <c r="A628" s="22"/>
      <c r="C628" s="483"/>
    </row>
    <row r="629">
      <c r="A629" s="22"/>
      <c r="C629" s="483"/>
    </row>
    <row r="630">
      <c r="A630" s="22"/>
      <c r="C630" s="483"/>
    </row>
    <row r="631">
      <c r="A631" s="22"/>
      <c r="C631" s="483"/>
    </row>
    <row r="632">
      <c r="A632" s="22"/>
      <c r="C632" s="483"/>
    </row>
    <row r="633">
      <c r="A633" s="22"/>
      <c r="C633" s="483"/>
    </row>
    <row r="634">
      <c r="A634" s="22"/>
      <c r="C634" s="483"/>
    </row>
    <row r="635">
      <c r="A635" s="22"/>
      <c r="C635" s="483"/>
    </row>
    <row r="636">
      <c r="A636" s="22"/>
      <c r="C636" s="483"/>
    </row>
    <row r="637">
      <c r="A637" s="22"/>
      <c r="C637" s="483"/>
    </row>
    <row r="638">
      <c r="A638" s="22"/>
      <c r="C638" s="483"/>
    </row>
    <row r="639">
      <c r="A639" s="22"/>
      <c r="C639" s="483"/>
    </row>
    <row r="640">
      <c r="A640" s="22"/>
      <c r="C640" s="483"/>
    </row>
    <row r="641">
      <c r="A641" s="22"/>
      <c r="C641" s="483"/>
    </row>
    <row r="642">
      <c r="A642" s="22"/>
      <c r="C642" s="483"/>
    </row>
    <row r="643">
      <c r="A643" s="22"/>
      <c r="C643" s="483"/>
    </row>
    <row r="644">
      <c r="A644" s="22"/>
      <c r="C644" s="483"/>
    </row>
    <row r="645">
      <c r="A645" s="22"/>
      <c r="C645" s="483"/>
    </row>
    <row r="646">
      <c r="A646" s="22"/>
      <c r="C646" s="483"/>
    </row>
    <row r="647">
      <c r="A647" s="22"/>
      <c r="C647" s="483"/>
    </row>
    <row r="648">
      <c r="A648" s="22"/>
      <c r="C648" s="483"/>
    </row>
    <row r="649">
      <c r="A649" s="22"/>
      <c r="C649" s="483"/>
    </row>
    <row r="650">
      <c r="A650" s="22"/>
      <c r="C650" s="483"/>
    </row>
    <row r="651">
      <c r="A651" s="22"/>
      <c r="C651" s="483"/>
    </row>
    <row r="652">
      <c r="A652" s="22"/>
      <c r="C652" s="483"/>
    </row>
    <row r="653">
      <c r="A653" s="22"/>
      <c r="C653" s="483"/>
    </row>
    <row r="654">
      <c r="A654" s="22"/>
      <c r="C654" s="483"/>
    </row>
    <row r="655">
      <c r="A655" s="22"/>
      <c r="C655" s="483"/>
    </row>
    <row r="656">
      <c r="A656" s="22"/>
      <c r="C656" s="483"/>
    </row>
    <row r="657">
      <c r="A657" s="22"/>
      <c r="C657" s="483"/>
    </row>
    <row r="658">
      <c r="A658" s="22"/>
      <c r="C658" s="483"/>
    </row>
    <row r="659">
      <c r="A659" s="22"/>
      <c r="C659" s="483"/>
    </row>
    <row r="660">
      <c r="A660" s="22"/>
      <c r="C660" s="483"/>
    </row>
    <row r="661">
      <c r="A661" s="22"/>
      <c r="C661" s="483"/>
    </row>
    <row r="662">
      <c r="A662" s="22"/>
      <c r="C662" s="483"/>
    </row>
    <row r="663">
      <c r="A663" s="22"/>
      <c r="C663" s="483"/>
    </row>
    <row r="664">
      <c r="A664" s="22"/>
      <c r="C664" s="483"/>
    </row>
    <row r="665">
      <c r="A665" s="22"/>
      <c r="C665" s="483"/>
    </row>
    <row r="666">
      <c r="A666" s="22"/>
      <c r="C666" s="483"/>
    </row>
    <row r="667">
      <c r="A667" s="22"/>
      <c r="C667" s="483"/>
    </row>
    <row r="668">
      <c r="A668" s="22"/>
      <c r="C668" s="483"/>
    </row>
    <row r="669">
      <c r="A669" s="22"/>
      <c r="C669" s="483"/>
    </row>
    <row r="670">
      <c r="A670" s="22"/>
      <c r="C670" s="483"/>
    </row>
    <row r="671">
      <c r="A671" s="22"/>
      <c r="C671" s="483"/>
    </row>
    <row r="672">
      <c r="A672" s="22"/>
      <c r="C672" s="483"/>
    </row>
    <row r="673">
      <c r="A673" s="22"/>
      <c r="C673" s="483"/>
    </row>
    <row r="674">
      <c r="A674" s="22"/>
      <c r="C674" s="483"/>
    </row>
    <row r="675">
      <c r="A675" s="22"/>
      <c r="C675" s="483"/>
    </row>
    <row r="676">
      <c r="A676" s="22"/>
      <c r="C676" s="483"/>
    </row>
    <row r="677">
      <c r="A677" s="22"/>
      <c r="C677" s="483"/>
    </row>
    <row r="678">
      <c r="A678" s="22"/>
      <c r="C678" s="483"/>
    </row>
    <row r="679">
      <c r="A679" s="22"/>
      <c r="C679" s="483"/>
    </row>
    <row r="680">
      <c r="A680" s="22"/>
      <c r="C680" s="483"/>
    </row>
    <row r="681">
      <c r="A681" s="22"/>
      <c r="C681" s="483"/>
    </row>
    <row r="682">
      <c r="A682" s="22"/>
      <c r="C682" s="483"/>
    </row>
    <row r="683">
      <c r="A683" s="22"/>
      <c r="C683" s="483"/>
    </row>
    <row r="684">
      <c r="A684" s="22"/>
      <c r="C684" s="483"/>
    </row>
    <row r="685">
      <c r="A685" s="22"/>
      <c r="C685" s="483"/>
    </row>
    <row r="686">
      <c r="A686" s="22"/>
      <c r="C686" s="483"/>
    </row>
    <row r="687">
      <c r="A687" s="22"/>
      <c r="C687" s="483"/>
    </row>
    <row r="688">
      <c r="A688" s="22"/>
      <c r="C688" s="483"/>
    </row>
    <row r="689">
      <c r="A689" s="22"/>
      <c r="C689" s="483"/>
    </row>
    <row r="690">
      <c r="A690" s="22"/>
      <c r="C690" s="483"/>
    </row>
    <row r="691">
      <c r="A691" s="22"/>
      <c r="C691" s="483"/>
    </row>
    <row r="692">
      <c r="A692" s="22"/>
      <c r="C692" s="483"/>
    </row>
    <row r="693">
      <c r="A693" s="22"/>
      <c r="C693" s="483"/>
    </row>
    <row r="694">
      <c r="A694" s="22"/>
      <c r="C694" s="483"/>
    </row>
    <row r="695">
      <c r="A695" s="22"/>
      <c r="C695" s="483"/>
    </row>
    <row r="696">
      <c r="A696" s="22"/>
      <c r="C696" s="483"/>
    </row>
    <row r="697">
      <c r="A697" s="22"/>
      <c r="C697" s="483"/>
    </row>
    <row r="698">
      <c r="A698" s="22"/>
      <c r="C698" s="483"/>
    </row>
    <row r="699">
      <c r="A699" s="22"/>
      <c r="C699" s="483"/>
    </row>
    <row r="700">
      <c r="A700" s="22"/>
      <c r="C700" s="483"/>
    </row>
    <row r="701">
      <c r="A701" s="22"/>
      <c r="C701" s="483"/>
    </row>
    <row r="702">
      <c r="A702" s="22"/>
      <c r="C702" s="483"/>
    </row>
    <row r="703">
      <c r="A703" s="22"/>
      <c r="C703" s="483"/>
    </row>
    <row r="704">
      <c r="A704" s="22"/>
      <c r="C704" s="483"/>
    </row>
    <row r="705">
      <c r="A705" s="22"/>
      <c r="C705" s="483"/>
    </row>
    <row r="706">
      <c r="A706" s="22"/>
      <c r="C706" s="483"/>
    </row>
    <row r="707">
      <c r="A707" s="22"/>
      <c r="C707" s="483"/>
    </row>
    <row r="708">
      <c r="A708" s="22"/>
      <c r="C708" s="483"/>
    </row>
    <row r="709">
      <c r="A709" s="22"/>
      <c r="C709" s="483"/>
    </row>
    <row r="710">
      <c r="A710" s="22"/>
      <c r="C710" s="483"/>
    </row>
    <row r="711">
      <c r="A711" s="22"/>
      <c r="C711" s="483"/>
    </row>
    <row r="712">
      <c r="A712" s="22"/>
      <c r="C712" s="483"/>
    </row>
    <row r="713">
      <c r="A713" s="22"/>
      <c r="C713" s="483"/>
    </row>
    <row r="714">
      <c r="A714" s="22"/>
      <c r="C714" s="483"/>
    </row>
    <row r="715">
      <c r="A715" s="22"/>
      <c r="C715" s="483"/>
    </row>
    <row r="716">
      <c r="A716" s="22"/>
      <c r="C716" s="483"/>
    </row>
    <row r="717">
      <c r="A717" s="22"/>
      <c r="C717" s="483"/>
    </row>
    <row r="718">
      <c r="A718" s="22"/>
      <c r="C718" s="483"/>
    </row>
    <row r="719">
      <c r="A719" s="22"/>
      <c r="C719" s="483"/>
    </row>
    <row r="720">
      <c r="A720" s="22"/>
      <c r="C720" s="483"/>
    </row>
    <row r="721">
      <c r="A721" s="22"/>
      <c r="C721" s="483"/>
    </row>
    <row r="722">
      <c r="A722" s="22"/>
      <c r="C722" s="483"/>
    </row>
    <row r="723">
      <c r="A723" s="22"/>
      <c r="C723" s="483"/>
    </row>
    <row r="724">
      <c r="A724" s="22"/>
      <c r="C724" s="483"/>
    </row>
    <row r="725">
      <c r="A725" s="22"/>
      <c r="C725" s="483"/>
    </row>
    <row r="726">
      <c r="A726" s="22"/>
      <c r="C726" s="483"/>
    </row>
    <row r="727">
      <c r="A727" s="22"/>
      <c r="C727" s="483"/>
    </row>
    <row r="728">
      <c r="A728" s="22"/>
      <c r="C728" s="483"/>
    </row>
    <row r="729">
      <c r="A729" s="22"/>
      <c r="C729" s="483"/>
    </row>
    <row r="730">
      <c r="A730" s="22"/>
      <c r="C730" s="483"/>
    </row>
    <row r="731">
      <c r="A731" s="22"/>
      <c r="C731" s="483"/>
    </row>
    <row r="732">
      <c r="A732" s="22"/>
      <c r="C732" s="483"/>
    </row>
    <row r="733">
      <c r="A733" s="22"/>
      <c r="C733" s="483"/>
    </row>
    <row r="734">
      <c r="A734" s="22"/>
      <c r="C734" s="483"/>
    </row>
    <row r="735">
      <c r="A735" s="22"/>
      <c r="C735" s="483"/>
    </row>
    <row r="736">
      <c r="A736" s="22"/>
      <c r="C736" s="483"/>
    </row>
    <row r="737">
      <c r="A737" s="22"/>
      <c r="C737" s="483"/>
    </row>
    <row r="738">
      <c r="A738" s="22"/>
      <c r="C738" s="483"/>
    </row>
    <row r="739">
      <c r="A739" s="22"/>
      <c r="C739" s="483"/>
    </row>
    <row r="740">
      <c r="A740" s="22"/>
      <c r="C740" s="483"/>
    </row>
    <row r="741">
      <c r="A741" s="22"/>
      <c r="C741" s="483"/>
    </row>
    <row r="742">
      <c r="A742" s="22"/>
      <c r="C742" s="483"/>
    </row>
    <row r="743">
      <c r="A743" s="22"/>
      <c r="C743" s="483"/>
    </row>
    <row r="744">
      <c r="A744" s="22"/>
      <c r="C744" s="483"/>
    </row>
    <row r="745">
      <c r="A745" s="22"/>
      <c r="C745" s="483"/>
    </row>
    <row r="746">
      <c r="A746" s="22"/>
      <c r="C746" s="483"/>
    </row>
    <row r="747">
      <c r="A747" s="22"/>
      <c r="C747" s="483"/>
    </row>
    <row r="748">
      <c r="A748" s="22"/>
      <c r="C748" s="483"/>
    </row>
    <row r="749">
      <c r="A749" s="22"/>
      <c r="C749" s="483"/>
    </row>
    <row r="750">
      <c r="A750" s="22"/>
      <c r="C750" s="483"/>
    </row>
    <row r="751">
      <c r="A751" s="22"/>
      <c r="C751" s="483"/>
    </row>
    <row r="752">
      <c r="A752" s="22"/>
      <c r="C752" s="483"/>
    </row>
    <row r="753">
      <c r="A753" s="22"/>
      <c r="C753" s="483"/>
    </row>
    <row r="754">
      <c r="A754" s="22"/>
      <c r="C754" s="483"/>
    </row>
    <row r="755">
      <c r="A755" s="22"/>
      <c r="C755" s="483"/>
    </row>
    <row r="756">
      <c r="A756" s="22"/>
      <c r="C756" s="483"/>
    </row>
    <row r="757">
      <c r="A757" s="22"/>
      <c r="C757" s="483"/>
    </row>
    <row r="758">
      <c r="A758" s="22"/>
      <c r="C758" s="483"/>
    </row>
    <row r="759">
      <c r="A759" s="22"/>
      <c r="C759" s="483"/>
    </row>
    <row r="760">
      <c r="A760" s="22"/>
      <c r="C760" s="483"/>
    </row>
    <row r="761">
      <c r="A761" s="22"/>
      <c r="C761" s="483"/>
    </row>
    <row r="762">
      <c r="A762" s="22"/>
      <c r="C762" s="483"/>
    </row>
    <row r="763">
      <c r="A763" s="22"/>
      <c r="C763" s="483"/>
    </row>
    <row r="764">
      <c r="A764" s="22"/>
      <c r="C764" s="483"/>
    </row>
    <row r="765">
      <c r="A765" s="22"/>
      <c r="C765" s="483"/>
    </row>
    <row r="766">
      <c r="A766" s="22"/>
      <c r="C766" s="483"/>
    </row>
    <row r="767">
      <c r="A767" s="22"/>
      <c r="C767" s="483"/>
    </row>
    <row r="768">
      <c r="A768" s="22"/>
      <c r="C768" s="483"/>
    </row>
    <row r="769">
      <c r="A769" s="22"/>
      <c r="C769" s="483"/>
    </row>
    <row r="770">
      <c r="A770" s="22"/>
      <c r="C770" s="483"/>
    </row>
    <row r="771">
      <c r="A771" s="22"/>
      <c r="C771" s="483"/>
    </row>
    <row r="772">
      <c r="A772" s="22"/>
      <c r="C772" s="483"/>
    </row>
    <row r="773">
      <c r="A773" s="22"/>
      <c r="C773" s="483"/>
    </row>
    <row r="774">
      <c r="A774" s="22"/>
      <c r="C774" s="483"/>
    </row>
    <row r="775">
      <c r="A775" s="22"/>
      <c r="C775" s="483"/>
    </row>
    <row r="776">
      <c r="A776" s="22"/>
      <c r="C776" s="483"/>
    </row>
    <row r="777">
      <c r="A777" s="22"/>
      <c r="C777" s="483"/>
    </row>
    <row r="778">
      <c r="A778" s="22"/>
      <c r="C778" s="483"/>
    </row>
    <row r="779">
      <c r="A779" s="22"/>
      <c r="C779" s="483"/>
    </row>
    <row r="780">
      <c r="A780" s="22"/>
      <c r="C780" s="483"/>
    </row>
    <row r="781">
      <c r="A781" s="22"/>
      <c r="C781" s="483"/>
    </row>
    <row r="782">
      <c r="A782" s="22"/>
      <c r="C782" s="483"/>
    </row>
    <row r="783">
      <c r="A783" s="22"/>
      <c r="C783" s="483"/>
    </row>
    <row r="784">
      <c r="A784" s="22"/>
      <c r="C784" s="483"/>
    </row>
    <row r="785">
      <c r="A785" s="22"/>
      <c r="C785" s="483"/>
    </row>
    <row r="786">
      <c r="A786" s="22"/>
      <c r="C786" s="483"/>
    </row>
    <row r="787">
      <c r="A787" s="22"/>
      <c r="C787" s="483"/>
    </row>
    <row r="788">
      <c r="A788" s="22"/>
      <c r="C788" s="483"/>
    </row>
    <row r="789">
      <c r="A789" s="22"/>
      <c r="C789" s="483"/>
    </row>
    <row r="790">
      <c r="A790" s="22"/>
      <c r="C790" s="483"/>
    </row>
    <row r="791">
      <c r="A791" s="22"/>
      <c r="C791" s="483"/>
    </row>
    <row r="792">
      <c r="A792" s="22"/>
      <c r="C792" s="483"/>
    </row>
    <row r="793">
      <c r="A793" s="22"/>
      <c r="C793" s="483"/>
    </row>
    <row r="794">
      <c r="A794" s="22"/>
      <c r="C794" s="483"/>
    </row>
    <row r="795">
      <c r="A795" s="22"/>
      <c r="C795" s="483"/>
    </row>
    <row r="796">
      <c r="A796" s="22"/>
      <c r="C796" s="483"/>
    </row>
    <row r="797">
      <c r="A797" s="22"/>
      <c r="C797" s="483"/>
    </row>
    <row r="798">
      <c r="A798" s="22"/>
      <c r="C798" s="483"/>
    </row>
    <row r="799">
      <c r="A799" s="22"/>
      <c r="C799" s="483"/>
    </row>
    <row r="800">
      <c r="A800" s="22"/>
      <c r="C800" s="483"/>
    </row>
    <row r="801">
      <c r="A801" s="22"/>
      <c r="C801" s="483"/>
    </row>
    <row r="802">
      <c r="A802" s="22"/>
      <c r="C802" s="483"/>
    </row>
    <row r="803">
      <c r="A803" s="22"/>
      <c r="C803" s="483"/>
    </row>
    <row r="804">
      <c r="A804" s="22"/>
      <c r="C804" s="483"/>
    </row>
    <row r="805">
      <c r="A805" s="22"/>
      <c r="C805" s="483"/>
    </row>
    <row r="806">
      <c r="A806" s="22"/>
      <c r="C806" s="483"/>
    </row>
    <row r="807">
      <c r="A807" s="22"/>
      <c r="C807" s="483"/>
    </row>
    <row r="808">
      <c r="A808" s="22"/>
      <c r="C808" s="483"/>
    </row>
    <row r="809">
      <c r="A809" s="22"/>
      <c r="C809" s="483"/>
    </row>
    <row r="810">
      <c r="A810" s="22"/>
      <c r="C810" s="483"/>
    </row>
    <row r="811">
      <c r="A811" s="22"/>
      <c r="C811" s="483"/>
    </row>
    <row r="812">
      <c r="A812" s="22"/>
      <c r="C812" s="483"/>
    </row>
    <row r="813">
      <c r="A813" s="22"/>
      <c r="C813" s="483"/>
    </row>
    <row r="814">
      <c r="A814" s="22"/>
      <c r="C814" s="483"/>
    </row>
    <row r="815">
      <c r="A815" s="22"/>
      <c r="C815" s="483"/>
    </row>
    <row r="816">
      <c r="A816" s="22"/>
      <c r="C816" s="483"/>
    </row>
    <row r="817">
      <c r="A817" s="22"/>
      <c r="C817" s="483"/>
    </row>
    <row r="818">
      <c r="A818" s="22"/>
      <c r="C818" s="483"/>
    </row>
    <row r="819">
      <c r="A819" s="22"/>
      <c r="C819" s="483"/>
    </row>
    <row r="820">
      <c r="A820" s="22"/>
      <c r="C820" s="483"/>
    </row>
    <row r="821">
      <c r="A821" s="22"/>
      <c r="C821" s="483"/>
    </row>
    <row r="822">
      <c r="A822" s="22"/>
      <c r="C822" s="483"/>
    </row>
    <row r="823">
      <c r="A823" s="22"/>
      <c r="C823" s="483"/>
    </row>
    <row r="824">
      <c r="A824" s="22"/>
      <c r="C824" s="483"/>
    </row>
    <row r="825">
      <c r="A825" s="22"/>
      <c r="C825" s="483"/>
    </row>
    <row r="826">
      <c r="A826" s="22"/>
      <c r="C826" s="483"/>
    </row>
    <row r="827">
      <c r="A827" s="22"/>
      <c r="C827" s="483"/>
    </row>
    <row r="828">
      <c r="A828" s="22"/>
      <c r="C828" s="483"/>
    </row>
    <row r="829">
      <c r="A829" s="22"/>
      <c r="C829" s="483"/>
    </row>
    <row r="830">
      <c r="A830" s="22"/>
      <c r="C830" s="483"/>
    </row>
    <row r="831">
      <c r="A831" s="22"/>
      <c r="C831" s="483"/>
    </row>
    <row r="832">
      <c r="A832" s="22"/>
      <c r="C832" s="483"/>
    </row>
    <row r="833">
      <c r="A833" s="22"/>
      <c r="C833" s="483"/>
    </row>
    <row r="834">
      <c r="A834" s="22"/>
      <c r="C834" s="483"/>
    </row>
    <row r="835">
      <c r="A835" s="22"/>
      <c r="C835" s="483"/>
    </row>
    <row r="836">
      <c r="A836" s="22"/>
      <c r="C836" s="483"/>
    </row>
    <row r="837">
      <c r="A837" s="22"/>
      <c r="C837" s="483"/>
    </row>
    <row r="838">
      <c r="A838" s="22"/>
      <c r="C838" s="483"/>
    </row>
    <row r="839">
      <c r="A839" s="22"/>
      <c r="C839" s="483"/>
    </row>
    <row r="840">
      <c r="A840" s="22"/>
      <c r="C840" s="483"/>
    </row>
    <row r="841">
      <c r="A841" s="22"/>
      <c r="C841" s="483"/>
    </row>
    <row r="842">
      <c r="A842" s="22"/>
      <c r="C842" s="483"/>
    </row>
    <row r="843">
      <c r="A843" s="22"/>
      <c r="C843" s="483"/>
    </row>
    <row r="844">
      <c r="A844" s="22"/>
      <c r="C844" s="483"/>
    </row>
    <row r="845">
      <c r="A845" s="22"/>
      <c r="C845" s="483"/>
    </row>
    <row r="846">
      <c r="A846" s="22"/>
      <c r="C846" s="483"/>
    </row>
    <row r="847">
      <c r="A847" s="22"/>
      <c r="C847" s="483"/>
    </row>
    <row r="848">
      <c r="A848" s="22"/>
      <c r="C848" s="483"/>
    </row>
    <row r="849">
      <c r="A849" s="22"/>
      <c r="C849" s="483"/>
    </row>
    <row r="850">
      <c r="A850" s="22"/>
      <c r="C850" s="483"/>
    </row>
    <row r="851">
      <c r="A851" s="22"/>
      <c r="C851" s="483"/>
    </row>
    <row r="852">
      <c r="A852" s="22"/>
      <c r="C852" s="483"/>
    </row>
    <row r="853">
      <c r="A853" s="22"/>
      <c r="C853" s="483"/>
    </row>
    <row r="854">
      <c r="A854" s="22"/>
      <c r="C854" s="483"/>
    </row>
    <row r="855">
      <c r="A855" s="22"/>
      <c r="C855" s="483"/>
    </row>
    <row r="856">
      <c r="A856" s="22"/>
      <c r="C856" s="483"/>
    </row>
    <row r="857">
      <c r="A857" s="22"/>
      <c r="C857" s="483"/>
    </row>
    <row r="858">
      <c r="A858" s="22"/>
      <c r="C858" s="483"/>
    </row>
    <row r="859">
      <c r="A859" s="22"/>
      <c r="C859" s="483"/>
    </row>
    <row r="860">
      <c r="A860" s="22"/>
      <c r="C860" s="483"/>
    </row>
    <row r="861">
      <c r="A861" s="22"/>
      <c r="C861" s="483"/>
    </row>
    <row r="862">
      <c r="A862" s="22"/>
      <c r="C862" s="483"/>
    </row>
    <row r="863">
      <c r="A863" s="22"/>
      <c r="C863" s="483"/>
    </row>
    <row r="864">
      <c r="A864" s="22"/>
      <c r="C864" s="483"/>
    </row>
    <row r="865">
      <c r="A865" s="22"/>
      <c r="C865" s="483"/>
    </row>
    <row r="866">
      <c r="A866" s="22"/>
      <c r="C866" s="483"/>
    </row>
    <row r="867">
      <c r="A867" s="22"/>
      <c r="C867" s="483"/>
    </row>
    <row r="868">
      <c r="A868" s="22"/>
      <c r="C868" s="483"/>
    </row>
    <row r="869">
      <c r="A869" s="22"/>
      <c r="C869" s="483"/>
    </row>
    <row r="870">
      <c r="A870" s="22"/>
      <c r="C870" s="483"/>
    </row>
    <row r="871">
      <c r="A871" s="22"/>
      <c r="C871" s="483"/>
    </row>
    <row r="872">
      <c r="A872" s="22"/>
      <c r="C872" s="483"/>
    </row>
    <row r="873">
      <c r="A873" s="22"/>
      <c r="C873" s="483"/>
    </row>
    <row r="874">
      <c r="A874" s="22"/>
      <c r="C874" s="483"/>
    </row>
    <row r="875">
      <c r="A875" s="22"/>
      <c r="C875" s="483"/>
    </row>
    <row r="876">
      <c r="A876" s="22"/>
      <c r="C876" s="483"/>
    </row>
    <row r="877">
      <c r="A877" s="22"/>
      <c r="C877" s="483"/>
    </row>
    <row r="878">
      <c r="A878" s="22"/>
      <c r="C878" s="483"/>
    </row>
    <row r="879">
      <c r="A879" s="22"/>
      <c r="C879" s="483"/>
    </row>
    <row r="880">
      <c r="A880" s="22"/>
      <c r="C880" s="483"/>
    </row>
    <row r="881">
      <c r="A881" s="22"/>
      <c r="C881" s="483"/>
    </row>
    <row r="882">
      <c r="A882" s="22"/>
      <c r="C882" s="483"/>
    </row>
    <row r="883">
      <c r="A883" s="22"/>
      <c r="C883" s="483"/>
    </row>
    <row r="884">
      <c r="A884" s="22"/>
      <c r="C884" s="483"/>
    </row>
    <row r="885">
      <c r="A885" s="22"/>
      <c r="C885" s="483"/>
    </row>
    <row r="886">
      <c r="A886" s="22"/>
      <c r="C886" s="483"/>
    </row>
    <row r="887">
      <c r="A887" s="22"/>
      <c r="C887" s="483"/>
    </row>
    <row r="888">
      <c r="A888" s="22"/>
      <c r="C888" s="483"/>
    </row>
    <row r="889">
      <c r="A889" s="22"/>
      <c r="C889" s="483"/>
    </row>
    <row r="890">
      <c r="A890" s="22"/>
      <c r="C890" s="483"/>
    </row>
    <row r="891">
      <c r="A891" s="22"/>
      <c r="C891" s="483"/>
    </row>
    <row r="892">
      <c r="A892" s="22"/>
      <c r="C892" s="483"/>
    </row>
    <row r="893">
      <c r="A893" s="22"/>
      <c r="C893" s="483"/>
    </row>
    <row r="894">
      <c r="A894" s="22"/>
      <c r="C894" s="483"/>
    </row>
    <row r="895">
      <c r="A895" s="22"/>
      <c r="C895" s="483"/>
    </row>
    <row r="896">
      <c r="A896" s="22"/>
      <c r="C896" s="483"/>
    </row>
    <row r="897">
      <c r="A897" s="22"/>
      <c r="C897" s="483"/>
    </row>
    <row r="898">
      <c r="A898" s="22"/>
      <c r="C898" s="483"/>
    </row>
    <row r="899">
      <c r="A899" s="22"/>
      <c r="C899" s="483"/>
    </row>
    <row r="900">
      <c r="A900" s="22"/>
      <c r="C900" s="483"/>
    </row>
    <row r="901">
      <c r="A901" s="22"/>
      <c r="C901" s="483"/>
    </row>
    <row r="902">
      <c r="A902" s="22"/>
      <c r="C902" s="483"/>
    </row>
    <row r="903">
      <c r="A903" s="22"/>
      <c r="C903" s="483"/>
    </row>
    <row r="904">
      <c r="A904" s="22"/>
      <c r="C904" s="483"/>
    </row>
    <row r="905">
      <c r="A905" s="22"/>
      <c r="C905" s="483"/>
    </row>
    <row r="906">
      <c r="A906" s="22"/>
      <c r="C906" s="483"/>
    </row>
    <row r="907">
      <c r="A907" s="22"/>
      <c r="C907" s="483"/>
    </row>
    <row r="908">
      <c r="A908" s="22"/>
      <c r="C908" s="483"/>
    </row>
    <row r="909">
      <c r="A909" s="22"/>
      <c r="C909" s="483"/>
    </row>
    <row r="910">
      <c r="A910" s="22"/>
      <c r="C910" s="483"/>
    </row>
    <row r="911">
      <c r="A911" s="22"/>
      <c r="C911" s="483"/>
    </row>
    <row r="912">
      <c r="A912" s="22"/>
      <c r="C912" s="483"/>
    </row>
    <row r="913">
      <c r="A913" s="22"/>
      <c r="C913" s="483"/>
    </row>
    <row r="914">
      <c r="A914" s="22"/>
      <c r="C914" s="483"/>
    </row>
    <row r="915">
      <c r="A915" s="22"/>
      <c r="C915" s="483"/>
    </row>
    <row r="916">
      <c r="A916" s="22"/>
      <c r="C916" s="483"/>
    </row>
    <row r="917">
      <c r="A917" s="22"/>
      <c r="C917" s="483"/>
    </row>
    <row r="918">
      <c r="A918" s="22"/>
      <c r="C918" s="483"/>
    </row>
    <row r="919">
      <c r="A919" s="22"/>
      <c r="C919" s="483"/>
    </row>
    <row r="920">
      <c r="A920" s="22"/>
      <c r="C920" s="483"/>
    </row>
    <row r="921">
      <c r="A921" s="22"/>
      <c r="C921" s="483"/>
    </row>
    <row r="922">
      <c r="A922" s="22"/>
      <c r="C922" s="483"/>
    </row>
    <row r="923">
      <c r="A923" s="22"/>
      <c r="C923" s="483"/>
    </row>
    <row r="924">
      <c r="A924" s="22"/>
      <c r="C924" s="483"/>
    </row>
    <row r="925">
      <c r="A925" s="22"/>
      <c r="C925" s="483"/>
    </row>
    <row r="926">
      <c r="A926" s="22"/>
      <c r="C926" s="483"/>
    </row>
    <row r="927">
      <c r="A927" s="22"/>
      <c r="C927" s="483"/>
    </row>
    <row r="928">
      <c r="A928" s="22"/>
      <c r="C928" s="483"/>
    </row>
    <row r="929">
      <c r="A929" s="22"/>
      <c r="C929" s="483"/>
    </row>
    <row r="930">
      <c r="A930" s="22"/>
      <c r="C930" s="483"/>
    </row>
    <row r="931">
      <c r="A931" s="22"/>
      <c r="C931" s="483"/>
    </row>
    <row r="932">
      <c r="A932" s="22"/>
      <c r="C932" s="483"/>
    </row>
    <row r="933">
      <c r="A933" s="22"/>
      <c r="C933" s="483"/>
    </row>
    <row r="934">
      <c r="A934" s="22"/>
      <c r="C934" s="483"/>
    </row>
    <row r="935">
      <c r="A935" s="22"/>
      <c r="C935" s="483"/>
    </row>
    <row r="936">
      <c r="A936" s="22"/>
      <c r="C936" s="483"/>
    </row>
    <row r="937">
      <c r="A937" s="22"/>
      <c r="C937" s="483"/>
    </row>
    <row r="938">
      <c r="A938" s="22"/>
      <c r="C938" s="483"/>
    </row>
    <row r="939">
      <c r="A939" s="22"/>
      <c r="C939" s="483"/>
    </row>
    <row r="940">
      <c r="A940" s="22"/>
      <c r="C940" s="483"/>
    </row>
    <row r="941">
      <c r="A941" s="22"/>
      <c r="C941" s="483"/>
    </row>
    <row r="942">
      <c r="A942" s="22"/>
      <c r="C942" s="483"/>
    </row>
    <row r="943">
      <c r="A943" s="22"/>
      <c r="C943" s="483"/>
    </row>
    <row r="944">
      <c r="A944" s="22"/>
      <c r="C944" s="483"/>
    </row>
    <row r="945">
      <c r="A945" s="22"/>
      <c r="C945" s="483"/>
    </row>
    <row r="946">
      <c r="A946" s="22"/>
      <c r="C946" s="483"/>
    </row>
    <row r="947">
      <c r="A947" s="22"/>
      <c r="C947" s="483"/>
    </row>
    <row r="948">
      <c r="A948" s="22"/>
      <c r="C948" s="483"/>
    </row>
    <row r="949">
      <c r="A949" s="22"/>
      <c r="C949" s="483"/>
    </row>
    <row r="950">
      <c r="A950" s="22"/>
      <c r="C950" s="483"/>
    </row>
    <row r="951">
      <c r="A951" s="22"/>
      <c r="C951" s="483"/>
    </row>
    <row r="952">
      <c r="A952" s="22"/>
      <c r="C952" s="483"/>
    </row>
    <row r="953">
      <c r="A953" s="22"/>
      <c r="C953" s="483"/>
    </row>
    <row r="954">
      <c r="A954" s="22"/>
      <c r="C954" s="483"/>
    </row>
    <row r="955">
      <c r="A955" s="22"/>
      <c r="C955" s="483"/>
    </row>
    <row r="956">
      <c r="A956" s="22"/>
      <c r="C956" s="483"/>
    </row>
    <row r="957">
      <c r="A957" s="22"/>
      <c r="C957" s="483"/>
    </row>
    <row r="958">
      <c r="A958" s="22"/>
      <c r="C958" s="483"/>
    </row>
    <row r="959">
      <c r="A959" s="22"/>
      <c r="C959" s="483"/>
    </row>
    <row r="960">
      <c r="A960" s="22"/>
      <c r="C960" s="483"/>
    </row>
    <row r="961">
      <c r="A961" s="22"/>
      <c r="C961" s="483"/>
    </row>
    <row r="962">
      <c r="A962" s="22"/>
      <c r="C962" s="483"/>
    </row>
    <row r="963">
      <c r="A963" s="22"/>
      <c r="C963" s="483"/>
    </row>
    <row r="964">
      <c r="A964" s="22"/>
      <c r="C964" s="483"/>
    </row>
    <row r="965">
      <c r="A965" s="22"/>
      <c r="C965" s="483"/>
    </row>
    <row r="966">
      <c r="A966" s="22"/>
      <c r="C966" s="483"/>
    </row>
    <row r="967">
      <c r="A967" s="22"/>
      <c r="C967" s="483"/>
    </row>
    <row r="968">
      <c r="A968" s="22"/>
      <c r="C968" s="483"/>
    </row>
    <row r="969">
      <c r="A969" s="22"/>
      <c r="C969" s="483"/>
    </row>
    <row r="970">
      <c r="A970" s="22"/>
      <c r="C970" s="483"/>
    </row>
    <row r="971">
      <c r="A971" s="22"/>
      <c r="C971" s="483"/>
    </row>
    <row r="972">
      <c r="A972" s="22"/>
      <c r="C972" s="483"/>
    </row>
    <row r="973">
      <c r="A973" s="22"/>
      <c r="C973" s="483"/>
    </row>
    <row r="974">
      <c r="A974" s="22"/>
      <c r="C974" s="483"/>
    </row>
    <row r="975">
      <c r="A975" s="22"/>
      <c r="C975" s="483"/>
    </row>
    <row r="976">
      <c r="A976" s="22"/>
      <c r="C976" s="483"/>
    </row>
    <row r="977">
      <c r="A977" s="22"/>
      <c r="C977" s="483"/>
    </row>
    <row r="978">
      <c r="A978" s="22"/>
      <c r="C978" s="483"/>
    </row>
    <row r="979">
      <c r="A979" s="22"/>
      <c r="C979" s="483"/>
    </row>
    <row r="980">
      <c r="A980" s="22"/>
      <c r="C980" s="483"/>
    </row>
    <row r="981">
      <c r="A981" s="22"/>
      <c r="C981" s="483"/>
    </row>
    <row r="982">
      <c r="A982" s="22"/>
      <c r="C982" s="483"/>
    </row>
    <row r="983">
      <c r="A983" s="22"/>
      <c r="C983" s="483"/>
    </row>
    <row r="984">
      <c r="A984" s="22"/>
      <c r="C984" s="483"/>
    </row>
    <row r="985">
      <c r="A985" s="22"/>
      <c r="C985" s="483"/>
    </row>
    <row r="986">
      <c r="A986" s="22"/>
      <c r="C986" s="483"/>
    </row>
    <row r="987">
      <c r="A987" s="22"/>
      <c r="C987" s="483"/>
    </row>
    <row r="988">
      <c r="A988" s="22"/>
      <c r="C988" s="483"/>
    </row>
    <row r="989">
      <c r="A989" s="22"/>
      <c r="C989" s="483"/>
    </row>
    <row r="990">
      <c r="A990" s="22"/>
      <c r="C990" s="483"/>
    </row>
    <row r="991">
      <c r="A991" s="22"/>
      <c r="C991" s="483"/>
    </row>
    <row r="992">
      <c r="A992" s="22"/>
      <c r="C992" s="483"/>
    </row>
    <row r="993">
      <c r="A993" s="22"/>
      <c r="C993" s="483"/>
    </row>
    <row r="994">
      <c r="A994" s="22"/>
      <c r="C994" s="483"/>
    </row>
    <row r="995">
      <c r="A995" s="22"/>
      <c r="C995" s="483"/>
    </row>
    <row r="996">
      <c r="A996" s="22"/>
      <c r="C996" s="483"/>
    </row>
    <row r="997">
      <c r="A997" s="22"/>
      <c r="C997" s="483"/>
    </row>
    <row r="998">
      <c r="A998" s="22"/>
      <c r="C998" s="483"/>
    </row>
    <row r="999">
      <c r="A999" s="22"/>
      <c r="C999" s="483"/>
    </row>
    <row r="1000">
      <c r="A1000" s="22"/>
      <c r="C1000" s="483"/>
    </row>
  </sheetData>
  <autoFilter ref="$A$1:$AB$56">
    <sortState ref="A1:AB56">
      <sortCondition ref="A1:A56"/>
    </sortState>
  </autoFilter>
  <mergeCells count="2">
    <mergeCell ref="C57:D57"/>
    <mergeCell ref="C64:G64"/>
  </mergeCells>
  <conditionalFormatting sqref="A1:A1000 E59">
    <cfRule type="cellIs" dxfId="4" priority="1" operator="equal">
      <formula>"Not Found"</formula>
    </cfRule>
  </conditionalFormatting>
  <hyperlinks>
    <hyperlink r:id="rId1" ref="F2"/>
    <hyperlink r:id="rId2" location="slide=id.g2edd551b383_0_817" ref="C64"/>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0"/>
    <col customWidth="1" min="2" max="2" width="62.5"/>
    <col customWidth="1" min="3" max="3" width="18.13"/>
    <col customWidth="1" min="4" max="4" width="22.88"/>
    <col customWidth="1" min="5" max="5" width="19.25"/>
    <col customWidth="1" min="6" max="6" width="46.63"/>
    <col customWidth="1" min="7" max="7" width="9.13"/>
    <col customWidth="1" min="8" max="8" width="67.13"/>
  </cols>
  <sheetData>
    <row r="1">
      <c r="A1" s="504" t="s">
        <v>161</v>
      </c>
      <c r="B1" s="504" t="s">
        <v>492</v>
      </c>
      <c r="C1" s="505" t="s">
        <v>493</v>
      </c>
      <c r="D1" s="505" t="s">
        <v>494</v>
      </c>
      <c r="E1" s="505" t="s">
        <v>495</v>
      </c>
      <c r="F1" s="504" t="s">
        <v>496</v>
      </c>
      <c r="G1" s="506" t="s">
        <v>307</v>
      </c>
      <c r="H1" s="504" t="s">
        <v>377</v>
      </c>
      <c r="I1" s="507"/>
      <c r="J1" s="507"/>
      <c r="K1" s="507"/>
      <c r="L1" s="507"/>
      <c r="M1" s="507"/>
      <c r="N1" s="507"/>
      <c r="O1" s="507"/>
      <c r="P1" s="507"/>
      <c r="Q1" s="507"/>
      <c r="R1" s="507"/>
      <c r="S1" s="507"/>
      <c r="T1" s="507"/>
      <c r="U1" s="507"/>
      <c r="V1" s="507"/>
      <c r="W1" s="507"/>
      <c r="X1" s="507"/>
      <c r="Y1" s="507"/>
      <c r="Z1" s="507"/>
      <c r="AA1" s="507"/>
      <c r="AB1" s="507"/>
    </row>
    <row r="2">
      <c r="A2" s="507" t="s">
        <v>207</v>
      </c>
      <c r="B2" s="472" t="s">
        <v>382</v>
      </c>
      <c r="C2" s="472" t="s">
        <v>382</v>
      </c>
      <c r="D2" s="472" t="s">
        <v>382</v>
      </c>
      <c r="E2" s="472" t="s">
        <v>382</v>
      </c>
      <c r="F2" s="508" t="s">
        <v>382</v>
      </c>
      <c r="G2" s="509" t="s">
        <v>382</v>
      </c>
      <c r="H2" s="508" t="s">
        <v>382</v>
      </c>
      <c r="I2" s="507"/>
      <c r="J2" s="507"/>
      <c r="K2" s="507"/>
      <c r="L2" s="507"/>
      <c r="M2" s="507"/>
      <c r="N2" s="507"/>
      <c r="O2" s="507"/>
      <c r="P2" s="507"/>
      <c r="Q2" s="507"/>
      <c r="R2" s="507"/>
      <c r="S2" s="507"/>
      <c r="T2" s="507"/>
      <c r="U2" s="507"/>
      <c r="V2" s="507"/>
      <c r="W2" s="507"/>
      <c r="X2" s="507"/>
      <c r="Y2" s="507"/>
      <c r="Z2" s="507"/>
      <c r="AA2" s="507"/>
      <c r="AB2" s="507"/>
    </row>
    <row r="3">
      <c r="A3" s="507" t="s">
        <v>240</v>
      </c>
      <c r="B3" s="510">
        <f>73.1342249/100</f>
        <v>0.731342249</v>
      </c>
      <c r="C3" s="507" t="s">
        <v>497</v>
      </c>
      <c r="D3" s="507" t="s">
        <v>498</v>
      </c>
      <c r="E3" s="511">
        <v>2019.0</v>
      </c>
      <c r="F3" s="507" t="str">
        <f>IF(B3 &lt;0.85, "low", IF(B3 &lt;=1, "medium", "high"))</f>
        <v>low</v>
      </c>
      <c r="G3" s="512">
        <f t="shared" ref="G3:G12" si="1">IF(B3&lt;0.85, (1/3), IF(B3&lt;1, (2/3), 1))</f>
        <v>0.3333333333</v>
      </c>
      <c r="H3" s="513" t="s">
        <v>499</v>
      </c>
      <c r="I3" s="507"/>
      <c r="J3" s="507"/>
      <c r="K3" s="507"/>
      <c r="L3" s="507"/>
      <c r="M3" s="507"/>
      <c r="N3" s="507"/>
      <c r="O3" s="507"/>
      <c r="P3" s="507"/>
      <c r="Q3" s="507"/>
      <c r="R3" s="507"/>
      <c r="S3" s="507"/>
      <c r="T3" s="507"/>
      <c r="U3" s="507"/>
      <c r="V3" s="507"/>
      <c r="W3" s="507"/>
      <c r="X3" s="507"/>
      <c r="Y3" s="507"/>
      <c r="Z3" s="507"/>
      <c r="AA3" s="507"/>
      <c r="AB3" s="507"/>
    </row>
    <row r="4">
      <c r="A4" s="507" t="s">
        <v>268</v>
      </c>
      <c r="B4" s="510">
        <f>92.9579261/100</f>
        <v>0.929579261</v>
      </c>
      <c r="C4" s="507" t="s">
        <v>500</v>
      </c>
      <c r="D4" s="507" t="s">
        <v>501</v>
      </c>
      <c r="E4" s="511">
        <v>2019.0</v>
      </c>
      <c r="F4" s="507" t="str">
        <f>IF(B4 &lt;0.85, "low", IF(B4 &lt;1, "medium", "high"))</f>
        <v>medium</v>
      </c>
      <c r="G4" s="512">
        <f t="shared" si="1"/>
        <v>0.6666666667</v>
      </c>
      <c r="H4" s="513" t="s">
        <v>502</v>
      </c>
      <c r="I4" s="507"/>
      <c r="J4" s="507"/>
      <c r="K4" s="507"/>
      <c r="L4" s="507"/>
      <c r="M4" s="507"/>
      <c r="N4" s="507"/>
      <c r="O4" s="507"/>
      <c r="P4" s="507"/>
      <c r="Q4" s="507"/>
      <c r="R4" s="507"/>
      <c r="S4" s="507"/>
      <c r="T4" s="507"/>
      <c r="U4" s="507"/>
      <c r="V4" s="507"/>
      <c r="W4" s="507"/>
      <c r="X4" s="507"/>
      <c r="Y4" s="507"/>
      <c r="Z4" s="507"/>
      <c r="AA4" s="507"/>
      <c r="AB4" s="507"/>
    </row>
    <row r="5">
      <c r="A5" s="507" t="s">
        <v>329</v>
      </c>
      <c r="B5" s="510">
        <f>79.2663472/100</f>
        <v>0.792663472</v>
      </c>
      <c r="C5" s="507" t="s">
        <v>503</v>
      </c>
      <c r="D5" s="507" t="s">
        <v>501</v>
      </c>
      <c r="E5" s="511">
        <v>2019.0</v>
      </c>
      <c r="F5" s="507" t="str">
        <f>IF(B5 &lt;0.85, "low", IF(B5 &lt;=1, "medium", "high"))</f>
        <v>low</v>
      </c>
      <c r="G5" s="512">
        <f t="shared" si="1"/>
        <v>0.3333333333</v>
      </c>
      <c r="H5" s="514" t="s">
        <v>504</v>
      </c>
      <c r="I5" s="507"/>
      <c r="J5" s="507"/>
      <c r="K5" s="507"/>
      <c r="L5" s="507"/>
      <c r="M5" s="507"/>
      <c r="N5" s="507"/>
      <c r="O5" s="507"/>
      <c r="P5" s="507"/>
      <c r="Q5" s="507"/>
      <c r="R5" s="507"/>
      <c r="S5" s="507"/>
      <c r="T5" s="507"/>
      <c r="U5" s="507"/>
      <c r="V5" s="507"/>
      <c r="W5" s="507"/>
      <c r="X5" s="507"/>
      <c r="Y5" s="507"/>
      <c r="Z5" s="507"/>
      <c r="AA5" s="507"/>
      <c r="AB5" s="507"/>
    </row>
    <row r="6">
      <c r="A6" s="507" t="s">
        <v>331</v>
      </c>
      <c r="B6" s="510">
        <f>104.1419136/100</f>
        <v>1.041419136</v>
      </c>
      <c r="C6" s="507" t="s">
        <v>505</v>
      </c>
      <c r="D6" s="507" t="s">
        <v>501</v>
      </c>
      <c r="E6" s="511">
        <v>2019.0</v>
      </c>
      <c r="F6" s="507" t="str">
        <f>IF(B6 &lt;0.85, "low", IF(B6 &lt;1, "medium", "high"))</f>
        <v>high</v>
      </c>
      <c r="G6" s="512">
        <f t="shared" si="1"/>
        <v>1</v>
      </c>
      <c r="H6" s="513" t="s">
        <v>506</v>
      </c>
      <c r="I6" s="507"/>
      <c r="J6" s="507"/>
      <c r="K6" s="507"/>
      <c r="L6" s="507"/>
      <c r="M6" s="507"/>
      <c r="N6" s="507"/>
      <c r="O6" s="507"/>
      <c r="P6" s="507"/>
      <c r="Q6" s="507"/>
      <c r="R6" s="507"/>
      <c r="S6" s="507"/>
      <c r="T6" s="507"/>
      <c r="U6" s="507"/>
      <c r="V6" s="507"/>
      <c r="W6" s="507"/>
      <c r="X6" s="507"/>
      <c r="Y6" s="507"/>
      <c r="Z6" s="507"/>
      <c r="AA6" s="507"/>
      <c r="AB6" s="507"/>
    </row>
    <row r="7">
      <c r="A7" s="507" t="s">
        <v>333</v>
      </c>
      <c r="B7" s="510">
        <f>113.5604838/100</f>
        <v>1.135604838</v>
      </c>
      <c r="C7" s="507" t="s">
        <v>507</v>
      </c>
      <c r="D7" s="507" t="s">
        <v>501</v>
      </c>
      <c r="E7" s="511">
        <v>2019.0</v>
      </c>
      <c r="F7" s="507" t="str">
        <f>IF(B7 &lt;0.85, "low", IF(B7 &lt;=1, "medium", "high"))</f>
        <v>high</v>
      </c>
      <c r="G7" s="512">
        <f t="shared" si="1"/>
        <v>1</v>
      </c>
      <c r="H7" s="513" t="s">
        <v>508</v>
      </c>
      <c r="I7" s="507"/>
      <c r="J7" s="507"/>
      <c r="K7" s="507"/>
      <c r="L7" s="507"/>
      <c r="M7" s="507"/>
      <c r="N7" s="507"/>
      <c r="O7" s="507"/>
      <c r="P7" s="507"/>
      <c r="Q7" s="507"/>
      <c r="R7" s="507"/>
      <c r="S7" s="507"/>
      <c r="T7" s="507"/>
      <c r="U7" s="507"/>
      <c r="V7" s="507"/>
      <c r="W7" s="507"/>
      <c r="X7" s="507"/>
      <c r="Y7" s="507"/>
      <c r="Z7" s="507"/>
      <c r="AA7" s="507"/>
      <c r="AB7" s="507"/>
    </row>
    <row r="8">
      <c r="A8" s="507" t="s">
        <v>225</v>
      </c>
      <c r="B8" s="510">
        <f>96.0209376/100</f>
        <v>0.960209376</v>
      </c>
      <c r="C8" s="507" t="s">
        <v>509</v>
      </c>
      <c r="D8" s="507" t="s">
        <v>501</v>
      </c>
      <c r="E8" s="511">
        <v>2019.0</v>
      </c>
      <c r="F8" s="507" t="str">
        <f>IF(B8 &lt;0.85, "low", IF(B8 &lt;1, "medium", "high"))</f>
        <v>medium</v>
      </c>
      <c r="G8" s="512">
        <f t="shared" si="1"/>
        <v>0.6666666667</v>
      </c>
      <c r="H8" s="513" t="s">
        <v>510</v>
      </c>
      <c r="I8" s="507"/>
      <c r="J8" s="507"/>
      <c r="K8" s="507"/>
      <c r="L8" s="507"/>
      <c r="M8" s="507"/>
      <c r="N8" s="507"/>
      <c r="O8" s="507"/>
      <c r="P8" s="507"/>
      <c r="Q8" s="507"/>
      <c r="R8" s="507"/>
      <c r="S8" s="507"/>
      <c r="T8" s="507"/>
      <c r="U8" s="507"/>
      <c r="V8" s="507"/>
      <c r="W8" s="507"/>
      <c r="X8" s="507"/>
      <c r="Y8" s="507"/>
      <c r="Z8" s="507"/>
      <c r="AA8" s="507"/>
      <c r="AB8" s="507"/>
    </row>
    <row r="9">
      <c r="A9" s="507" t="s">
        <v>338</v>
      </c>
      <c r="B9" s="510">
        <f>69.329753/100</f>
        <v>0.69329753</v>
      </c>
      <c r="C9" s="507" t="s">
        <v>511</v>
      </c>
      <c r="D9" s="507" t="s">
        <v>501</v>
      </c>
      <c r="E9" s="511">
        <v>2019.0</v>
      </c>
      <c r="F9" s="507" t="str">
        <f>IF(B9 &lt;0.85, "low", IF(B9 &lt;=1, "medium", "high"))</f>
        <v>low</v>
      </c>
      <c r="G9" s="512">
        <f t="shared" si="1"/>
        <v>0.3333333333</v>
      </c>
      <c r="H9" s="513" t="s">
        <v>512</v>
      </c>
      <c r="I9" s="507"/>
      <c r="J9" s="507"/>
      <c r="K9" s="507"/>
      <c r="L9" s="507"/>
      <c r="M9" s="507"/>
      <c r="N9" s="507"/>
      <c r="O9" s="507"/>
      <c r="P9" s="507"/>
      <c r="Q9" s="507"/>
      <c r="R9" s="507"/>
      <c r="S9" s="507"/>
      <c r="T9" s="507"/>
      <c r="U9" s="507"/>
      <c r="V9" s="507"/>
      <c r="W9" s="507"/>
      <c r="X9" s="507"/>
      <c r="Y9" s="507"/>
      <c r="Z9" s="507"/>
      <c r="AA9" s="507"/>
      <c r="AB9" s="507"/>
    </row>
    <row r="10">
      <c r="A10" s="507" t="s">
        <v>340</v>
      </c>
      <c r="B10" s="510">
        <f>44.2461284/100</f>
        <v>0.442461284</v>
      </c>
      <c r="C10" s="507" t="s">
        <v>513</v>
      </c>
      <c r="D10" s="507" t="s">
        <v>501</v>
      </c>
      <c r="E10" s="511">
        <v>2019.0</v>
      </c>
      <c r="F10" s="507" t="str">
        <f>IF(B10 &lt;0.85, "low", IF(B10 &lt;1, "medium", "high"))</f>
        <v>low</v>
      </c>
      <c r="G10" s="512">
        <f t="shared" si="1"/>
        <v>0.3333333333</v>
      </c>
      <c r="H10" s="513" t="s">
        <v>514</v>
      </c>
      <c r="I10" s="507"/>
      <c r="J10" s="507"/>
      <c r="K10" s="507"/>
      <c r="L10" s="507"/>
      <c r="M10" s="507"/>
      <c r="N10" s="507"/>
      <c r="O10" s="507"/>
      <c r="P10" s="507"/>
      <c r="Q10" s="507"/>
      <c r="R10" s="507"/>
      <c r="S10" s="507"/>
      <c r="T10" s="507"/>
      <c r="U10" s="507"/>
      <c r="V10" s="507"/>
      <c r="W10" s="507"/>
      <c r="X10" s="507"/>
      <c r="Y10" s="507"/>
      <c r="Z10" s="507"/>
      <c r="AA10" s="507"/>
      <c r="AB10" s="507"/>
    </row>
    <row r="11">
      <c r="A11" s="507" t="s">
        <v>342</v>
      </c>
      <c r="B11" s="510">
        <f>85.1340734/100</f>
        <v>0.851340734</v>
      </c>
      <c r="C11" s="507" t="s">
        <v>515</v>
      </c>
      <c r="D11" s="507" t="s">
        <v>501</v>
      </c>
      <c r="E11" s="511">
        <v>2019.0</v>
      </c>
      <c r="F11" s="507" t="str">
        <f>IF(B11 &lt;0.85, "low", IF(B11 &lt;=1, "medium", "high"))</f>
        <v>medium</v>
      </c>
      <c r="G11" s="512">
        <f t="shared" si="1"/>
        <v>0.6666666667</v>
      </c>
      <c r="H11" s="513" t="s">
        <v>516</v>
      </c>
      <c r="I11" s="507"/>
      <c r="J11" s="507"/>
      <c r="K11" s="507"/>
      <c r="L11" s="507"/>
      <c r="M11" s="507"/>
      <c r="N11" s="507"/>
      <c r="O11" s="507"/>
      <c r="P11" s="507"/>
      <c r="Q11" s="507"/>
      <c r="R11" s="507"/>
      <c r="S11" s="507"/>
      <c r="T11" s="507"/>
      <c r="U11" s="507"/>
      <c r="V11" s="507"/>
      <c r="W11" s="507"/>
      <c r="X11" s="507"/>
      <c r="Y11" s="507"/>
      <c r="Z11" s="507"/>
      <c r="AA11" s="507"/>
      <c r="AB11" s="507"/>
    </row>
    <row r="12">
      <c r="A12" s="507" t="s">
        <v>346</v>
      </c>
      <c r="B12" s="510">
        <f>101.0569069/100</f>
        <v>1.010569069</v>
      </c>
      <c r="C12" s="507" t="s">
        <v>517</v>
      </c>
      <c r="D12" s="507" t="s">
        <v>501</v>
      </c>
      <c r="E12" s="511">
        <v>2021.0</v>
      </c>
      <c r="F12" s="507" t="str">
        <f>IF(B12 &lt;0.85, "low", IF(B12 &lt;1, "medium", "high"))</f>
        <v>high</v>
      </c>
      <c r="G12" s="512">
        <f t="shared" si="1"/>
        <v>1</v>
      </c>
      <c r="H12" s="513" t="s">
        <v>518</v>
      </c>
      <c r="I12" s="507"/>
      <c r="J12" s="507"/>
      <c r="K12" s="507"/>
      <c r="L12" s="507"/>
      <c r="M12" s="507"/>
      <c r="N12" s="507"/>
      <c r="O12" s="507"/>
      <c r="P12" s="507"/>
      <c r="Q12" s="507"/>
      <c r="R12" s="507"/>
      <c r="S12" s="507"/>
      <c r="T12" s="507"/>
      <c r="U12" s="507"/>
      <c r="V12" s="507"/>
      <c r="W12" s="507"/>
      <c r="X12" s="507"/>
      <c r="Y12" s="507"/>
      <c r="Z12" s="507"/>
      <c r="AA12" s="507"/>
      <c r="AB12" s="507"/>
    </row>
    <row r="13">
      <c r="A13" s="507" t="s">
        <v>351</v>
      </c>
      <c r="B13" s="472" t="s">
        <v>382</v>
      </c>
      <c r="C13" s="472" t="s">
        <v>382</v>
      </c>
      <c r="D13" s="472" t="s">
        <v>382</v>
      </c>
      <c r="E13" s="472" t="s">
        <v>382</v>
      </c>
      <c r="F13" s="472" t="s">
        <v>382</v>
      </c>
      <c r="G13" s="509" t="s">
        <v>382</v>
      </c>
      <c r="H13" s="508" t="s">
        <v>382</v>
      </c>
      <c r="I13" s="507"/>
      <c r="J13" s="507"/>
      <c r="K13" s="507"/>
      <c r="L13" s="507"/>
      <c r="M13" s="507"/>
      <c r="N13" s="507"/>
      <c r="O13" s="507"/>
      <c r="P13" s="507"/>
      <c r="Q13" s="507"/>
      <c r="R13" s="507"/>
      <c r="S13" s="507"/>
      <c r="T13" s="507"/>
      <c r="U13" s="507"/>
      <c r="V13" s="507"/>
      <c r="W13" s="507"/>
      <c r="X13" s="507"/>
      <c r="Y13" s="507"/>
      <c r="Z13" s="507"/>
      <c r="AA13" s="507"/>
      <c r="AB13" s="507"/>
    </row>
    <row r="14">
      <c r="A14" s="507" t="s">
        <v>356</v>
      </c>
      <c r="B14" s="510">
        <f>91.3290207/100</f>
        <v>0.913290207</v>
      </c>
      <c r="C14" s="507" t="s">
        <v>519</v>
      </c>
      <c r="D14" s="507" t="s">
        <v>501</v>
      </c>
      <c r="E14" s="511">
        <v>2019.0</v>
      </c>
      <c r="F14" s="507" t="str">
        <f>IF(B14 &lt;0.85, "low", IF(B14 &lt;1, "medium", "high"))</f>
        <v>medium</v>
      </c>
      <c r="G14" s="512">
        <f>IF(B14&lt;0.85, (1/3), IF(B14&lt;1, (2/3), 1))</f>
        <v>0.6666666667</v>
      </c>
      <c r="H14" s="513" t="s">
        <v>520</v>
      </c>
      <c r="I14" s="507"/>
      <c r="J14" s="507"/>
      <c r="K14" s="507"/>
      <c r="L14" s="507"/>
      <c r="M14" s="507"/>
      <c r="N14" s="507"/>
      <c r="O14" s="507"/>
      <c r="P14" s="507"/>
      <c r="Q14" s="507"/>
      <c r="R14" s="507"/>
      <c r="S14" s="507"/>
      <c r="T14" s="507"/>
      <c r="U14" s="507"/>
      <c r="V14" s="507"/>
      <c r="W14" s="507"/>
      <c r="X14" s="507"/>
      <c r="Y14" s="507"/>
      <c r="Z14" s="507"/>
      <c r="AA14" s="507"/>
      <c r="AB14" s="507"/>
    </row>
    <row r="15">
      <c r="A15" s="507" t="s">
        <v>357</v>
      </c>
      <c r="B15" s="472" t="s">
        <v>382</v>
      </c>
      <c r="C15" s="472" t="s">
        <v>382</v>
      </c>
      <c r="D15" s="472" t="s">
        <v>382</v>
      </c>
      <c r="E15" s="472" t="s">
        <v>382</v>
      </c>
      <c r="F15" s="472" t="s">
        <v>382</v>
      </c>
      <c r="G15" s="509" t="s">
        <v>382</v>
      </c>
      <c r="H15" s="508" t="s">
        <v>382</v>
      </c>
      <c r="I15" s="507"/>
      <c r="J15" s="507"/>
      <c r="K15" s="507"/>
      <c r="L15" s="507"/>
      <c r="M15" s="507"/>
      <c r="N15" s="507"/>
      <c r="O15" s="507"/>
      <c r="P15" s="507"/>
      <c r="Q15" s="507"/>
      <c r="R15" s="507"/>
      <c r="S15" s="507"/>
      <c r="T15" s="507"/>
      <c r="U15" s="507"/>
      <c r="V15" s="507"/>
      <c r="W15" s="507"/>
      <c r="X15" s="507"/>
      <c r="Y15" s="507"/>
      <c r="Z15" s="507"/>
      <c r="AA15" s="507"/>
      <c r="AB15" s="507"/>
    </row>
    <row r="16">
      <c r="A16" s="507" t="s">
        <v>276</v>
      </c>
      <c r="B16" s="510">
        <f>76.4701884/100</f>
        <v>0.764701884</v>
      </c>
      <c r="C16" s="507" t="s">
        <v>521</v>
      </c>
      <c r="D16" s="507" t="s">
        <v>501</v>
      </c>
      <c r="E16" s="511">
        <v>2019.0</v>
      </c>
      <c r="F16" s="507" t="str">
        <f>IF(B16 &lt;0.85, "low", IF(B16 &lt;1, "medium", "high"))</f>
        <v>low</v>
      </c>
      <c r="G16" s="512">
        <f>IF(B16&lt;0.85, (1/3), IF(B16&lt;1, (2/3), 1))</f>
        <v>0.3333333333</v>
      </c>
      <c r="H16" s="513" t="s">
        <v>522</v>
      </c>
      <c r="I16" s="507"/>
      <c r="J16" s="507"/>
      <c r="K16" s="507"/>
      <c r="L16" s="507"/>
      <c r="M16" s="507"/>
      <c r="N16" s="507"/>
      <c r="O16" s="507"/>
      <c r="P16" s="507"/>
      <c r="Q16" s="507"/>
      <c r="R16" s="507"/>
      <c r="S16" s="507"/>
      <c r="T16" s="507"/>
      <c r="U16" s="507"/>
      <c r="V16" s="507"/>
      <c r="W16" s="507"/>
      <c r="X16" s="507"/>
      <c r="Y16" s="507"/>
      <c r="Z16" s="507"/>
      <c r="AA16" s="507"/>
      <c r="AB16" s="507"/>
    </row>
    <row r="17">
      <c r="A17" s="507" t="s">
        <v>285</v>
      </c>
      <c r="B17" s="472" t="s">
        <v>382</v>
      </c>
      <c r="C17" s="472" t="s">
        <v>382</v>
      </c>
      <c r="D17" s="472" t="s">
        <v>382</v>
      </c>
      <c r="E17" s="472" t="s">
        <v>382</v>
      </c>
      <c r="F17" s="472" t="s">
        <v>382</v>
      </c>
      <c r="G17" s="509" t="s">
        <v>382</v>
      </c>
      <c r="H17" s="508" t="s">
        <v>382</v>
      </c>
      <c r="I17" s="507"/>
      <c r="J17" s="507"/>
      <c r="K17" s="507"/>
      <c r="L17" s="507"/>
      <c r="M17" s="507"/>
      <c r="N17" s="507"/>
      <c r="O17" s="507"/>
      <c r="P17" s="507"/>
      <c r="Q17" s="507"/>
      <c r="R17" s="507"/>
      <c r="S17" s="507"/>
      <c r="T17" s="507"/>
      <c r="U17" s="507"/>
      <c r="V17" s="507"/>
      <c r="W17" s="507"/>
      <c r="X17" s="507"/>
      <c r="Y17" s="507"/>
      <c r="Z17" s="507"/>
      <c r="AA17" s="507"/>
      <c r="AB17" s="507"/>
    </row>
    <row r="18">
      <c r="A18" s="507" t="s">
        <v>360</v>
      </c>
      <c r="B18" s="472" t="s">
        <v>382</v>
      </c>
      <c r="C18" s="472" t="s">
        <v>382</v>
      </c>
      <c r="D18" s="472" t="s">
        <v>382</v>
      </c>
      <c r="E18" s="472" t="s">
        <v>382</v>
      </c>
      <c r="F18" s="472" t="s">
        <v>382</v>
      </c>
      <c r="G18" s="509" t="s">
        <v>382</v>
      </c>
      <c r="H18" s="508" t="s">
        <v>382</v>
      </c>
      <c r="I18" s="507"/>
      <c r="J18" s="507"/>
      <c r="K18" s="507"/>
      <c r="L18" s="507"/>
      <c r="M18" s="507"/>
      <c r="N18" s="507"/>
      <c r="O18" s="507"/>
      <c r="P18" s="507"/>
      <c r="Q18" s="507"/>
      <c r="R18" s="507"/>
      <c r="S18" s="507"/>
      <c r="T18" s="507"/>
      <c r="U18" s="507"/>
      <c r="V18" s="507"/>
      <c r="W18" s="507"/>
      <c r="X18" s="507"/>
      <c r="Y18" s="507"/>
      <c r="Z18" s="507"/>
      <c r="AA18" s="507"/>
      <c r="AB18" s="507"/>
    </row>
    <row r="19">
      <c r="A19" s="507" t="s">
        <v>362</v>
      </c>
      <c r="B19" s="472" t="s">
        <v>382</v>
      </c>
      <c r="C19" s="472" t="s">
        <v>382</v>
      </c>
      <c r="D19" s="472" t="s">
        <v>382</v>
      </c>
      <c r="E19" s="472" t="s">
        <v>382</v>
      </c>
      <c r="F19" s="472" t="s">
        <v>382</v>
      </c>
      <c r="G19" s="509" t="s">
        <v>382</v>
      </c>
      <c r="H19" s="508" t="s">
        <v>382</v>
      </c>
      <c r="I19" s="507"/>
      <c r="J19" s="507"/>
      <c r="K19" s="507"/>
      <c r="L19" s="507"/>
      <c r="M19" s="507"/>
      <c r="N19" s="507"/>
      <c r="O19" s="507"/>
      <c r="P19" s="507"/>
      <c r="Q19" s="507"/>
      <c r="R19" s="507"/>
      <c r="S19" s="507"/>
      <c r="T19" s="507"/>
      <c r="U19" s="507"/>
      <c r="V19" s="507"/>
      <c r="W19" s="507"/>
      <c r="X19" s="507"/>
      <c r="Y19" s="507"/>
      <c r="Z19" s="507"/>
      <c r="AA19" s="507"/>
      <c r="AB19" s="507"/>
    </row>
    <row r="20">
      <c r="A20" s="507" t="s">
        <v>363</v>
      </c>
      <c r="B20" s="510">
        <f>111.5748665/100</f>
        <v>1.115748665</v>
      </c>
      <c r="C20" s="507" t="s">
        <v>523</v>
      </c>
      <c r="D20" s="507" t="s">
        <v>501</v>
      </c>
      <c r="E20" s="511">
        <v>2019.0</v>
      </c>
      <c r="F20" s="507" t="str">
        <f>IF(B20 &lt;0.85, "low", IF(B20 &lt;1, "medium", "high"))</f>
        <v>high</v>
      </c>
      <c r="G20" s="512">
        <f t="shared" ref="G20:G29" si="2">IF(B20&lt;0.85, (1/3), IF(B20&lt;1, (2/3), 1))</f>
        <v>1</v>
      </c>
      <c r="H20" s="513" t="s">
        <v>524</v>
      </c>
      <c r="I20" s="507"/>
      <c r="J20" s="507"/>
      <c r="K20" s="507"/>
      <c r="L20" s="507"/>
      <c r="M20" s="507"/>
      <c r="N20" s="507"/>
      <c r="O20" s="507"/>
      <c r="P20" s="507"/>
      <c r="Q20" s="507"/>
      <c r="R20" s="507"/>
      <c r="S20" s="507"/>
      <c r="T20" s="507"/>
      <c r="U20" s="507"/>
      <c r="V20" s="507"/>
      <c r="W20" s="507"/>
      <c r="X20" s="507"/>
      <c r="Y20" s="507"/>
      <c r="Z20" s="507"/>
      <c r="AA20" s="507"/>
      <c r="AB20" s="507"/>
    </row>
    <row r="21">
      <c r="A21" s="507" t="s">
        <v>255</v>
      </c>
      <c r="B21" s="510">
        <f>102.7019179/100</f>
        <v>1.027019179</v>
      </c>
      <c r="C21" s="507" t="s">
        <v>525</v>
      </c>
      <c r="D21" s="507" t="s">
        <v>498</v>
      </c>
      <c r="E21" s="511">
        <v>2019.0</v>
      </c>
      <c r="F21" s="507" t="str">
        <f>IF(B21 &lt;0.85, "low", IF(B21 &lt;=1, "medium", "high"))</f>
        <v>high</v>
      </c>
      <c r="G21" s="512">
        <f t="shared" si="2"/>
        <v>1</v>
      </c>
      <c r="H21" s="513" t="s">
        <v>526</v>
      </c>
      <c r="I21" s="507"/>
      <c r="J21" s="507"/>
      <c r="K21" s="507"/>
      <c r="L21" s="507"/>
      <c r="M21" s="507"/>
      <c r="N21" s="507"/>
      <c r="O21" s="507"/>
      <c r="P21" s="507"/>
      <c r="Q21" s="507"/>
      <c r="R21" s="507"/>
      <c r="S21" s="507"/>
      <c r="T21" s="507"/>
      <c r="U21" s="507"/>
      <c r="V21" s="507"/>
      <c r="W21" s="507"/>
      <c r="X21" s="507"/>
      <c r="Y21" s="507"/>
      <c r="Z21" s="507"/>
      <c r="AA21" s="507"/>
      <c r="AB21" s="507"/>
    </row>
    <row r="22">
      <c r="A22" s="507" t="s">
        <v>374</v>
      </c>
      <c r="B22" s="510">
        <f>90.6808412/100</f>
        <v>0.906808412</v>
      </c>
      <c r="C22" s="507" t="s">
        <v>527</v>
      </c>
      <c r="D22" s="507" t="s">
        <v>501</v>
      </c>
      <c r="E22" s="511">
        <v>2018.0</v>
      </c>
      <c r="F22" s="507" t="str">
        <f>IF(B22 &lt;0.85, "low", IF(B22 &lt;1, "medium", "high"))</f>
        <v>medium</v>
      </c>
      <c r="G22" s="512">
        <f t="shared" si="2"/>
        <v>0.6666666667</v>
      </c>
      <c r="H22" s="513" t="s">
        <v>528</v>
      </c>
      <c r="I22" s="507"/>
      <c r="J22" s="507"/>
      <c r="K22" s="507"/>
      <c r="L22" s="507"/>
      <c r="M22" s="507"/>
      <c r="N22" s="507"/>
      <c r="O22" s="507"/>
      <c r="P22" s="507"/>
      <c r="Q22" s="507"/>
      <c r="R22" s="507"/>
      <c r="S22" s="507"/>
      <c r="T22" s="507"/>
      <c r="U22" s="507"/>
      <c r="V22" s="507"/>
      <c r="W22" s="507"/>
      <c r="X22" s="507"/>
      <c r="Y22" s="507"/>
      <c r="Z22" s="507"/>
      <c r="AA22" s="507"/>
      <c r="AB22" s="507"/>
    </row>
    <row r="23">
      <c r="A23" s="507" t="s">
        <v>263</v>
      </c>
      <c r="B23" s="510">
        <f>66.6773068/100</f>
        <v>0.666773068</v>
      </c>
      <c r="C23" s="507" t="s">
        <v>529</v>
      </c>
      <c r="D23" s="507" t="s">
        <v>501</v>
      </c>
      <c r="E23" s="511">
        <v>2019.0</v>
      </c>
      <c r="F23" s="507" t="str">
        <f>IF(B23 &lt;0.85, "low", IF(B23 &lt;=1, "medium", "high"))</f>
        <v>low</v>
      </c>
      <c r="G23" s="512">
        <f t="shared" si="2"/>
        <v>0.3333333333</v>
      </c>
      <c r="H23" s="513" t="s">
        <v>530</v>
      </c>
      <c r="I23" s="507"/>
      <c r="J23" s="507"/>
      <c r="K23" s="507"/>
      <c r="L23" s="507"/>
      <c r="M23" s="507"/>
      <c r="N23" s="507"/>
      <c r="O23" s="507"/>
      <c r="P23" s="507"/>
      <c r="Q23" s="507"/>
      <c r="R23" s="507"/>
      <c r="S23" s="507"/>
      <c r="T23" s="507"/>
      <c r="U23" s="507"/>
      <c r="V23" s="507"/>
      <c r="W23" s="507"/>
      <c r="X23" s="507"/>
      <c r="Y23" s="507"/>
      <c r="Z23" s="507"/>
      <c r="AA23" s="507"/>
      <c r="AB23" s="507"/>
    </row>
    <row r="24">
      <c r="A24" s="507" t="s">
        <v>266</v>
      </c>
      <c r="B24" s="510">
        <f>103.2875093/100</f>
        <v>1.032875093</v>
      </c>
      <c r="C24" s="507" t="s">
        <v>531</v>
      </c>
      <c r="D24" s="507" t="s">
        <v>498</v>
      </c>
      <c r="E24" s="511">
        <v>2019.0</v>
      </c>
      <c r="F24" s="507" t="str">
        <f>IF(B24 &lt;0.85, "low", IF(B24 &lt;1, "medium", "high"))</f>
        <v>high</v>
      </c>
      <c r="G24" s="512">
        <f t="shared" si="2"/>
        <v>1</v>
      </c>
      <c r="H24" s="513" t="s">
        <v>532</v>
      </c>
      <c r="I24" s="507"/>
      <c r="J24" s="507"/>
      <c r="K24" s="507"/>
      <c r="L24" s="507"/>
      <c r="M24" s="507"/>
      <c r="N24" s="507"/>
      <c r="O24" s="507"/>
      <c r="P24" s="507"/>
      <c r="Q24" s="507"/>
      <c r="R24" s="507"/>
      <c r="S24" s="507"/>
      <c r="T24" s="507"/>
      <c r="U24" s="507"/>
      <c r="V24" s="507"/>
      <c r="W24" s="507"/>
      <c r="X24" s="507"/>
      <c r="Y24" s="507"/>
      <c r="Z24" s="507"/>
      <c r="AA24" s="507"/>
      <c r="AB24" s="507"/>
    </row>
    <row r="25">
      <c r="A25" s="507" t="s">
        <v>385</v>
      </c>
      <c r="B25" s="510">
        <f>65.5307925/100</f>
        <v>0.655307925</v>
      </c>
      <c r="C25" s="507" t="s">
        <v>533</v>
      </c>
      <c r="D25" s="507" t="s">
        <v>501</v>
      </c>
      <c r="E25" s="511">
        <v>2019.0</v>
      </c>
      <c r="F25" s="507" t="str">
        <f>IF(B25 &lt;0.85, "low", IF(B25 &lt;=1, "medium", "high"))</f>
        <v>low</v>
      </c>
      <c r="G25" s="512">
        <f t="shared" si="2"/>
        <v>0.3333333333</v>
      </c>
      <c r="H25" s="513" t="s">
        <v>534</v>
      </c>
      <c r="I25" s="507"/>
      <c r="J25" s="507"/>
      <c r="K25" s="507"/>
      <c r="L25" s="507"/>
      <c r="M25" s="507"/>
      <c r="N25" s="507"/>
      <c r="O25" s="507"/>
      <c r="P25" s="507"/>
      <c r="Q25" s="507"/>
      <c r="R25" s="507"/>
      <c r="S25" s="507"/>
      <c r="T25" s="507"/>
      <c r="U25" s="507"/>
      <c r="V25" s="507"/>
      <c r="W25" s="507"/>
      <c r="X25" s="507"/>
      <c r="Y25" s="507"/>
      <c r="Z25" s="507"/>
      <c r="AA25" s="507"/>
      <c r="AB25" s="507"/>
    </row>
    <row r="26" ht="15.0" customHeight="1">
      <c r="A26" s="507" t="s">
        <v>386</v>
      </c>
      <c r="B26" s="510">
        <f>81.999098/100</f>
        <v>0.81999098</v>
      </c>
      <c r="C26" s="507" t="s">
        <v>535</v>
      </c>
      <c r="D26" s="507" t="s">
        <v>501</v>
      </c>
      <c r="E26" s="511">
        <v>2016.0</v>
      </c>
      <c r="F26" s="507" t="str">
        <f>IF(B26 &lt;0.85, "low", IF(B26 &lt;1, "medium", "high"))</f>
        <v>low</v>
      </c>
      <c r="G26" s="512">
        <f t="shared" si="2"/>
        <v>0.3333333333</v>
      </c>
      <c r="H26" s="513" t="s">
        <v>536</v>
      </c>
      <c r="I26" s="507"/>
      <c r="J26" s="507"/>
      <c r="K26" s="507"/>
      <c r="L26" s="507"/>
      <c r="M26" s="507"/>
      <c r="N26" s="507"/>
      <c r="O26" s="507"/>
      <c r="P26" s="507"/>
      <c r="Q26" s="507"/>
      <c r="R26" s="507"/>
      <c r="S26" s="507"/>
      <c r="T26" s="507"/>
      <c r="U26" s="507"/>
      <c r="V26" s="507"/>
      <c r="W26" s="507"/>
      <c r="X26" s="507"/>
      <c r="Y26" s="507"/>
      <c r="Z26" s="507"/>
      <c r="AA26" s="507"/>
      <c r="AB26" s="507"/>
    </row>
    <row r="27">
      <c r="A27" s="507" t="s">
        <v>280</v>
      </c>
      <c r="B27" s="510">
        <f>89.3357422/100</f>
        <v>0.893357422</v>
      </c>
      <c r="C27" s="507" t="s">
        <v>537</v>
      </c>
      <c r="D27" s="507" t="s">
        <v>538</v>
      </c>
      <c r="E27" s="511">
        <v>2019.0</v>
      </c>
      <c r="F27" s="507" t="str">
        <f>IF(B27 &lt;0.85, "low", IF(B27 &lt;=1, "medium", "high"))</f>
        <v>medium</v>
      </c>
      <c r="G27" s="512">
        <f t="shared" si="2"/>
        <v>0.6666666667</v>
      </c>
      <c r="H27" s="513" t="s">
        <v>539</v>
      </c>
      <c r="I27" s="507"/>
      <c r="J27" s="507"/>
      <c r="K27" s="507"/>
      <c r="L27" s="507"/>
      <c r="M27" s="507"/>
      <c r="N27" s="507"/>
      <c r="O27" s="507"/>
      <c r="P27" s="507"/>
      <c r="Q27" s="507"/>
      <c r="R27" s="507"/>
      <c r="S27" s="507"/>
      <c r="T27" s="507"/>
      <c r="U27" s="507"/>
      <c r="V27" s="507"/>
      <c r="W27" s="507"/>
      <c r="X27" s="507"/>
      <c r="Y27" s="507"/>
      <c r="Z27" s="507"/>
      <c r="AA27" s="507"/>
      <c r="AB27" s="507"/>
    </row>
    <row r="28">
      <c r="A28" s="507" t="s">
        <v>392</v>
      </c>
      <c r="B28" s="510">
        <f>98.3914297/100</f>
        <v>0.983914297</v>
      </c>
      <c r="C28" s="507" t="s">
        <v>540</v>
      </c>
      <c r="D28" s="507" t="s">
        <v>501</v>
      </c>
      <c r="E28" s="511">
        <v>2019.0</v>
      </c>
      <c r="F28" s="507" t="str">
        <f>IF(B28 &lt;0.85, "low", IF(B28 &lt;1, "medium", "high"))</f>
        <v>medium</v>
      </c>
      <c r="G28" s="512">
        <f t="shared" si="2"/>
        <v>0.6666666667</v>
      </c>
      <c r="H28" s="513" t="s">
        <v>541</v>
      </c>
      <c r="I28" s="507"/>
      <c r="J28" s="507"/>
      <c r="K28" s="507"/>
      <c r="L28" s="507"/>
      <c r="M28" s="507"/>
      <c r="N28" s="507"/>
      <c r="O28" s="507"/>
      <c r="P28" s="507"/>
      <c r="Q28" s="507"/>
      <c r="R28" s="507"/>
      <c r="S28" s="507"/>
      <c r="T28" s="507"/>
      <c r="U28" s="507"/>
      <c r="V28" s="507"/>
      <c r="W28" s="507"/>
      <c r="X28" s="507"/>
      <c r="Y28" s="507"/>
      <c r="Z28" s="507"/>
      <c r="AA28" s="507"/>
      <c r="AB28" s="507"/>
    </row>
    <row r="29">
      <c r="A29" s="507" t="s">
        <v>394</v>
      </c>
      <c r="B29" s="510">
        <f>96.0666493/100</f>
        <v>0.960666493</v>
      </c>
      <c r="C29" s="507" t="s">
        <v>540</v>
      </c>
      <c r="D29" s="507" t="s">
        <v>501</v>
      </c>
      <c r="E29" s="511">
        <v>2019.0</v>
      </c>
      <c r="F29" s="507" t="str">
        <f>IF(B29 &lt;0.85, "low", IF(B29 &lt;=1, "medium", "high"))</f>
        <v>medium</v>
      </c>
      <c r="G29" s="512">
        <f t="shared" si="2"/>
        <v>0.6666666667</v>
      </c>
      <c r="H29" s="513" t="s">
        <v>542</v>
      </c>
      <c r="I29" s="507"/>
      <c r="J29" s="507"/>
      <c r="K29" s="507"/>
      <c r="L29" s="507"/>
      <c r="M29" s="507"/>
      <c r="N29" s="507"/>
      <c r="O29" s="507"/>
      <c r="P29" s="507"/>
      <c r="Q29" s="507"/>
      <c r="R29" s="507"/>
      <c r="S29" s="507"/>
      <c r="T29" s="507"/>
      <c r="U29" s="507"/>
      <c r="V29" s="507"/>
      <c r="W29" s="507"/>
      <c r="X29" s="507"/>
      <c r="Y29" s="507"/>
      <c r="Z29" s="507"/>
      <c r="AA29" s="507"/>
      <c r="AB29" s="507"/>
    </row>
    <row r="30">
      <c r="A30" s="507" t="s">
        <v>396</v>
      </c>
      <c r="B30" s="472" t="s">
        <v>382</v>
      </c>
      <c r="C30" s="472" t="s">
        <v>382</v>
      </c>
      <c r="D30" s="472" t="s">
        <v>382</v>
      </c>
      <c r="E30" s="472" t="s">
        <v>382</v>
      </c>
      <c r="F30" s="472" t="s">
        <v>382</v>
      </c>
      <c r="G30" s="509" t="s">
        <v>382</v>
      </c>
      <c r="H30" s="508" t="s">
        <v>382</v>
      </c>
      <c r="I30" s="507"/>
      <c r="J30" s="507"/>
      <c r="K30" s="507"/>
      <c r="L30" s="507"/>
      <c r="M30" s="507"/>
      <c r="N30" s="507"/>
      <c r="O30" s="507"/>
      <c r="P30" s="507"/>
      <c r="Q30" s="507"/>
      <c r="R30" s="507"/>
      <c r="S30" s="507"/>
      <c r="T30" s="507"/>
      <c r="U30" s="507"/>
      <c r="V30" s="507"/>
      <c r="W30" s="507"/>
      <c r="X30" s="507"/>
      <c r="Y30" s="507"/>
      <c r="Z30" s="507"/>
      <c r="AA30" s="507"/>
      <c r="AB30" s="507"/>
    </row>
    <row r="31">
      <c r="A31" s="507" t="s">
        <v>336</v>
      </c>
      <c r="B31" s="510">
        <f>66.3049268/100</f>
        <v>0.663049268</v>
      </c>
      <c r="C31" s="507" t="s">
        <v>543</v>
      </c>
      <c r="D31" s="507" t="s">
        <v>501</v>
      </c>
      <c r="E31" s="511">
        <v>2019.0</v>
      </c>
      <c r="F31" s="507" t="str">
        <f>IF(B31 &lt;0.85, "low", IF(B31 &lt;=1, "medium", "high"))</f>
        <v>low</v>
      </c>
      <c r="G31" s="512">
        <f t="shared" ref="G31:G45" si="3">IF(B31&lt;0.85, (1/3), IF(B31&lt;1, (2/3), 1))</f>
        <v>0.3333333333</v>
      </c>
      <c r="H31" s="513" t="s">
        <v>544</v>
      </c>
      <c r="I31" s="507"/>
      <c r="J31" s="507"/>
      <c r="K31" s="507"/>
      <c r="L31" s="507"/>
      <c r="M31" s="507"/>
      <c r="N31" s="507"/>
      <c r="O31" s="507"/>
      <c r="P31" s="507"/>
      <c r="Q31" s="507"/>
      <c r="R31" s="507"/>
      <c r="S31" s="507"/>
      <c r="T31" s="507"/>
      <c r="U31" s="507"/>
      <c r="V31" s="507"/>
      <c r="W31" s="507"/>
      <c r="X31" s="507"/>
      <c r="Y31" s="507"/>
      <c r="Z31" s="507"/>
      <c r="AA31" s="507"/>
      <c r="AB31" s="507"/>
    </row>
    <row r="32">
      <c r="A32" s="507" t="s">
        <v>343</v>
      </c>
      <c r="B32" s="510">
        <f>92.4444204/100</f>
        <v>0.924444204</v>
      </c>
      <c r="C32" s="507" t="s">
        <v>545</v>
      </c>
      <c r="D32" s="507" t="s">
        <v>501</v>
      </c>
      <c r="E32" s="511">
        <v>2019.0</v>
      </c>
      <c r="F32" s="507" t="str">
        <f>IF(B32 &lt;0.85, "low", IF(B32 &lt;1, "medium", "high"))</f>
        <v>medium</v>
      </c>
      <c r="G32" s="512">
        <f t="shared" si="3"/>
        <v>0.6666666667</v>
      </c>
      <c r="H32" s="513" t="s">
        <v>546</v>
      </c>
      <c r="I32" s="507"/>
      <c r="J32" s="507"/>
      <c r="K32" s="507"/>
      <c r="L32" s="507"/>
      <c r="M32" s="507"/>
      <c r="N32" s="507"/>
      <c r="O32" s="507"/>
      <c r="P32" s="507"/>
      <c r="Q32" s="507"/>
      <c r="R32" s="507"/>
      <c r="S32" s="507"/>
      <c r="T32" s="507"/>
      <c r="U32" s="507"/>
      <c r="V32" s="507"/>
      <c r="W32" s="507"/>
      <c r="X32" s="507"/>
      <c r="Y32" s="507"/>
      <c r="Z32" s="507"/>
      <c r="AA32" s="507"/>
      <c r="AB32" s="507"/>
    </row>
    <row r="33">
      <c r="A33" s="507" t="s">
        <v>399</v>
      </c>
      <c r="B33" s="510">
        <f>83.3038212/100</f>
        <v>0.833038212</v>
      </c>
      <c r="C33" s="507" t="s">
        <v>547</v>
      </c>
      <c r="D33" s="507" t="s">
        <v>501</v>
      </c>
      <c r="E33" s="511">
        <v>2019.0</v>
      </c>
      <c r="F33" s="507" t="str">
        <f>IF(B33 &lt;0.85, "low", IF(B33 &lt;=1, "medium", "high"))</f>
        <v>low</v>
      </c>
      <c r="G33" s="512">
        <f t="shared" si="3"/>
        <v>0.3333333333</v>
      </c>
      <c r="H33" s="513" t="s">
        <v>548</v>
      </c>
      <c r="I33" s="507"/>
      <c r="J33" s="507"/>
      <c r="K33" s="507"/>
      <c r="L33" s="507"/>
      <c r="M33" s="507"/>
      <c r="N33" s="507"/>
      <c r="O33" s="507"/>
      <c r="P33" s="507"/>
      <c r="Q33" s="507"/>
      <c r="R33" s="507"/>
      <c r="S33" s="507"/>
      <c r="T33" s="507"/>
      <c r="U33" s="507"/>
      <c r="V33" s="507"/>
      <c r="W33" s="507"/>
      <c r="X33" s="507"/>
      <c r="Y33" s="507"/>
      <c r="Z33" s="507"/>
      <c r="AA33" s="507"/>
      <c r="AB33" s="507"/>
    </row>
    <row r="34">
      <c r="A34" s="507" t="s">
        <v>401</v>
      </c>
      <c r="B34" s="510">
        <f>46.4326049/100</f>
        <v>0.464326049</v>
      </c>
      <c r="C34" s="507" t="s">
        <v>549</v>
      </c>
      <c r="D34" s="507" t="s">
        <v>501</v>
      </c>
      <c r="E34" s="511">
        <v>2019.0</v>
      </c>
      <c r="F34" s="507" t="str">
        <f>IF(B34 &lt;0.85, "low", IF(B34 &lt;1, "medium", "high"))</f>
        <v>low</v>
      </c>
      <c r="G34" s="512">
        <f t="shared" si="3"/>
        <v>0.3333333333</v>
      </c>
      <c r="H34" s="513" t="s">
        <v>550</v>
      </c>
      <c r="I34" s="507"/>
      <c r="J34" s="507"/>
      <c r="K34" s="507"/>
      <c r="L34" s="507"/>
      <c r="M34" s="507"/>
      <c r="N34" s="507"/>
      <c r="O34" s="507"/>
      <c r="P34" s="507"/>
      <c r="Q34" s="507"/>
      <c r="R34" s="507"/>
      <c r="S34" s="507"/>
      <c r="T34" s="507"/>
      <c r="U34" s="507"/>
      <c r="V34" s="507"/>
      <c r="W34" s="507"/>
      <c r="X34" s="507"/>
      <c r="Y34" s="507"/>
      <c r="Z34" s="507"/>
      <c r="AA34" s="507"/>
      <c r="AB34" s="507"/>
    </row>
    <row r="35">
      <c r="A35" s="507" t="s">
        <v>354</v>
      </c>
      <c r="B35" s="510">
        <f>105.516049/100</f>
        <v>1.05516049</v>
      </c>
      <c r="C35" s="507" t="s">
        <v>551</v>
      </c>
      <c r="D35" s="507" t="s">
        <v>501</v>
      </c>
      <c r="E35" s="511">
        <v>2019.0</v>
      </c>
      <c r="F35" s="507" t="str">
        <f>IF(B35 &lt;0.85, "low", IF(B35 &lt;=1, "medium", "high"))</f>
        <v>high</v>
      </c>
      <c r="G35" s="512">
        <f t="shared" si="3"/>
        <v>1</v>
      </c>
      <c r="H35" s="513" t="s">
        <v>552</v>
      </c>
      <c r="I35" s="507"/>
      <c r="J35" s="507"/>
      <c r="K35" s="507"/>
      <c r="L35" s="507"/>
      <c r="M35" s="507"/>
      <c r="N35" s="507"/>
      <c r="O35" s="507"/>
      <c r="P35" s="507"/>
      <c r="Q35" s="507"/>
      <c r="R35" s="507"/>
      <c r="S35" s="507"/>
      <c r="T35" s="507"/>
      <c r="U35" s="507"/>
      <c r="V35" s="507"/>
      <c r="W35" s="507"/>
      <c r="X35" s="507"/>
      <c r="Y35" s="507"/>
      <c r="Z35" s="507"/>
      <c r="AA35" s="507"/>
      <c r="AB35" s="507"/>
    </row>
    <row r="36">
      <c r="A36" s="507" t="s">
        <v>290</v>
      </c>
      <c r="B36" s="510">
        <f>110.86/100</f>
        <v>1.1086</v>
      </c>
      <c r="C36" s="507" t="s">
        <v>553</v>
      </c>
      <c r="D36" s="507" t="s">
        <v>498</v>
      </c>
      <c r="E36" s="511">
        <v>2019.0</v>
      </c>
      <c r="F36" s="507" t="str">
        <f>IF(B36 &lt;0.85, "low", IF(B36 &lt;1, "medium", "high"))</f>
        <v>high</v>
      </c>
      <c r="G36" s="512">
        <f t="shared" si="3"/>
        <v>1</v>
      </c>
      <c r="H36" s="513" t="s">
        <v>554</v>
      </c>
      <c r="I36" s="507"/>
      <c r="J36" s="507"/>
      <c r="K36" s="507"/>
      <c r="L36" s="507"/>
      <c r="M36" s="507"/>
      <c r="N36" s="507"/>
      <c r="O36" s="507"/>
      <c r="P36" s="507"/>
      <c r="Q36" s="507"/>
      <c r="R36" s="507"/>
      <c r="S36" s="507"/>
      <c r="T36" s="507"/>
      <c r="U36" s="507"/>
      <c r="V36" s="507"/>
      <c r="W36" s="507"/>
      <c r="X36" s="507"/>
      <c r="Y36" s="507"/>
      <c r="Z36" s="507"/>
      <c r="AA36" s="507"/>
      <c r="AB36" s="507"/>
    </row>
    <row r="37">
      <c r="A37" s="507" t="s">
        <v>291</v>
      </c>
      <c r="B37" s="510">
        <f>106.9415794/100</f>
        <v>1.069415794</v>
      </c>
      <c r="C37" s="507" t="s">
        <v>547</v>
      </c>
      <c r="D37" s="507" t="s">
        <v>501</v>
      </c>
      <c r="E37" s="511">
        <v>2019.0</v>
      </c>
      <c r="F37" s="507" t="str">
        <f>IF(B37 &lt;0.85, "low", IF(B37 &lt;=1, "medium", "high"))</f>
        <v>high</v>
      </c>
      <c r="G37" s="512">
        <f t="shared" si="3"/>
        <v>1</v>
      </c>
      <c r="H37" s="513" t="s">
        <v>555</v>
      </c>
      <c r="I37" s="507"/>
      <c r="J37" s="507"/>
      <c r="K37" s="507"/>
      <c r="L37" s="507"/>
      <c r="M37" s="507"/>
      <c r="N37" s="507"/>
      <c r="O37" s="507"/>
      <c r="P37" s="507"/>
      <c r="Q37" s="507"/>
      <c r="R37" s="507"/>
      <c r="S37" s="507"/>
      <c r="T37" s="507"/>
      <c r="U37" s="507"/>
      <c r="V37" s="507"/>
      <c r="W37" s="507"/>
      <c r="X37" s="507"/>
      <c r="Y37" s="507"/>
      <c r="Z37" s="507"/>
      <c r="AA37" s="507"/>
      <c r="AB37" s="507"/>
    </row>
    <row r="38">
      <c r="A38" s="507" t="s">
        <v>296</v>
      </c>
      <c r="B38" s="510">
        <f>106.101749/100</f>
        <v>1.06101749</v>
      </c>
      <c r="C38" s="507" t="s">
        <v>556</v>
      </c>
      <c r="D38" s="507" t="s">
        <v>501</v>
      </c>
      <c r="E38" s="511">
        <v>2019.0</v>
      </c>
      <c r="F38" s="507" t="str">
        <f>IF(B38 &lt;0.85, "low", IF(B38 &lt;1, "medium", "high"))</f>
        <v>high</v>
      </c>
      <c r="G38" s="512">
        <f t="shared" si="3"/>
        <v>1</v>
      </c>
      <c r="H38" s="513" t="s">
        <v>557</v>
      </c>
      <c r="I38" s="507"/>
      <c r="J38" s="507"/>
      <c r="K38" s="507"/>
      <c r="L38" s="507"/>
      <c r="M38" s="507"/>
      <c r="N38" s="507"/>
      <c r="O38" s="507"/>
      <c r="P38" s="507"/>
      <c r="Q38" s="507"/>
      <c r="R38" s="507"/>
      <c r="S38" s="507"/>
      <c r="T38" s="507"/>
      <c r="U38" s="507"/>
      <c r="V38" s="507"/>
      <c r="W38" s="507"/>
      <c r="X38" s="507"/>
      <c r="Y38" s="507"/>
      <c r="Z38" s="507"/>
      <c r="AA38" s="507"/>
      <c r="AB38" s="507"/>
    </row>
    <row r="39" ht="15.0" customHeight="1">
      <c r="A39" s="507" t="s">
        <v>407</v>
      </c>
      <c r="B39" s="510">
        <f>102.0963214/100</f>
        <v>1.020963214</v>
      </c>
      <c r="C39" s="507" t="s">
        <v>558</v>
      </c>
      <c r="D39" s="507" t="s">
        <v>501</v>
      </c>
      <c r="E39" s="511">
        <v>2019.0</v>
      </c>
      <c r="F39" s="507" t="str">
        <f>IF(B39 &lt;0.85, "low", IF(B39 &lt;=1, "medium", "high"))</f>
        <v>high</v>
      </c>
      <c r="G39" s="512">
        <f t="shared" si="3"/>
        <v>1</v>
      </c>
      <c r="H39" s="513" t="s">
        <v>559</v>
      </c>
      <c r="I39" s="507"/>
      <c r="J39" s="507"/>
      <c r="K39" s="507"/>
      <c r="L39" s="507"/>
      <c r="M39" s="507"/>
      <c r="N39" s="507"/>
      <c r="O39" s="507"/>
      <c r="P39" s="507"/>
      <c r="Q39" s="507"/>
      <c r="R39" s="507"/>
      <c r="S39" s="507"/>
      <c r="T39" s="507"/>
      <c r="U39" s="507"/>
      <c r="V39" s="507"/>
      <c r="W39" s="507"/>
      <c r="X39" s="507"/>
      <c r="Y39" s="507"/>
      <c r="Z39" s="507"/>
      <c r="AA39" s="507"/>
      <c r="AB39" s="507"/>
    </row>
    <row r="40" ht="18.0" customHeight="1">
      <c r="A40" s="507" t="s">
        <v>299</v>
      </c>
      <c r="B40" s="510">
        <v>0.9611</v>
      </c>
      <c r="C40" s="507" t="s">
        <v>560</v>
      </c>
      <c r="D40" s="507" t="s">
        <v>498</v>
      </c>
      <c r="E40" s="511">
        <v>2019.0</v>
      </c>
      <c r="F40" s="507" t="str">
        <f t="shared" ref="F40:F45" si="4">IF(B40 &lt;0.85, "poor", IF(B40 &lt;=1, "fair", "good"))</f>
        <v>fair</v>
      </c>
      <c r="G40" s="512">
        <f t="shared" si="3"/>
        <v>0.6666666667</v>
      </c>
      <c r="H40" s="515" t="s">
        <v>561</v>
      </c>
      <c r="I40" s="507"/>
      <c r="J40" s="507"/>
      <c r="K40" s="507"/>
      <c r="L40" s="507"/>
      <c r="M40" s="507"/>
      <c r="N40" s="507"/>
      <c r="O40" s="507"/>
      <c r="P40" s="507"/>
      <c r="Q40" s="507"/>
      <c r="R40" s="507"/>
      <c r="S40" s="507"/>
      <c r="T40" s="507"/>
      <c r="U40" s="507"/>
      <c r="V40" s="507"/>
      <c r="W40" s="507"/>
      <c r="X40" s="507"/>
      <c r="Y40" s="507"/>
      <c r="Z40" s="507"/>
      <c r="AA40" s="507"/>
      <c r="AB40" s="507"/>
    </row>
    <row r="41">
      <c r="A41" s="507" t="s">
        <v>302</v>
      </c>
      <c r="B41" s="510">
        <f>89.1224733/100</f>
        <v>0.891224733</v>
      </c>
      <c r="C41" s="507" t="s">
        <v>562</v>
      </c>
      <c r="D41" s="507" t="s">
        <v>501</v>
      </c>
      <c r="E41" s="511">
        <v>2019.0</v>
      </c>
      <c r="F41" s="507" t="str">
        <f t="shared" si="4"/>
        <v>fair</v>
      </c>
      <c r="G41" s="512">
        <f t="shared" si="3"/>
        <v>0.6666666667</v>
      </c>
      <c r="H41" s="513" t="s">
        <v>563</v>
      </c>
      <c r="I41" s="507"/>
      <c r="J41" s="507"/>
      <c r="K41" s="507"/>
      <c r="L41" s="507"/>
      <c r="M41" s="507"/>
      <c r="N41" s="507"/>
      <c r="O41" s="507"/>
      <c r="P41" s="507"/>
      <c r="Q41" s="507"/>
      <c r="R41" s="507"/>
      <c r="S41" s="507"/>
      <c r="T41" s="507"/>
      <c r="U41" s="507"/>
      <c r="V41" s="507"/>
      <c r="W41" s="507"/>
      <c r="X41" s="507"/>
      <c r="Y41" s="507"/>
      <c r="Z41" s="507"/>
      <c r="AA41" s="507"/>
      <c r="AB41" s="507"/>
    </row>
    <row r="42">
      <c r="A42" s="507" t="s">
        <v>410</v>
      </c>
      <c r="B42" s="510">
        <f>51.2028141/100</f>
        <v>0.512028141</v>
      </c>
      <c r="C42" s="507" t="s">
        <v>564</v>
      </c>
      <c r="D42" s="507" t="s">
        <v>501</v>
      </c>
      <c r="E42" s="511">
        <v>2019.0</v>
      </c>
      <c r="F42" s="507" t="str">
        <f t="shared" si="4"/>
        <v>poor</v>
      </c>
      <c r="G42" s="512">
        <f t="shared" si="3"/>
        <v>0.3333333333</v>
      </c>
      <c r="H42" s="513" t="s">
        <v>565</v>
      </c>
      <c r="I42" s="507"/>
      <c r="J42" s="507"/>
      <c r="K42" s="507"/>
      <c r="L42" s="507"/>
      <c r="M42" s="507"/>
      <c r="N42" s="507"/>
      <c r="O42" s="507"/>
      <c r="P42" s="507"/>
      <c r="Q42" s="507"/>
      <c r="R42" s="507"/>
      <c r="S42" s="507"/>
      <c r="T42" s="507"/>
      <c r="U42" s="507"/>
      <c r="V42" s="507"/>
      <c r="W42" s="507"/>
      <c r="X42" s="507"/>
      <c r="Y42" s="507"/>
      <c r="Z42" s="507"/>
      <c r="AA42" s="507"/>
      <c r="AB42" s="507"/>
    </row>
    <row r="43">
      <c r="A43" s="507" t="s">
        <v>411</v>
      </c>
      <c r="B43" s="510">
        <f>83.3238998/100</f>
        <v>0.833238998</v>
      </c>
      <c r="C43" s="507" t="s">
        <v>566</v>
      </c>
      <c r="D43" s="507" t="s">
        <v>501</v>
      </c>
      <c r="E43" s="511">
        <v>2019.0</v>
      </c>
      <c r="F43" s="507" t="str">
        <f t="shared" si="4"/>
        <v>poor</v>
      </c>
      <c r="G43" s="512">
        <f t="shared" si="3"/>
        <v>0.3333333333</v>
      </c>
      <c r="H43" s="513" t="s">
        <v>567</v>
      </c>
      <c r="I43" s="507"/>
      <c r="J43" s="507"/>
      <c r="K43" s="507"/>
      <c r="L43" s="507"/>
      <c r="M43" s="507"/>
      <c r="N43" s="507"/>
      <c r="O43" s="507"/>
      <c r="P43" s="507"/>
      <c r="Q43" s="507"/>
      <c r="R43" s="507"/>
      <c r="S43" s="507"/>
      <c r="T43" s="507"/>
      <c r="U43" s="507"/>
      <c r="V43" s="507"/>
      <c r="W43" s="507"/>
      <c r="X43" s="507"/>
      <c r="Y43" s="507"/>
      <c r="Z43" s="507"/>
      <c r="AA43" s="507"/>
      <c r="AB43" s="507"/>
    </row>
    <row r="44">
      <c r="A44" s="507" t="s">
        <v>309</v>
      </c>
      <c r="B44" s="510">
        <f>107.602501/100</f>
        <v>1.07602501</v>
      </c>
      <c r="C44" s="507" t="s">
        <v>570</v>
      </c>
      <c r="D44" s="507" t="s">
        <v>501</v>
      </c>
      <c r="E44" s="511">
        <v>2019.0</v>
      </c>
      <c r="F44" s="507" t="str">
        <f t="shared" si="4"/>
        <v>good</v>
      </c>
      <c r="G44" s="512">
        <f t="shared" si="3"/>
        <v>1</v>
      </c>
      <c r="H44" s="513" t="s">
        <v>572</v>
      </c>
      <c r="I44" s="507"/>
      <c r="J44" s="507"/>
      <c r="K44" s="507"/>
      <c r="L44" s="507"/>
      <c r="M44" s="507"/>
      <c r="N44" s="507"/>
      <c r="O44" s="507"/>
      <c r="P44" s="507"/>
      <c r="Q44" s="507"/>
      <c r="R44" s="507"/>
      <c r="S44" s="507"/>
      <c r="T44" s="507"/>
      <c r="U44" s="507"/>
      <c r="V44" s="507"/>
      <c r="W44" s="507"/>
      <c r="X44" s="507"/>
      <c r="Y44" s="507"/>
      <c r="Z44" s="507"/>
      <c r="AA44" s="507"/>
      <c r="AB44" s="507"/>
    </row>
    <row r="45">
      <c r="A45" s="507" t="s">
        <v>412</v>
      </c>
      <c r="B45" s="510">
        <f>71.3136506/100</f>
        <v>0.713136506</v>
      </c>
      <c r="C45" s="507" t="s">
        <v>576</v>
      </c>
      <c r="D45" s="507" t="s">
        <v>501</v>
      </c>
      <c r="E45" s="511">
        <v>2019.0</v>
      </c>
      <c r="F45" s="507" t="str">
        <f t="shared" si="4"/>
        <v>poor</v>
      </c>
      <c r="G45" s="512">
        <f t="shared" si="3"/>
        <v>0.3333333333</v>
      </c>
      <c r="H45" s="513" t="s">
        <v>577</v>
      </c>
      <c r="I45" s="507"/>
      <c r="J45" s="507"/>
      <c r="K45" s="507"/>
      <c r="L45" s="507"/>
      <c r="M45" s="507"/>
      <c r="N45" s="507"/>
      <c r="O45" s="507"/>
      <c r="P45" s="507"/>
      <c r="Q45" s="507"/>
      <c r="R45" s="507"/>
      <c r="S45" s="507"/>
      <c r="T45" s="507"/>
      <c r="U45" s="507"/>
      <c r="V45" s="507"/>
      <c r="W45" s="507"/>
      <c r="X45" s="507"/>
      <c r="Y45" s="507"/>
      <c r="Z45" s="507"/>
      <c r="AA45" s="507"/>
      <c r="AB45" s="507"/>
    </row>
    <row r="46">
      <c r="A46" s="507" t="s">
        <v>415</v>
      </c>
      <c r="B46" s="472" t="s">
        <v>382</v>
      </c>
      <c r="C46" s="472" t="s">
        <v>382</v>
      </c>
      <c r="D46" s="472" t="s">
        <v>382</v>
      </c>
      <c r="E46" s="472" t="s">
        <v>382</v>
      </c>
      <c r="F46" s="508" t="s">
        <v>382</v>
      </c>
      <c r="G46" s="509" t="s">
        <v>382</v>
      </c>
      <c r="H46" s="508" t="s">
        <v>382</v>
      </c>
      <c r="I46" s="507"/>
      <c r="J46" s="507"/>
      <c r="K46" s="507"/>
      <c r="L46" s="507"/>
      <c r="M46" s="507"/>
      <c r="N46" s="507"/>
      <c r="O46" s="507"/>
      <c r="P46" s="507"/>
      <c r="Q46" s="507"/>
      <c r="R46" s="507"/>
      <c r="S46" s="507"/>
      <c r="T46" s="507"/>
      <c r="U46" s="507"/>
      <c r="V46" s="507"/>
      <c r="W46" s="507"/>
      <c r="X46" s="507"/>
      <c r="Y46" s="507"/>
      <c r="Z46" s="507"/>
      <c r="AA46" s="507"/>
      <c r="AB46" s="507"/>
    </row>
    <row r="47">
      <c r="A47" s="507" t="s">
        <v>313</v>
      </c>
      <c r="B47" s="510">
        <f>86.0239951/100</f>
        <v>0.860239951</v>
      </c>
      <c r="C47" s="507" t="s">
        <v>578</v>
      </c>
      <c r="D47" s="507" t="s">
        <v>501</v>
      </c>
      <c r="E47" s="511">
        <v>2019.0</v>
      </c>
      <c r="F47" s="507" t="str">
        <f>IF(B47 &lt;0.85, "poor", IF(B47 &lt;=1, "fair", "good"))</f>
        <v>fair</v>
      </c>
      <c r="G47" s="512">
        <f>IF(B47&lt;0.85, (1/3), IF(B47&lt;1, (2/3), 1))</f>
        <v>0.6666666667</v>
      </c>
      <c r="H47" s="513" t="s">
        <v>579</v>
      </c>
      <c r="I47" s="507"/>
      <c r="J47" s="507"/>
      <c r="K47" s="507"/>
      <c r="L47" s="507"/>
      <c r="M47" s="507"/>
      <c r="N47" s="507"/>
      <c r="O47" s="507"/>
      <c r="P47" s="507"/>
      <c r="Q47" s="507"/>
      <c r="R47" s="507"/>
      <c r="S47" s="507"/>
      <c r="T47" s="507"/>
      <c r="U47" s="507"/>
      <c r="V47" s="507"/>
      <c r="W47" s="507"/>
      <c r="X47" s="507"/>
      <c r="Y47" s="507"/>
      <c r="Z47" s="507"/>
      <c r="AA47" s="507"/>
      <c r="AB47" s="507"/>
    </row>
    <row r="48">
      <c r="A48" s="507" t="s">
        <v>416</v>
      </c>
      <c r="B48" s="472" t="s">
        <v>382</v>
      </c>
      <c r="C48" s="472" t="s">
        <v>382</v>
      </c>
      <c r="D48" s="472" t="s">
        <v>382</v>
      </c>
      <c r="E48" s="472" t="s">
        <v>382</v>
      </c>
      <c r="F48" s="508" t="s">
        <v>382</v>
      </c>
      <c r="G48" s="509" t="s">
        <v>382</v>
      </c>
      <c r="H48" s="508" t="s">
        <v>382</v>
      </c>
      <c r="I48" s="507"/>
      <c r="J48" s="507"/>
      <c r="K48" s="507"/>
      <c r="L48" s="507"/>
      <c r="M48" s="507"/>
      <c r="N48" s="507"/>
      <c r="O48" s="507"/>
      <c r="P48" s="507"/>
      <c r="Q48" s="507"/>
      <c r="R48" s="507"/>
      <c r="S48" s="507"/>
      <c r="T48" s="507"/>
      <c r="U48" s="507"/>
      <c r="V48" s="507"/>
      <c r="W48" s="507"/>
      <c r="X48" s="507"/>
      <c r="Y48" s="507"/>
      <c r="Z48" s="507"/>
      <c r="AA48" s="507"/>
      <c r="AB48" s="507"/>
    </row>
    <row r="49">
      <c r="A49" s="507" t="s">
        <v>417</v>
      </c>
      <c r="B49" s="510">
        <f>69.9607103/100</f>
        <v>0.699607103</v>
      </c>
      <c r="C49" s="507" t="s">
        <v>580</v>
      </c>
      <c r="D49" s="507" t="s">
        <v>498</v>
      </c>
      <c r="E49" s="511">
        <v>2019.0</v>
      </c>
      <c r="F49" s="507" t="str">
        <f t="shared" ref="F49:F55" si="5">IF(B49 &lt;0.85, "poor", IF(B49 &lt;=1, "fair", "good"))</f>
        <v>poor</v>
      </c>
      <c r="G49" s="512">
        <f t="shared" ref="G49:G55" si="6">IF(B49&lt;0.85, (1/3), IF(B49&lt;1, (2/3), 1))</f>
        <v>0.3333333333</v>
      </c>
      <c r="H49" s="513" t="s">
        <v>582</v>
      </c>
      <c r="I49" s="507"/>
      <c r="J49" s="507"/>
      <c r="K49" s="507"/>
      <c r="L49" s="507"/>
      <c r="M49" s="507"/>
      <c r="N49" s="507"/>
      <c r="O49" s="507"/>
      <c r="P49" s="507"/>
      <c r="Q49" s="507"/>
      <c r="R49" s="507"/>
      <c r="S49" s="507"/>
      <c r="T49" s="507"/>
      <c r="U49" s="507"/>
      <c r="V49" s="507"/>
      <c r="W49" s="507"/>
      <c r="X49" s="507"/>
      <c r="Y49" s="507"/>
      <c r="Z49" s="507"/>
      <c r="AA49" s="507"/>
      <c r="AB49" s="507"/>
    </row>
    <row r="50">
      <c r="A50" s="507" t="s">
        <v>418</v>
      </c>
      <c r="B50" s="510">
        <f>108.5930145/100</f>
        <v>1.085930145</v>
      </c>
      <c r="C50" s="507" t="s">
        <v>583</v>
      </c>
      <c r="D50" s="507" t="s">
        <v>501</v>
      </c>
      <c r="E50" s="511">
        <v>2019.0</v>
      </c>
      <c r="F50" s="507" t="str">
        <f t="shared" si="5"/>
        <v>good</v>
      </c>
      <c r="G50" s="512">
        <f t="shared" si="6"/>
        <v>1</v>
      </c>
      <c r="H50" s="513" t="s">
        <v>584</v>
      </c>
      <c r="I50" s="507"/>
      <c r="J50" s="507"/>
      <c r="K50" s="507"/>
      <c r="L50" s="507"/>
      <c r="M50" s="507"/>
      <c r="N50" s="507"/>
      <c r="O50" s="507"/>
      <c r="P50" s="507"/>
      <c r="Q50" s="507"/>
      <c r="R50" s="507"/>
      <c r="S50" s="507"/>
      <c r="T50" s="507"/>
      <c r="U50" s="507"/>
      <c r="V50" s="507"/>
      <c r="W50" s="507"/>
      <c r="X50" s="507"/>
      <c r="Y50" s="507"/>
      <c r="Z50" s="507"/>
      <c r="AA50" s="507"/>
      <c r="AB50" s="507"/>
    </row>
    <row r="51">
      <c r="A51" s="507" t="s">
        <v>398</v>
      </c>
      <c r="B51" s="510">
        <f>92.3892723/100</f>
        <v>0.923892723</v>
      </c>
      <c r="C51" s="507" t="s">
        <v>585</v>
      </c>
      <c r="D51" s="507" t="s">
        <v>501</v>
      </c>
      <c r="E51" s="511">
        <v>2019.0</v>
      </c>
      <c r="F51" s="507" t="str">
        <f t="shared" si="5"/>
        <v>fair</v>
      </c>
      <c r="G51" s="512">
        <f t="shared" si="6"/>
        <v>0.6666666667</v>
      </c>
      <c r="H51" s="513" t="s">
        <v>586</v>
      </c>
      <c r="I51" s="507"/>
      <c r="J51" s="507"/>
      <c r="K51" s="507"/>
      <c r="L51" s="507"/>
      <c r="M51" s="507"/>
      <c r="N51" s="507"/>
      <c r="O51" s="507"/>
      <c r="P51" s="507"/>
      <c r="Q51" s="507"/>
      <c r="R51" s="507"/>
      <c r="S51" s="507"/>
      <c r="T51" s="507"/>
      <c r="U51" s="507"/>
      <c r="V51" s="507"/>
      <c r="W51" s="507"/>
      <c r="X51" s="507"/>
      <c r="Y51" s="507"/>
      <c r="Z51" s="507"/>
      <c r="AA51" s="507"/>
      <c r="AB51" s="507"/>
    </row>
    <row r="52">
      <c r="A52" s="507" t="s">
        <v>318</v>
      </c>
      <c r="B52" s="510">
        <f>71.7/100</f>
        <v>0.717</v>
      </c>
      <c r="C52" s="507" t="s">
        <v>587</v>
      </c>
      <c r="D52" s="507" t="s">
        <v>501</v>
      </c>
      <c r="E52" s="511">
        <v>2019.0</v>
      </c>
      <c r="F52" s="507" t="str">
        <f t="shared" si="5"/>
        <v>poor</v>
      </c>
      <c r="G52" s="512">
        <f t="shared" si="6"/>
        <v>0.3333333333</v>
      </c>
      <c r="H52" s="513" t="s">
        <v>588</v>
      </c>
      <c r="I52" s="507"/>
      <c r="J52" s="507"/>
      <c r="K52" s="507"/>
      <c r="L52" s="507"/>
      <c r="M52" s="507"/>
      <c r="N52" s="507"/>
      <c r="O52" s="507"/>
      <c r="P52" s="507"/>
      <c r="Q52" s="507"/>
      <c r="R52" s="507"/>
      <c r="S52" s="507"/>
      <c r="T52" s="507"/>
      <c r="U52" s="507"/>
      <c r="V52" s="507"/>
      <c r="W52" s="507"/>
      <c r="X52" s="507"/>
      <c r="Y52" s="507"/>
      <c r="Z52" s="507"/>
      <c r="AA52" s="507"/>
      <c r="AB52" s="507"/>
    </row>
    <row r="53">
      <c r="A53" s="507" t="s">
        <v>405</v>
      </c>
      <c r="B53" s="510">
        <f>101.8420241/100</f>
        <v>1.018420241</v>
      </c>
      <c r="C53" s="507" t="s">
        <v>589</v>
      </c>
      <c r="D53" s="507" t="s">
        <v>498</v>
      </c>
      <c r="E53" s="511">
        <v>2019.0</v>
      </c>
      <c r="F53" s="507" t="str">
        <f t="shared" si="5"/>
        <v>good</v>
      </c>
      <c r="G53" s="512">
        <f t="shared" si="6"/>
        <v>1</v>
      </c>
      <c r="H53" s="513" t="s">
        <v>590</v>
      </c>
      <c r="I53" s="507"/>
      <c r="J53" s="507"/>
      <c r="K53" s="507"/>
      <c r="L53" s="507"/>
      <c r="M53" s="507"/>
      <c r="N53" s="507"/>
      <c r="O53" s="507"/>
      <c r="P53" s="507"/>
      <c r="Q53" s="507"/>
      <c r="R53" s="507"/>
      <c r="S53" s="507"/>
      <c r="T53" s="507"/>
      <c r="U53" s="507"/>
      <c r="V53" s="507"/>
      <c r="W53" s="507"/>
      <c r="X53" s="507"/>
      <c r="Y53" s="507"/>
      <c r="Z53" s="507"/>
      <c r="AA53" s="507"/>
      <c r="AB53" s="507"/>
    </row>
    <row r="54">
      <c r="A54" s="507" t="s">
        <v>408</v>
      </c>
      <c r="B54" s="510">
        <f>53.7115117/100</f>
        <v>0.537115117</v>
      </c>
      <c r="C54" s="507" t="s">
        <v>591</v>
      </c>
      <c r="D54" s="507" t="s">
        <v>501</v>
      </c>
      <c r="E54" s="511">
        <v>2019.0</v>
      </c>
      <c r="F54" s="507" t="str">
        <f t="shared" si="5"/>
        <v>poor</v>
      </c>
      <c r="G54" s="512">
        <f t="shared" si="6"/>
        <v>0.3333333333</v>
      </c>
      <c r="H54" s="513" t="s">
        <v>592</v>
      </c>
      <c r="I54" s="507"/>
      <c r="J54" s="507"/>
      <c r="K54" s="507"/>
      <c r="L54" s="507"/>
      <c r="M54" s="507"/>
      <c r="N54" s="507"/>
      <c r="O54" s="507"/>
      <c r="P54" s="507"/>
      <c r="Q54" s="507"/>
      <c r="R54" s="507"/>
      <c r="S54" s="507"/>
      <c r="T54" s="507"/>
      <c r="U54" s="507"/>
      <c r="V54" s="507"/>
      <c r="W54" s="507"/>
      <c r="X54" s="507"/>
      <c r="Y54" s="507"/>
      <c r="Z54" s="507"/>
      <c r="AA54" s="507"/>
      <c r="AB54" s="507"/>
    </row>
    <row r="55">
      <c r="A55" s="521" t="s">
        <v>320</v>
      </c>
      <c r="B55" s="522">
        <f>61.835259/100</f>
        <v>0.61835259</v>
      </c>
      <c r="C55" s="521" t="s">
        <v>593</v>
      </c>
      <c r="D55" s="521" t="s">
        <v>538</v>
      </c>
      <c r="E55" s="523">
        <v>2019.0</v>
      </c>
      <c r="F55" s="521" t="str">
        <f t="shared" si="5"/>
        <v>poor</v>
      </c>
      <c r="G55" s="524">
        <f t="shared" si="6"/>
        <v>0.3333333333</v>
      </c>
      <c r="H55" s="513" t="s">
        <v>594</v>
      </c>
      <c r="I55" s="507"/>
      <c r="J55" s="507"/>
      <c r="K55" s="507"/>
      <c r="L55" s="507"/>
      <c r="M55" s="507"/>
      <c r="N55" s="507"/>
      <c r="O55" s="507"/>
      <c r="P55" s="507"/>
      <c r="Q55" s="507"/>
      <c r="R55" s="507"/>
      <c r="S55" s="507"/>
      <c r="T55" s="507"/>
      <c r="U55" s="507"/>
      <c r="V55" s="507"/>
      <c r="W55" s="507"/>
      <c r="X55" s="507"/>
      <c r="Y55" s="507"/>
      <c r="Z55" s="507"/>
      <c r="AA55" s="507"/>
      <c r="AB55" s="507"/>
    </row>
    <row r="57">
      <c r="C57" s="357" t="s">
        <v>595</v>
      </c>
      <c r="D57" s="62"/>
      <c r="E57" s="418" t="s">
        <v>421</v>
      </c>
    </row>
    <row r="58">
      <c r="C58" s="360" t="s">
        <v>422</v>
      </c>
      <c r="D58" s="366">
        <f>max(B2:B55)</f>
        <v>1.135604838</v>
      </c>
      <c r="E58" s="525" t="s">
        <v>333</v>
      </c>
    </row>
    <row r="59">
      <c r="C59" s="360" t="s">
        <v>423</v>
      </c>
      <c r="D59" s="366">
        <f>min(B2:B55)</f>
        <v>0.442461284</v>
      </c>
      <c r="E59" s="526" t="s">
        <v>340</v>
      </c>
    </row>
    <row r="60">
      <c r="C60" s="360" t="s">
        <v>424</v>
      </c>
      <c r="D60" s="527">
        <f>AVERAGE(B2:B55)</f>
        <v>0.8661392567</v>
      </c>
    </row>
    <row r="61">
      <c r="C61" s="360" t="s">
        <v>425</v>
      </c>
      <c r="D61" s="366">
        <f>median(B2:B55)</f>
        <v>0.906808412</v>
      </c>
    </row>
    <row r="62">
      <c r="C62" s="367" t="s">
        <v>446</v>
      </c>
      <c r="D62" s="451">
        <f>STDEV(B2:B55)</f>
        <v>0.1854556062</v>
      </c>
    </row>
    <row r="64">
      <c r="C64" s="181" t="s">
        <v>325</v>
      </c>
    </row>
    <row r="65">
      <c r="C65" s="437" t="str">
        <f t="array" ref="C65:C82">{"INDICATOR INFORMATION";
  "Index Category: "&amp;CHAR(10)&amp;
  "EV Readiness Index - Measures country preparedness to adopt EVs at large scale";
  "";
  "Sub-Category: "&amp;CHAR(10)&amp;
  "Power Sector Maturity";
  "";
  "Indicator Name: "&amp;CHAR(10)&amp;
  "Utility Cost Recovery";
  "";
  "Description: "&amp;CHAR(10)&amp;
  "Measures operating and debt service cost recovery (including subsidies) for largest national utility";
  "";
  "Scoring Categories: "&amp;CHAR(10)&amp;
  "• Low (&lt;85%) = Low Readiness (1/3)"&amp;CHAR(10)&amp;
  "• Medium (85-100%) = Medium Readiness (2/3)"&amp;CHAR(10)&amp;
  "• High (&gt;100%) = High Readiness (3/3)";
  "";
  "Summary Statistics: "&amp;CHAR(10)&amp;
  "• Maximum: 113.56% (Burundi)"&amp;CHAR(10)&amp;
  "• Minimum: 44.25% (Central African Republic)"&amp;CHAR(10)&amp;
  "• Average: 87%"&amp;CHAR(10)&amp;
  "• Median: 90.68%"&amp;CHAR(10)&amp;
  "• Standard Deviation: 0.19";
  "";
  "Methodology Note: "&amp;CHAR(10)&amp;
  "• 100% = Breaking even"&amp;CHAR(10)&amp;
  "• &gt;100% = Operating surplus"&amp;CHAR(10)&amp;
  "• &lt;100% = Operating loss"&amp;CHAR(10)&amp;
  "• Data includes VIU, Distribution, or Transmission and Distribution utilities";
  "";
  "Rationale: "&amp;CHAR(10)&amp;
  "• Aligned with World Bank UPBEAT report findings"&amp;CHAR(10)&amp;
  "• Reflects conventional cost recovery bounds"&amp;CHAR(10)&amp;
  "• Incorporates profitable breaking point into index";
  "";
  "Data Source: "&amp;CHAR(10)&amp;
  "• World Bank Utility Performance and Behavior Transformation (UPBEAT) Database"}</f>
        <v>INDICATOR INFORMATION</v>
      </c>
      <c r="D65" s="438"/>
      <c r="E65" s="529"/>
      <c r="F65" s="530"/>
    </row>
    <row r="66">
      <c r="C66" s="275" t="s">
        <v>339</v>
      </c>
      <c r="F66" s="373"/>
    </row>
    <row r="67">
      <c r="C67" s="275" t="s">
        <v>126</v>
      </c>
      <c r="F67" s="373"/>
    </row>
    <row r="68">
      <c r="C68" s="275" t="s">
        <v>475</v>
      </c>
      <c r="F68" s="373"/>
    </row>
    <row r="69">
      <c r="C69" s="275" t="s">
        <v>126</v>
      </c>
      <c r="F69" s="373"/>
    </row>
    <row r="70">
      <c r="C70" s="275" t="s">
        <v>596</v>
      </c>
      <c r="F70" s="373"/>
    </row>
    <row r="71">
      <c r="C71" s="275" t="s">
        <v>126</v>
      </c>
      <c r="F71" s="373"/>
    </row>
    <row r="72">
      <c r="C72" s="275" t="s">
        <v>597</v>
      </c>
      <c r="F72" s="373"/>
    </row>
    <row r="73">
      <c r="C73" s="275" t="s">
        <v>126</v>
      </c>
      <c r="F73" s="373"/>
    </row>
    <row r="74">
      <c r="C74" s="275" t="s">
        <v>598</v>
      </c>
      <c r="F74" s="373"/>
    </row>
    <row r="75">
      <c r="C75" s="275" t="s">
        <v>126</v>
      </c>
      <c r="F75" s="373"/>
    </row>
    <row r="76">
      <c r="C76" s="275" t="s">
        <v>599</v>
      </c>
      <c r="F76" s="373"/>
    </row>
    <row r="77">
      <c r="C77" s="275" t="s">
        <v>126</v>
      </c>
      <c r="F77" s="373"/>
    </row>
    <row r="78">
      <c r="C78" s="275" t="s">
        <v>600</v>
      </c>
      <c r="F78" s="373"/>
    </row>
    <row r="79">
      <c r="C79" s="275" t="s">
        <v>126</v>
      </c>
      <c r="F79" s="373"/>
    </row>
    <row r="80">
      <c r="C80" s="275" t="s">
        <v>601</v>
      </c>
      <c r="F80" s="373"/>
    </row>
    <row r="81">
      <c r="C81" s="275" t="s">
        <v>126</v>
      </c>
      <c r="F81" s="373"/>
    </row>
    <row r="82">
      <c r="C82" s="275" t="s">
        <v>602</v>
      </c>
      <c r="F82" s="373"/>
    </row>
    <row r="83">
      <c r="C83" s="282"/>
      <c r="D83" s="283"/>
      <c r="E83" s="283"/>
      <c r="F83" s="374"/>
    </row>
  </sheetData>
  <autoFilter ref="$A$1:$AB$56">
    <sortState ref="A1:AB56">
      <sortCondition ref="A1:A56"/>
    </sortState>
  </autoFilter>
  <mergeCells count="2">
    <mergeCell ref="C57:D57"/>
    <mergeCell ref="C64:F64"/>
  </mergeCell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4"/>
    <hyperlink r:id="rId12" ref="H16"/>
    <hyperlink r:id="rId13" ref="H20"/>
    <hyperlink r:id="rId14" ref="H21"/>
    <hyperlink r:id="rId15" ref="H22"/>
    <hyperlink r:id="rId16" ref="H23"/>
    <hyperlink r:id="rId17" ref="H24"/>
    <hyperlink r:id="rId18" ref="H25"/>
    <hyperlink r:id="rId19" ref="H26"/>
    <hyperlink r:id="rId20" ref="H27"/>
    <hyperlink r:id="rId21" ref="H28"/>
    <hyperlink r:id="rId22" ref="H29"/>
    <hyperlink r:id="rId23" ref="H31"/>
    <hyperlink r:id="rId24" ref="H32"/>
    <hyperlink r:id="rId25" ref="H33"/>
    <hyperlink r:id="rId26" ref="H34"/>
    <hyperlink r:id="rId27" ref="H35"/>
    <hyperlink r:id="rId28" ref="H36"/>
    <hyperlink r:id="rId29" ref="H37"/>
    <hyperlink r:id="rId30" ref="H38"/>
    <hyperlink r:id="rId31" ref="H39"/>
    <hyperlink r:id="rId32" ref="H41"/>
    <hyperlink r:id="rId33" ref="H42"/>
    <hyperlink r:id="rId34" ref="H43"/>
    <hyperlink r:id="rId35" ref="H44"/>
    <hyperlink r:id="rId36" ref="H45"/>
    <hyperlink r:id="rId37" ref="H47"/>
    <hyperlink r:id="rId38" ref="H49"/>
    <hyperlink r:id="rId39" ref="H50"/>
    <hyperlink r:id="rId40" ref="H51"/>
    <hyperlink r:id="rId41" ref="H52"/>
    <hyperlink r:id="rId42" ref="H53"/>
    <hyperlink r:id="rId43" ref="H54"/>
    <hyperlink r:id="rId44" ref="H55"/>
    <hyperlink r:id="rId45" location="slide=id.g2edd551b383_0_825" ref="C64"/>
  </hyperlinks>
  <drawing r:id="rId4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0"/>
    <col customWidth="1" min="2" max="2" width="37.38"/>
    <col customWidth="1" min="3" max="3" width="29.13"/>
    <col customWidth="1" min="4" max="4" width="13.63"/>
    <col customWidth="1" min="5" max="5" width="28.38"/>
    <col customWidth="1" min="6" max="6" width="36.0"/>
    <col customWidth="1" min="7" max="7" width="47.38"/>
    <col customWidth="1" min="8" max="8" width="9.13"/>
    <col customWidth="1" min="9" max="9" width="176.38"/>
  </cols>
  <sheetData>
    <row r="1">
      <c r="A1" s="428" t="s">
        <v>161</v>
      </c>
      <c r="B1" s="516" t="s">
        <v>568</v>
      </c>
      <c r="C1" s="517" t="s">
        <v>569</v>
      </c>
      <c r="D1" s="516" t="s">
        <v>571</v>
      </c>
      <c r="E1" s="516" t="s">
        <v>573</v>
      </c>
      <c r="F1" s="518" t="s">
        <v>574</v>
      </c>
      <c r="G1" s="430" t="s">
        <v>575</v>
      </c>
      <c r="H1" s="431" t="s">
        <v>307</v>
      </c>
      <c r="I1" s="430" t="s">
        <v>377</v>
      </c>
      <c r="J1" s="163"/>
      <c r="K1" s="163"/>
      <c r="L1" s="163"/>
      <c r="M1" s="163"/>
      <c r="N1" s="163"/>
      <c r="O1" s="163"/>
      <c r="P1" s="163"/>
      <c r="Q1" s="163"/>
      <c r="R1" s="163"/>
      <c r="S1" s="163"/>
      <c r="T1" s="163"/>
      <c r="U1" s="163"/>
      <c r="V1" s="163"/>
      <c r="W1" s="163"/>
      <c r="X1" s="163"/>
      <c r="Y1" s="163"/>
    </row>
    <row r="2">
      <c r="A2" s="433" t="s">
        <v>207</v>
      </c>
      <c r="B2" s="265">
        <v>0.034</v>
      </c>
      <c r="C2" s="265">
        <v>0.336</v>
      </c>
      <c r="D2" s="265">
        <v>4.102896</v>
      </c>
      <c r="E2" s="265">
        <v>1.07086468</v>
      </c>
      <c r="F2" s="519">
        <f t="shared" ref="F2:F55" si="1">E2/D2</f>
        <v>0.2610021507</v>
      </c>
      <c r="G2" s="22" t="str">
        <f t="shared" ref="G2:G55" si="2">IF(F2&lt;0.75,"EV cheaper",IF(AND(F2&gt;=0.75,F2&lt;=1),"Comparable","EV pricier"))</f>
        <v>EV cheaper</v>
      </c>
      <c r="H2" s="520">
        <f>IF(F2&lt;0.75, (1), IF(F2&lt;1, (2/3), (1/3)))</f>
        <v>1</v>
      </c>
      <c r="I2" s="22" t="s">
        <v>581</v>
      </c>
    </row>
    <row r="3">
      <c r="A3" s="433" t="s">
        <v>240</v>
      </c>
      <c r="B3" s="265">
        <v>0.012</v>
      </c>
      <c r="C3" s="265">
        <v>0.364</v>
      </c>
      <c r="D3" s="265">
        <v>4.44480399999999</v>
      </c>
      <c r="E3" s="265">
        <v>0.37795224</v>
      </c>
      <c r="F3" s="519">
        <f t="shared" si="1"/>
        <v>0.08503237488</v>
      </c>
      <c r="G3" s="22" t="str">
        <f t="shared" si="2"/>
        <v>EV cheaper</v>
      </c>
      <c r="H3" s="520">
        <f>IF(F3&lt;0.75, 1, IF(F3&lt;1, (2/3), (1/3)))</f>
        <v>1</v>
      </c>
    </row>
    <row r="4">
      <c r="A4" s="433" t="s">
        <v>268</v>
      </c>
      <c r="B4" s="265">
        <v>0.036</v>
      </c>
      <c r="C4" s="265">
        <v>1.121</v>
      </c>
      <c r="D4" s="265">
        <v>13.688531</v>
      </c>
      <c r="E4" s="265">
        <v>1.13385672</v>
      </c>
      <c r="F4" s="519">
        <f t="shared" si="1"/>
        <v>0.08283260782</v>
      </c>
      <c r="G4" s="22" t="str">
        <f t="shared" si="2"/>
        <v>EV cheaper</v>
      </c>
      <c r="H4" s="520">
        <f>IF(F4&lt;0.75, (1), IF(F4&lt;1, (2/3), (1/3)))</f>
        <v>1</v>
      </c>
    </row>
    <row r="5">
      <c r="A5" s="433" t="s">
        <v>329</v>
      </c>
      <c r="B5" s="265">
        <v>0.112</v>
      </c>
      <c r="C5" s="265">
        <v>1.075</v>
      </c>
      <c r="D5" s="265">
        <v>13.126825</v>
      </c>
      <c r="E5" s="265">
        <v>3.52755424</v>
      </c>
      <c r="F5" s="519">
        <f t="shared" si="1"/>
        <v>0.2687286713</v>
      </c>
      <c r="G5" s="22" t="str">
        <f t="shared" si="2"/>
        <v>EV cheaper</v>
      </c>
      <c r="H5" s="520">
        <f>IF(F5&lt;0.75, 1, IF(F5&lt;1, (2/3), (1/3)))</f>
        <v>1</v>
      </c>
    </row>
    <row r="6">
      <c r="A6" s="433" t="s">
        <v>331</v>
      </c>
      <c r="B6" s="265">
        <v>0.449</v>
      </c>
      <c r="C6" s="265">
        <v>1.401</v>
      </c>
      <c r="D6" s="265">
        <v>17.107611</v>
      </c>
      <c r="E6" s="265">
        <v>14.14171298</v>
      </c>
      <c r="F6" s="519">
        <f t="shared" si="1"/>
        <v>0.8266328349</v>
      </c>
      <c r="G6" s="22" t="str">
        <f t="shared" si="2"/>
        <v>Comparable</v>
      </c>
      <c r="H6" s="520">
        <f>IF(F6&lt;0.75, (1), IF(F6&lt;1, (2/3), (1/3)))</f>
        <v>0.6666666667</v>
      </c>
    </row>
    <row r="7">
      <c r="A7" s="433" t="s">
        <v>333</v>
      </c>
      <c r="B7" s="265">
        <v>0.158</v>
      </c>
      <c r="C7" s="265">
        <v>1.409</v>
      </c>
      <c r="D7" s="265">
        <v>17.205299</v>
      </c>
      <c r="E7" s="265">
        <v>4.97637116</v>
      </c>
      <c r="F7" s="519">
        <f t="shared" si="1"/>
        <v>0.2892347968</v>
      </c>
      <c r="G7" s="22" t="str">
        <f t="shared" si="2"/>
        <v>EV cheaper</v>
      </c>
      <c r="H7" s="520">
        <f>IF(F7&lt;0.75, 1, IF(F7&lt;1, (2/3), (1/3)))</f>
        <v>1</v>
      </c>
    </row>
    <row r="8">
      <c r="A8" s="433" t="s">
        <v>225</v>
      </c>
      <c r="B8" s="265">
        <v>0.152</v>
      </c>
      <c r="C8" s="265">
        <v>1.203</v>
      </c>
      <c r="D8" s="265">
        <v>14.689833</v>
      </c>
      <c r="E8" s="265">
        <v>4.78739504</v>
      </c>
      <c r="F8" s="519">
        <f t="shared" si="1"/>
        <v>0.325898534</v>
      </c>
      <c r="G8" s="22" t="str">
        <f t="shared" si="2"/>
        <v>EV cheaper</v>
      </c>
      <c r="H8" s="520">
        <f>IF(F8&lt;0.75, (1), IF(F8&lt;1, (2/3), (1/3)))</f>
        <v>1</v>
      </c>
    </row>
    <row r="9">
      <c r="A9" s="433" t="s">
        <v>338</v>
      </c>
      <c r="B9" s="265">
        <v>0.199</v>
      </c>
      <c r="C9" s="265">
        <v>1.444</v>
      </c>
      <c r="D9" s="265">
        <v>17.6326839999999</v>
      </c>
      <c r="E9" s="265">
        <v>6.26770798</v>
      </c>
      <c r="F9" s="519">
        <f t="shared" si="1"/>
        <v>0.3554596668</v>
      </c>
      <c r="G9" s="22" t="str">
        <f t="shared" si="2"/>
        <v>EV cheaper</v>
      </c>
      <c r="H9" s="520">
        <f>IF(F9&lt;0.75, 1, IF(F9&lt;1, (2/3), (1/3)))</f>
        <v>1</v>
      </c>
    </row>
    <row r="10">
      <c r="A10" s="433" t="s">
        <v>340</v>
      </c>
      <c r="B10" s="265">
        <v>0.152</v>
      </c>
      <c r="C10" s="265">
        <v>1.813</v>
      </c>
      <c r="D10" s="265">
        <v>22.138543</v>
      </c>
      <c r="E10" s="265">
        <v>4.78739504</v>
      </c>
      <c r="F10" s="519">
        <f t="shared" si="1"/>
        <v>0.2162470692</v>
      </c>
      <c r="G10" s="22" t="str">
        <f t="shared" si="2"/>
        <v>EV cheaper</v>
      </c>
      <c r="H10" s="520">
        <f>IF(F10&lt;0.75, (1), IF(F10&lt;1, (2/3), (1/3)))</f>
        <v>1</v>
      </c>
    </row>
    <row r="11">
      <c r="A11" s="433" t="s">
        <v>342</v>
      </c>
      <c r="B11" s="265">
        <v>0.153</v>
      </c>
      <c r="C11" s="265">
        <v>0.83</v>
      </c>
      <c r="D11" s="265">
        <v>10.13513</v>
      </c>
      <c r="E11" s="265">
        <v>4.81889106</v>
      </c>
      <c r="F11" s="519">
        <f t="shared" si="1"/>
        <v>0.4754641588</v>
      </c>
      <c r="G11" s="22" t="str">
        <f t="shared" si="2"/>
        <v>EV cheaper</v>
      </c>
      <c r="H11" s="520">
        <f>IF(F11&lt;0.75, 1, IF(F11&lt;1, (2/3), (1/3)))</f>
        <v>1</v>
      </c>
    </row>
    <row r="12">
      <c r="A12" s="433" t="s">
        <v>346</v>
      </c>
      <c r="B12" s="265">
        <v>0.298</v>
      </c>
      <c r="C12" s="265">
        <v>1.36</v>
      </c>
      <c r="D12" s="265">
        <v>16.60696</v>
      </c>
      <c r="E12" s="265">
        <v>9.38581396</v>
      </c>
      <c r="F12" s="519">
        <f t="shared" si="1"/>
        <v>0.5651735152</v>
      </c>
      <c r="G12" s="22" t="str">
        <f t="shared" si="2"/>
        <v>EV cheaper</v>
      </c>
      <c r="H12" s="520">
        <f>IF(F12&lt;0.75, (1), IF(F12&lt;1, (2/3), (1/3)))</f>
        <v>1</v>
      </c>
    </row>
    <row r="13">
      <c r="A13" s="433" t="s">
        <v>351</v>
      </c>
      <c r="B13" s="265">
        <v>0.091</v>
      </c>
      <c r="C13" s="265">
        <v>0.9</v>
      </c>
      <c r="D13" s="265">
        <v>10.9899</v>
      </c>
      <c r="E13" s="265">
        <v>2.86613782</v>
      </c>
      <c r="F13" s="519">
        <f t="shared" si="1"/>
        <v>0.2607974431</v>
      </c>
      <c r="G13" s="22" t="str">
        <f t="shared" si="2"/>
        <v>EV cheaper</v>
      </c>
      <c r="H13" s="520">
        <f>IF(F13&lt;0.75, 1, IF(F13&lt;1, (2/3), (1/3)))</f>
        <v>1</v>
      </c>
    </row>
    <row r="14">
      <c r="A14" s="528" t="s">
        <v>356</v>
      </c>
      <c r="B14" s="265">
        <v>0.203</v>
      </c>
      <c r="C14" s="265">
        <v>1.343</v>
      </c>
      <c r="D14" s="265">
        <v>16.399373</v>
      </c>
      <c r="E14" s="265">
        <v>6.39369206</v>
      </c>
      <c r="F14" s="519">
        <f t="shared" si="1"/>
        <v>0.3898741775</v>
      </c>
      <c r="G14" s="22" t="str">
        <f t="shared" si="2"/>
        <v>EV cheaper</v>
      </c>
      <c r="H14" s="520">
        <f>IF(F14&lt;0.75, (1), IF(F14&lt;1, (2/3), (1/3)))</f>
        <v>1</v>
      </c>
    </row>
    <row r="15">
      <c r="A15" s="433" t="s">
        <v>357</v>
      </c>
      <c r="B15" s="265">
        <v>0.28</v>
      </c>
      <c r="C15" s="265">
        <v>1.32</v>
      </c>
      <c r="D15" s="265">
        <v>16.11852</v>
      </c>
      <c r="E15" s="265">
        <v>8.8188856</v>
      </c>
      <c r="F15" s="519">
        <f t="shared" si="1"/>
        <v>0.547127503</v>
      </c>
      <c r="G15" s="22" t="str">
        <f t="shared" si="2"/>
        <v>EV cheaper</v>
      </c>
      <c r="H15" s="520">
        <f>IF(F15&lt;0.75, 1, IF(F15&lt;1, (2/3), (1/3)))</f>
        <v>1</v>
      </c>
    </row>
    <row r="16">
      <c r="A16" s="433" t="s">
        <v>276</v>
      </c>
      <c r="B16" s="265">
        <v>0.078</v>
      </c>
      <c r="C16" s="265">
        <v>1.208</v>
      </c>
      <c r="D16" s="265">
        <v>14.750888</v>
      </c>
      <c r="E16" s="265">
        <v>2.45668956</v>
      </c>
      <c r="F16" s="519">
        <f t="shared" si="1"/>
        <v>0.1665451978</v>
      </c>
      <c r="G16" s="22" t="str">
        <f t="shared" si="2"/>
        <v>EV cheaper</v>
      </c>
      <c r="H16" s="520">
        <f>IF(F16&lt;0.75, (1), IF(F16&lt;1, (2/3), (1/3)))</f>
        <v>1</v>
      </c>
    </row>
    <row r="17">
      <c r="A17" s="433" t="s">
        <v>285</v>
      </c>
      <c r="B17" s="265">
        <v>0.037</v>
      </c>
      <c r="C17" s="265">
        <v>0.372</v>
      </c>
      <c r="D17" s="265">
        <v>4.542492</v>
      </c>
      <c r="E17" s="265">
        <v>1.16535273999999</v>
      </c>
      <c r="F17" s="519">
        <f t="shared" si="1"/>
        <v>0.2565448084</v>
      </c>
      <c r="G17" s="22" t="str">
        <f t="shared" si="2"/>
        <v>EV cheaper</v>
      </c>
      <c r="H17" s="520">
        <f>IF(F17&lt;0.75, 1, IF(F17&lt;1, (2/3), (1/3)))</f>
        <v>1</v>
      </c>
    </row>
    <row r="18">
      <c r="A18" s="433" t="s">
        <v>360</v>
      </c>
      <c r="B18" s="265">
        <v>0.17</v>
      </c>
      <c r="C18" s="265">
        <v>0.72</v>
      </c>
      <c r="D18" s="265">
        <v>8.79192</v>
      </c>
      <c r="E18" s="265">
        <v>5.3543234</v>
      </c>
      <c r="F18" s="519">
        <f t="shared" si="1"/>
        <v>0.6090050182</v>
      </c>
      <c r="G18" s="22" t="str">
        <f t="shared" si="2"/>
        <v>EV cheaper</v>
      </c>
      <c r="H18" s="520">
        <f>IF(F18&lt;0.75, (1), IF(F18&lt;1, (2/3), (1/3)))</f>
        <v>1</v>
      </c>
    </row>
    <row r="19">
      <c r="A19" s="433" t="s">
        <v>362</v>
      </c>
      <c r="B19" s="265">
        <v>0.24</v>
      </c>
      <c r="C19" s="265">
        <v>2.0</v>
      </c>
      <c r="D19" s="265">
        <v>24.422</v>
      </c>
      <c r="E19" s="265">
        <v>7.5590448</v>
      </c>
      <c r="F19" s="519">
        <f t="shared" si="1"/>
        <v>0.3095178446</v>
      </c>
      <c r="G19" s="22" t="str">
        <f t="shared" si="2"/>
        <v>EV cheaper</v>
      </c>
      <c r="H19" s="520">
        <f>IF(F19&lt;0.75, 1, IF(F19&lt;1, (2/3), (1/3)))</f>
        <v>1</v>
      </c>
    </row>
    <row r="20">
      <c r="A20" s="433" t="s">
        <v>363</v>
      </c>
      <c r="B20" s="265">
        <v>0.062</v>
      </c>
      <c r="C20" s="265">
        <v>1.123</v>
      </c>
      <c r="D20" s="265">
        <v>13.7129529999999</v>
      </c>
      <c r="E20" s="265">
        <v>1.95275324</v>
      </c>
      <c r="F20" s="519">
        <f t="shared" si="1"/>
        <v>0.1424020953</v>
      </c>
      <c r="G20" s="22" t="str">
        <f t="shared" si="2"/>
        <v>EV cheaper</v>
      </c>
      <c r="H20" s="520">
        <f>IF(F20&lt;0.75, (1), IF(F20&lt;1, (2/3), (1/3)))</f>
        <v>1</v>
      </c>
    </row>
    <row r="21">
      <c r="A21" s="433" t="s">
        <v>255</v>
      </c>
      <c r="B21" s="265">
        <v>0.023</v>
      </c>
      <c r="C21" s="265">
        <v>1.259</v>
      </c>
      <c r="D21" s="265">
        <v>15.3736489999999</v>
      </c>
      <c r="E21" s="265">
        <v>0.72440846</v>
      </c>
      <c r="F21" s="519">
        <f t="shared" si="1"/>
        <v>0.04712013784</v>
      </c>
      <c r="G21" s="22" t="str">
        <f t="shared" si="2"/>
        <v>EV cheaper</v>
      </c>
      <c r="H21" s="520">
        <f>IF(F21&lt;0.75, 1, IF(F21&lt;1, (2/3), (1/3)))</f>
        <v>1</v>
      </c>
    </row>
    <row r="22">
      <c r="A22" s="433" t="s">
        <v>374</v>
      </c>
      <c r="B22" s="265">
        <v>0.19</v>
      </c>
      <c r="C22" s="265">
        <v>0.997</v>
      </c>
      <c r="D22" s="265">
        <v>12.174367</v>
      </c>
      <c r="E22" s="265">
        <v>5.9842438</v>
      </c>
      <c r="F22" s="519">
        <f t="shared" si="1"/>
        <v>0.4915445542</v>
      </c>
      <c r="G22" s="22" t="str">
        <f t="shared" si="2"/>
        <v>EV cheaper</v>
      </c>
      <c r="H22" s="520">
        <f>IF(F22&lt;0.75, (1), IF(F22&lt;1, (2/3), (1/3)))</f>
        <v>1</v>
      </c>
    </row>
    <row r="23">
      <c r="A23" s="433" t="s">
        <v>263</v>
      </c>
      <c r="B23" s="265">
        <v>0.2</v>
      </c>
      <c r="C23" s="265">
        <v>1.18</v>
      </c>
      <c r="D23" s="265">
        <v>14.40898</v>
      </c>
      <c r="E23" s="265">
        <v>6.299204</v>
      </c>
      <c r="F23" s="519">
        <f t="shared" si="1"/>
        <v>0.4371720968</v>
      </c>
      <c r="G23" s="22" t="str">
        <f t="shared" si="2"/>
        <v>EV cheaper</v>
      </c>
      <c r="H23" s="520">
        <f>IF(F23&lt;0.75, 1, IF(F23&lt;1, (2/3), (1/3)))</f>
        <v>1</v>
      </c>
    </row>
    <row r="24">
      <c r="A24" s="433" t="s">
        <v>266</v>
      </c>
      <c r="B24" s="265">
        <v>0.089</v>
      </c>
      <c r="C24" s="265">
        <v>1.164</v>
      </c>
      <c r="D24" s="265">
        <v>14.213604</v>
      </c>
      <c r="E24" s="265">
        <v>2.80314578</v>
      </c>
      <c r="F24" s="519">
        <f t="shared" si="1"/>
        <v>0.1972156942</v>
      </c>
      <c r="G24" s="22" t="str">
        <f t="shared" si="2"/>
        <v>EV cheaper</v>
      </c>
      <c r="H24" s="520">
        <f>IF(F24&lt;0.75, (1), IF(F24&lt;1, (2/3), (1/3)))</f>
        <v>1</v>
      </c>
    </row>
    <row r="25">
      <c r="A25" s="433" t="s">
        <v>385</v>
      </c>
      <c r="B25" s="265">
        <v>0.185</v>
      </c>
      <c r="C25" s="265">
        <v>1.13</v>
      </c>
      <c r="D25" s="265">
        <v>13.7984299999999</v>
      </c>
      <c r="E25" s="265">
        <v>5.8267637</v>
      </c>
      <c r="F25" s="519">
        <f t="shared" si="1"/>
        <v>0.4222772953</v>
      </c>
      <c r="G25" s="22" t="str">
        <f t="shared" si="2"/>
        <v>EV cheaper</v>
      </c>
      <c r="H25" s="520">
        <f>IF(F25&lt;0.75, 1, IF(F25&lt;1, (2/3), (1/3)))</f>
        <v>1</v>
      </c>
    </row>
    <row r="26">
      <c r="A26" s="433" t="s">
        <v>386</v>
      </c>
      <c r="B26" s="265">
        <v>0.38</v>
      </c>
      <c r="C26" s="265">
        <v>1.11</v>
      </c>
      <c r="D26" s="265">
        <v>13.55421</v>
      </c>
      <c r="E26" s="265">
        <v>11.9684876</v>
      </c>
      <c r="F26" s="519">
        <f t="shared" si="1"/>
        <v>0.8830088659</v>
      </c>
      <c r="G26" s="22" t="str">
        <f t="shared" si="2"/>
        <v>Comparable</v>
      </c>
      <c r="H26" s="520">
        <f>IF(F26&lt;0.75, (1), IF(F26&lt;1, (2/3), (1/3)))</f>
        <v>0.6666666667</v>
      </c>
    </row>
    <row r="27">
      <c r="A27" s="433" t="s">
        <v>280</v>
      </c>
      <c r="B27" s="265">
        <v>0.143</v>
      </c>
      <c r="C27" s="265">
        <v>1.352</v>
      </c>
      <c r="D27" s="265">
        <v>16.509272</v>
      </c>
      <c r="E27" s="265">
        <v>4.50393086</v>
      </c>
      <c r="F27" s="519">
        <f t="shared" si="1"/>
        <v>0.2728122027</v>
      </c>
      <c r="G27" s="22" t="str">
        <f t="shared" si="2"/>
        <v>EV cheaper</v>
      </c>
      <c r="H27" s="520">
        <f>IF(F27&lt;0.75, 1, IF(F27&lt;1, (2/3), (1/3)))</f>
        <v>1</v>
      </c>
    </row>
    <row r="28">
      <c r="A28" s="433" t="s">
        <v>392</v>
      </c>
      <c r="B28" s="265">
        <v>0.019</v>
      </c>
      <c r="C28" s="265">
        <v>1.133</v>
      </c>
      <c r="D28" s="265">
        <v>13.835063</v>
      </c>
      <c r="E28" s="265">
        <v>0.59842438</v>
      </c>
      <c r="F28" s="519">
        <f t="shared" si="1"/>
        <v>0.0432541854</v>
      </c>
      <c r="G28" s="22" t="str">
        <f t="shared" si="2"/>
        <v>EV cheaper</v>
      </c>
      <c r="H28" s="520">
        <f>IF(F28&lt;0.75, (1), IF(F28&lt;1, (2/3), (1/3)))</f>
        <v>1</v>
      </c>
    </row>
    <row r="29">
      <c r="A29" s="433" t="s">
        <v>394</v>
      </c>
      <c r="B29" s="265">
        <v>0.242</v>
      </c>
      <c r="C29" s="265">
        <v>0.94</v>
      </c>
      <c r="D29" s="265">
        <v>11.47834</v>
      </c>
      <c r="E29" s="265">
        <v>7.62203684</v>
      </c>
      <c r="F29" s="519">
        <f t="shared" si="1"/>
        <v>0.6640365105</v>
      </c>
      <c r="G29" s="22" t="str">
        <f t="shared" si="2"/>
        <v>EV cheaper</v>
      </c>
      <c r="H29" s="520">
        <f>IF(F29&lt;0.75, 1, IF(F29&lt;1, (2/3), (1/3)))</f>
        <v>1</v>
      </c>
    </row>
    <row r="30">
      <c r="A30" s="433" t="s">
        <v>396</v>
      </c>
      <c r="B30" s="265">
        <v>0.041</v>
      </c>
      <c r="C30" s="265">
        <v>0.031</v>
      </c>
      <c r="D30" s="265">
        <v>0.378541</v>
      </c>
      <c r="E30" s="265">
        <v>1.29133682</v>
      </c>
      <c r="F30" s="519">
        <f t="shared" si="1"/>
        <v>3.411352588</v>
      </c>
      <c r="G30" s="22" t="str">
        <f t="shared" si="2"/>
        <v>EV pricier</v>
      </c>
      <c r="H30" s="520">
        <f>IF(F30&lt;0.75, (1), IF(F30&lt;1, (2/3), (1/3)))</f>
        <v>0.3333333333</v>
      </c>
    </row>
    <row r="31">
      <c r="A31" s="433" t="s">
        <v>336</v>
      </c>
      <c r="B31" s="265">
        <v>0.098</v>
      </c>
      <c r="C31" s="265">
        <v>1.306</v>
      </c>
      <c r="D31" s="265">
        <v>15.947566</v>
      </c>
      <c r="E31" s="265">
        <v>3.08660996</v>
      </c>
      <c r="F31" s="519">
        <f t="shared" si="1"/>
        <v>0.1935474015</v>
      </c>
      <c r="G31" s="22" t="str">
        <f t="shared" si="2"/>
        <v>EV cheaper</v>
      </c>
      <c r="H31" s="520">
        <f>IF(F31&lt;0.75, 1, IF(F31&lt;1, (2/3), (1/3)))</f>
        <v>1</v>
      </c>
    </row>
    <row r="32">
      <c r="A32" s="433" t="s">
        <v>343</v>
      </c>
      <c r="B32" s="265">
        <v>0.144</v>
      </c>
      <c r="C32" s="265">
        <v>1.61</v>
      </c>
      <c r="D32" s="265">
        <v>19.65971</v>
      </c>
      <c r="E32" s="265">
        <v>4.53542688</v>
      </c>
      <c r="F32" s="519">
        <f t="shared" si="1"/>
        <v>0.2306965301</v>
      </c>
      <c r="G32" s="22" t="str">
        <f t="shared" si="2"/>
        <v>EV cheaper</v>
      </c>
      <c r="H32" s="520">
        <f>IF(F32&lt;0.75, (1), IF(F32&lt;1, (2/3), (1/3)))</f>
        <v>1</v>
      </c>
    </row>
    <row r="33">
      <c r="A33" s="433" t="s">
        <v>399</v>
      </c>
      <c r="B33" s="265">
        <v>0.156</v>
      </c>
      <c r="C33" s="265">
        <v>1.427</v>
      </c>
      <c r="D33" s="265">
        <v>17.4250969999999</v>
      </c>
      <c r="E33" s="265">
        <v>4.91337912</v>
      </c>
      <c r="F33" s="519">
        <f t="shared" si="1"/>
        <v>0.2819714071</v>
      </c>
      <c r="G33" s="22" t="str">
        <f t="shared" si="2"/>
        <v>EV cheaper</v>
      </c>
      <c r="H33" s="520">
        <f>IF(F33&lt;0.75, 1, IF(F33&lt;1, (2/3), (1/3)))</f>
        <v>1</v>
      </c>
    </row>
    <row r="34">
      <c r="A34" s="433" t="s">
        <v>401</v>
      </c>
      <c r="B34" s="265">
        <v>0.162</v>
      </c>
      <c r="C34" s="265">
        <v>1.13</v>
      </c>
      <c r="D34" s="265">
        <v>13.7984299999999</v>
      </c>
      <c r="E34" s="265">
        <v>5.10235524</v>
      </c>
      <c r="F34" s="519">
        <f t="shared" si="1"/>
        <v>0.3697779559</v>
      </c>
      <c r="G34" s="22" t="str">
        <f t="shared" si="2"/>
        <v>EV cheaper</v>
      </c>
      <c r="H34" s="520">
        <f>IF(F34&lt;0.75, (1), IF(F34&lt;1, (2/3), (1/3)))</f>
        <v>1</v>
      </c>
    </row>
    <row r="35">
      <c r="A35" s="433" t="s">
        <v>354</v>
      </c>
      <c r="B35" s="265">
        <v>0.119</v>
      </c>
      <c r="C35" s="265">
        <v>1.516</v>
      </c>
      <c r="D35" s="265">
        <v>18.511876</v>
      </c>
      <c r="E35" s="265">
        <v>3.74802638</v>
      </c>
      <c r="F35" s="519">
        <f t="shared" si="1"/>
        <v>0.2024660483</v>
      </c>
      <c r="G35" s="22" t="str">
        <f t="shared" si="2"/>
        <v>EV cheaper</v>
      </c>
      <c r="H35" s="520">
        <f>IF(F35&lt;0.75, 1, IF(F35&lt;1, (2/3), (1/3)))</f>
        <v>1</v>
      </c>
    </row>
    <row r="36">
      <c r="A36" s="433" t="s">
        <v>290</v>
      </c>
      <c r="B36" s="265">
        <v>0.106</v>
      </c>
      <c r="C36" s="265">
        <v>1.481</v>
      </c>
      <c r="D36" s="265">
        <v>18.084491</v>
      </c>
      <c r="E36" s="265">
        <v>3.33857812</v>
      </c>
      <c r="F36" s="519">
        <f t="shared" si="1"/>
        <v>0.1846100131</v>
      </c>
      <c r="G36" s="22" t="str">
        <f t="shared" si="2"/>
        <v>EV cheaper</v>
      </c>
      <c r="H36" s="520">
        <f>IF(F36&lt;0.75, (1), IF(F36&lt;1, (2/3), (1/3)))</f>
        <v>1</v>
      </c>
    </row>
    <row r="37">
      <c r="A37" s="433" t="s">
        <v>291</v>
      </c>
      <c r="B37" s="265">
        <v>0.08</v>
      </c>
      <c r="C37" s="265">
        <v>1.35</v>
      </c>
      <c r="D37" s="265">
        <v>16.48485</v>
      </c>
      <c r="E37" s="265">
        <v>2.5196816</v>
      </c>
      <c r="F37" s="519">
        <f t="shared" si="1"/>
        <v>0.1528483183</v>
      </c>
      <c r="G37" s="22" t="str">
        <f t="shared" si="2"/>
        <v>EV cheaper</v>
      </c>
      <c r="H37" s="520">
        <f>IF(F37&lt;0.75, 1, IF(F37&lt;1, (2/3), (1/3)))</f>
        <v>1</v>
      </c>
    </row>
    <row r="38">
      <c r="A38" s="433" t="s">
        <v>296</v>
      </c>
      <c r="B38" s="265">
        <v>0.148</v>
      </c>
      <c r="C38" s="265">
        <v>1.328</v>
      </c>
      <c r="D38" s="265">
        <v>16.216208</v>
      </c>
      <c r="E38" s="265">
        <v>4.66141095999999</v>
      </c>
      <c r="F38" s="519">
        <f t="shared" si="1"/>
        <v>0.2874538215</v>
      </c>
      <c r="G38" s="22" t="str">
        <f t="shared" si="2"/>
        <v>EV cheaper</v>
      </c>
      <c r="H38" s="520">
        <f>IF(F38&lt;0.75, (1), IF(F38&lt;1, (2/3), (1/3)))</f>
        <v>1</v>
      </c>
    </row>
    <row r="39">
      <c r="A39" s="433" t="s">
        <v>407</v>
      </c>
      <c r="B39" s="265">
        <v>0.236</v>
      </c>
      <c r="C39" s="265">
        <v>0.87</v>
      </c>
      <c r="D39" s="265">
        <v>10.6235699999999</v>
      </c>
      <c r="E39" s="265">
        <v>7.43306072</v>
      </c>
      <c r="F39" s="519">
        <f t="shared" si="1"/>
        <v>0.6996763536</v>
      </c>
      <c r="G39" s="22" t="str">
        <f t="shared" si="2"/>
        <v>EV cheaper</v>
      </c>
      <c r="H39" s="520">
        <f>IF(F39&lt;0.75, 1, IF(F39&lt;1, (2/3), (1/3)))</f>
        <v>1</v>
      </c>
    </row>
    <row r="40">
      <c r="A40" s="433" t="s">
        <v>299</v>
      </c>
      <c r="B40" s="265">
        <v>0.145</v>
      </c>
      <c r="C40" s="265">
        <v>0.799</v>
      </c>
      <c r="D40" s="265">
        <v>9.756589</v>
      </c>
      <c r="E40" s="265">
        <v>4.5669229</v>
      </c>
      <c r="F40" s="519">
        <f t="shared" si="1"/>
        <v>0.4680860186</v>
      </c>
      <c r="G40" s="22" t="str">
        <f t="shared" si="2"/>
        <v>EV cheaper</v>
      </c>
      <c r="H40" s="520">
        <f>IF(F40&lt;0.75, (1), IF(F40&lt;1, (2/3), (1/3)))</f>
        <v>1</v>
      </c>
    </row>
    <row r="41">
      <c r="A41" s="433" t="s">
        <v>302</v>
      </c>
      <c r="B41" s="265">
        <v>0.081</v>
      </c>
      <c r="C41" s="265">
        <v>1.376</v>
      </c>
      <c r="D41" s="265">
        <v>16.802336</v>
      </c>
      <c r="E41" s="265">
        <v>2.55117762</v>
      </c>
      <c r="F41" s="519">
        <f t="shared" si="1"/>
        <v>0.1518346985</v>
      </c>
      <c r="G41" s="22" t="str">
        <f t="shared" si="2"/>
        <v>EV cheaper</v>
      </c>
      <c r="H41" s="520">
        <f>IF(F41&lt;0.75, 1, IF(F41&lt;1, (2/3), (1/3)))</f>
        <v>1</v>
      </c>
    </row>
    <row r="42">
      <c r="A42" s="22" t="s">
        <v>410</v>
      </c>
      <c r="B42" s="265">
        <v>0.18</v>
      </c>
      <c r="C42" s="265">
        <v>1.66</v>
      </c>
      <c r="D42" s="265">
        <v>20.27026</v>
      </c>
      <c r="E42" s="265">
        <v>5.6692836</v>
      </c>
      <c r="F42" s="519">
        <f t="shared" si="1"/>
        <v>0.2796847993</v>
      </c>
      <c r="G42" s="22" t="str">
        <f t="shared" si="2"/>
        <v>EV cheaper</v>
      </c>
      <c r="H42" s="520">
        <f>IF(F42&lt;0.75, (1), IF(F42&lt;1, (2/3), (1/3)))</f>
        <v>1</v>
      </c>
    </row>
    <row r="43">
      <c r="A43" s="433" t="s">
        <v>411</v>
      </c>
      <c r="B43" s="265">
        <v>0.21</v>
      </c>
      <c r="C43" s="265">
        <v>1.631</v>
      </c>
      <c r="D43" s="265">
        <v>19.916141</v>
      </c>
      <c r="E43" s="265">
        <v>6.6141642</v>
      </c>
      <c r="F43" s="519">
        <f t="shared" si="1"/>
        <v>0.3321006916</v>
      </c>
      <c r="G43" s="22" t="str">
        <f t="shared" si="2"/>
        <v>EV cheaper</v>
      </c>
      <c r="H43" s="520">
        <f>IF(F43&lt;0.75, 1, IF(F43&lt;1, (2/3), (1/3)))</f>
        <v>1</v>
      </c>
    </row>
    <row r="44">
      <c r="A44" s="433" t="s">
        <v>309</v>
      </c>
      <c r="B44" s="265">
        <v>0.293</v>
      </c>
      <c r="C44" s="265">
        <v>1.573</v>
      </c>
      <c r="D44" s="265">
        <v>19.2079029999999</v>
      </c>
      <c r="E44" s="265">
        <v>9.22833386</v>
      </c>
      <c r="F44" s="519">
        <f t="shared" si="1"/>
        <v>0.4804446305</v>
      </c>
      <c r="G44" s="22" t="str">
        <f t="shared" si="2"/>
        <v>EV cheaper</v>
      </c>
      <c r="H44" s="520">
        <f>IF(F44&lt;0.75, (1), IF(F44&lt;1, (2/3), (1/3)))</f>
        <v>1</v>
      </c>
    </row>
    <row r="45">
      <c r="A45" s="433" t="s">
        <v>412</v>
      </c>
      <c r="B45" s="265">
        <v>0.171</v>
      </c>
      <c r="C45" s="265">
        <v>1.27</v>
      </c>
      <c r="D45" s="265">
        <v>15.50797</v>
      </c>
      <c r="E45" s="265">
        <v>5.38581942</v>
      </c>
      <c r="F45" s="519">
        <f t="shared" si="1"/>
        <v>0.3472936445</v>
      </c>
      <c r="G45" s="22" t="str">
        <f t="shared" si="2"/>
        <v>EV cheaper</v>
      </c>
      <c r="H45" s="520">
        <f>IF(F45&lt;0.75, 1, IF(F45&lt;1, (2/3), (1/3)))</f>
        <v>1</v>
      </c>
    </row>
    <row r="46">
      <c r="A46" s="433" t="s">
        <v>415</v>
      </c>
      <c r="B46" s="265">
        <v>0.079</v>
      </c>
      <c r="C46" s="265">
        <v>1.03</v>
      </c>
      <c r="D46" s="265">
        <v>12.57733</v>
      </c>
      <c r="E46" s="265">
        <v>2.48818558</v>
      </c>
      <c r="F46" s="519">
        <f t="shared" si="1"/>
        <v>0.1978309848</v>
      </c>
      <c r="G46" s="22" t="str">
        <f t="shared" si="2"/>
        <v>EV cheaper</v>
      </c>
      <c r="H46" s="520">
        <f>IF(F46&lt;0.75, (1), IF(F46&lt;1, (2/3), (1/3)))</f>
        <v>1</v>
      </c>
    </row>
    <row r="47">
      <c r="A47" s="433" t="s">
        <v>313</v>
      </c>
      <c r="B47" s="265">
        <v>0.072</v>
      </c>
      <c r="C47" s="265">
        <v>1.216</v>
      </c>
      <c r="D47" s="265">
        <v>14.848576</v>
      </c>
      <c r="E47" s="265">
        <v>2.26771344</v>
      </c>
      <c r="F47" s="519">
        <f t="shared" si="1"/>
        <v>0.1527226207</v>
      </c>
      <c r="G47" s="22" t="str">
        <f t="shared" si="2"/>
        <v>EV cheaper</v>
      </c>
      <c r="H47" s="520">
        <f>IF(F47&lt;0.75, 1, IF(F47&lt;1, (2/3), (1/3)))</f>
        <v>1</v>
      </c>
    </row>
    <row r="48">
      <c r="A48" s="433" t="s">
        <v>416</v>
      </c>
      <c r="B48" s="265">
        <v>0.42</v>
      </c>
      <c r="C48" s="265">
        <v>1.4</v>
      </c>
      <c r="D48" s="265">
        <v>17.0953999999999</v>
      </c>
      <c r="E48" s="265">
        <v>13.2283284</v>
      </c>
      <c r="F48" s="519">
        <f t="shared" si="1"/>
        <v>0.7737946114</v>
      </c>
      <c r="G48" s="22" t="str">
        <f t="shared" si="2"/>
        <v>Comparable</v>
      </c>
      <c r="H48" s="520">
        <f>IF(F48&lt;0.75, (1), IF(F48&lt;1, (2/3), (1/3)))</f>
        <v>0.6666666667</v>
      </c>
    </row>
    <row r="49">
      <c r="A49" s="433" t="s">
        <v>417</v>
      </c>
      <c r="B49" s="265">
        <v>0.044</v>
      </c>
      <c r="C49" s="265">
        <v>1.062</v>
      </c>
      <c r="D49" s="265">
        <v>12.9680819999999</v>
      </c>
      <c r="E49" s="265">
        <v>1.38582488</v>
      </c>
      <c r="F49" s="519">
        <f t="shared" si="1"/>
        <v>0.1068642903</v>
      </c>
      <c r="G49" s="22" t="str">
        <f t="shared" si="2"/>
        <v>EV cheaper</v>
      </c>
      <c r="H49" s="520">
        <f>IF(F49&lt;0.75, 1, IF(F49&lt;1, (2/3), (1/3)))</f>
        <v>1</v>
      </c>
    </row>
    <row r="50">
      <c r="A50" s="433" t="s">
        <v>418</v>
      </c>
      <c r="B50" s="265">
        <v>0.095</v>
      </c>
      <c r="C50" s="265">
        <v>1.28</v>
      </c>
      <c r="D50" s="265">
        <v>15.63008</v>
      </c>
      <c r="E50" s="265">
        <v>2.9921219</v>
      </c>
      <c r="F50" s="519">
        <f t="shared" si="1"/>
        <v>0.1914335627</v>
      </c>
      <c r="G50" s="22" t="str">
        <f t="shared" si="2"/>
        <v>EV cheaper</v>
      </c>
      <c r="H50" s="520">
        <f>IF(F50&lt;0.75, (1), IF(F50&lt;1, (2/3), (1/3)))</f>
        <v>1</v>
      </c>
    </row>
    <row r="51">
      <c r="A51" s="433" t="s">
        <v>398</v>
      </c>
      <c r="B51" s="265">
        <v>0.176</v>
      </c>
      <c r="C51" s="265">
        <v>1.153</v>
      </c>
      <c r="D51" s="265">
        <v>14.079283</v>
      </c>
      <c r="E51" s="265">
        <v>5.54329952</v>
      </c>
      <c r="F51" s="519">
        <f t="shared" si="1"/>
        <v>0.3937202995</v>
      </c>
      <c r="G51" s="22" t="str">
        <f t="shared" si="2"/>
        <v>EV cheaper</v>
      </c>
      <c r="H51" s="520">
        <f>IF(F51&lt;0.75, 1, IF(F51&lt;1, (2/3), (1/3)))</f>
        <v>1</v>
      </c>
    </row>
    <row r="52">
      <c r="A52" s="433" t="s">
        <v>318</v>
      </c>
      <c r="B52" s="265">
        <v>0.114</v>
      </c>
      <c r="C52" s="265">
        <v>0.816</v>
      </c>
      <c r="D52" s="265">
        <v>9.96417599999999</v>
      </c>
      <c r="E52" s="265">
        <v>3.59054628</v>
      </c>
      <c r="F52" s="519">
        <f t="shared" si="1"/>
        <v>0.3603455298</v>
      </c>
      <c r="G52" s="22" t="str">
        <f t="shared" si="2"/>
        <v>EV cheaper</v>
      </c>
      <c r="H52" s="520">
        <f>IF(F52&lt;0.75, (1), IF(F52&lt;1, (2/3), (1/3)))</f>
        <v>1</v>
      </c>
    </row>
    <row r="53">
      <c r="A53" s="433" t="s">
        <v>405</v>
      </c>
      <c r="B53" s="265">
        <v>0.13</v>
      </c>
      <c r="C53" s="265">
        <v>1.274</v>
      </c>
      <c r="D53" s="265">
        <v>15.556814</v>
      </c>
      <c r="E53" s="265">
        <v>4.0944826</v>
      </c>
      <c r="F53" s="519">
        <f t="shared" si="1"/>
        <v>0.2631954461</v>
      </c>
      <c r="G53" s="22" t="str">
        <f t="shared" si="2"/>
        <v>EV cheaper</v>
      </c>
      <c r="H53" s="520">
        <f>IF(F53&lt;0.75, 1, IF(F53&lt;1, (2/3), (1/3)))</f>
        <v>1</v>
      </c>
    </row>
    <row r="54">
      <c r="A54" s="433" t="s">
        <v>408</v>
      </c>
      <c r="B54" s="265">
        <v>0.043</v>
      </c>
      <c r="C54" s="265">
        <v>1.277</v>
      </c>
      <c r="D54" s="265">
        <v>15.5934469999999</v>
      </c>
      <c r="E54" s="265">
        <v>1.35432885999999</v>
      </c>
      <c r="F54" s="519">
        <f t="shared" si="1"/>
        <v>0.08685243615</v>
      </c>
      <c r="G54" s="22" t="str">
        <f t="shared" si="2"/>
        <v>EV cheaper</v>
      </c>
      <c r="H54" s="520">
        <f>IF(F54&lt;0.75, (1), IF(F54&lt;1, (2/3), (1/3)))</f>
        <v>1</v>
      </c>
    </row>
    <row r="55">
      <c r="A55" s="444" t="s">
        <v>320</v>
      </c>
      <c r="B55" s="350">
        <v>0.112</v>
      </c>
      <c r="C55" s="350">
        <v>1.61</v>
      </c>
      <c r="D55" s="350">
        <v>19.65971</v>
      </c>
      <c r="E55" s="350">
        <v>3.52755424</v>
      </c>
      <c r="F55" s="568">
        <f t="shared" si="1"/>
        <v>0.1794306345</v>
      </c>
      <c r="G55" s="244" t="str">
        <f t="shared" si="2"/>
        <v>EV cheaper</v>
      </c>
      <c r="H55" s="571">
        <f>IF(F55&lt;0.75, 1, IF(F55&lt;1, (2/3), (1/3)))</f>
        <v>1</v>
      </c>
    </row>
    <row r="56">
      <c r="B56" s="572"/>
      <c r="C56" s="572"/>
      <c r="D56" s="572"/>
      <c r="E56" s="572"/>
      <c r="F56" s="483"/>
    </row>
    <row r="57">
      <c r="C57" s="574" t="s">
        <v>615</v>
      </c>
      <c r="D57" s="62"/>
      <c r="E57" s="418" t="s">
        <v>421</v>
      </c>
    </row>
    <row r="58">
      <c r="C58" s="575" t="s">
        <v>422</v>
      </c>
      <c r="D58" s="423">
        <f>MAX(F2:F55)</f>
        <v>3.411352588</v>
      </c>
      <c r="E58" s="576" t="s">
        <v>396</v>
      </c>
    </row>
    <row r="59">
      <c r="C59" s="575" t="s">
        <v>423</v>
      </c>
      <c r="D59" s="423">
        <f>MIN(F2:F55)</f>
        <v>0.0432541854</v>
      </c>
      <c r="E59" s="424" t="s">
        <v>392</v>
      </c>
    </row>
    <row r="60">
      <c r="C60" s="575" t="s">
        <v>424</v>
      </c>
      <c r="D60" s="423">
        <f>AVERAGE(F2:F55)</f>
        <v>0.3828147657</v>
      </c>
    </row>
    <row r="61">
      <c r="C61" s="575" t="s">
        <v>425</v>
      </c>
      <c r="D61" s="423">
        <f>MEDIAN(F2:F55)</f>
        <v>0.2808281032</v>
      </c>
    </row>
    <row r="62">
      <c r="C62" s="577" t="s">
        <v>446</v>
      </c>
      <c r="D62" s="451">
        <f>STDEV(F2:F55)</f>
        <v>0.4634125055</v>
      </c>
    </row>
    <row r="63">
      <c r="B63" s="572"/>
      <c r="C63" s="572"/>
      <c r="D63" s="572"/>
      <c r="E63" s="572"/>
      <c r="F63" s="483"/>
    </row>
    <row r="64">
      <c r="B64" s="572"/>
      <c r="C64" s="578" t="s">
        <v>325</v>
      </c>
      <c r="G64" s="579"/>
    </row>
    <row r="65">
      <c r="B65" s="572"/>
      <c r="C65" s="580" t="str">
        <f t="array" ref="C65:C82">{"INDICATOR INFORMATION";
  "Index Category: "&amp;CHAR(10)&amp;
  "EV Readiness Index - Measures country preparedness to adopt EVs at large scale";
  "";
  "Sub-Category: "&amp;CHAR(10)&amp;
  "EV Affordability";
  "";
  "Indicator Name: "&amp;CHAR(10)&amp;
  "Relative Affordability";
  "";
  "Description: "&amp;CHAR(10)&amp;
  "Compares the cost of operating an EV versus an ICE vehicle over 100 miles, expressed as a ratio of EV to ICE fuel costs";
  "";
  "Calculation Method: "&amp;CHAR(10)&amp;
  "See methodology note";
  "";
  "Scoring Categories: "&amp;CHAR(10)&amp;
  "• EV Pricier (&gt;1) = Low Readiness (1/3)"&amp;CHAR(10)&amp;
  "• Comparable (0.75-1) = Medium Readiness (2/3)"&amp;CHAR(10)&amp;
  "• EV Cheaper (&lt;0.75) = High Readiness (3/3)";
  "";
  "Summary Statistics: "&amp;CHAR(10)&amp;
  "• Maximum: 3.41 (Libya)"&amp;CHAR(10)&amp;
  "• Minimum: 0.04 (Lesotho)"&amp;CHAR(10)&amp;
  "• Average: 0.38"&amp;CHAR(10)&amp;
  "• Median: 0.28"&amp;CHAR(10)&amp;
  "• Standard Deviation: 0.46";
  "";
  "Interpretation: "&amp;CHAR(10)&amp;
  "• Ratio &lt;0.75: EV costs 25% less than ICE"&amp;CHAR(10)&amp;
  "• Ratio 0.75-1: EV and ICE costs comparable"&amp;CHAR(10)&amp;
  "• Ratio &gt;1: EV costs more than ICE";
  "";
  "Data Sources: "&amp;CHAR(10)&amp;
  "• Commercial electricity prices (2022)"&amp;CHAR(10)&amp;
  "• Gasoline pump prices (2022)"}</f>
        <v>INDICATOR INFORMATION</v>
      </c>
      <c r="D65" s="581"/>
      <c r="E65" s="581"/>
      <c r="F65" s="582"/>
      <c r="G65" s="552"/>
    </row>
    <row r="66">
      <c r="B66" s="572"/>
      <c r="C66" s="583" t="s">
        <v>339</v>
      </c>
      <c r="D66" s="572"/>
      <c r="E66" s="572"/>
      <c r="F66" s="483"/>
      <c r="G66" s="275"/>
    </row>
    <row r="67">
      <c r="B67" s="572"/>
      <c r="C67" s="583" t="s">
        <v>126</v>
      </c>
      <c r="D67" s="572"/>
      <c r="E67" s="572"/>
      <c r="F67" s="483"/>
      <c r="G67" s="275"/>
    </row>
    <row r="68">
      <c r="B68" s="572"/>
      <c r="C68" s="583" t="s">
        <v>607</v>
      </c>
      <c r="D68" s="572"/>
      <c r="E68" s="572"/>
      <c r="F68" s="483"/>
      <c r="G68" s="275"/>
    </row>
    <row r="69">
      <c r="B69" s="572"/>
      <c r="C69" s="583" t="s">
        <v>126</v>
      </c>
      <c r="D69" s="572"/>
      <c r="E69" s="572"/>
      <c r="F69" s="483"/>
      <c r="G69" s="275"/>
    </row>
    <row r="70">
      <c r="B70" s="572"/>
      <c r="C70" s="583" t="s">
        <v>616</v>
      </c>
      <c r="D70" s="572"/>
      <c r="E70" s="572"/>
      <c r="F70" s="483"/>
      <c r="G70" s="275"/>
    </row>
    <row r="71">
      <c r="B71" s="572"/>
      <c r="C71" s="583" t="s">
        <v>126</v>
      </c>
      <c r="D71" s="572"/>
      <c r="E71" s="572"/>
      <c r="F71" s="483"/>
      <c r="G71" s="275"/>
    </row>
    <row r="72">
      <c r="B72" s="572"/>
      <c r="C72" s="583" t="s">
        <v>617</v>
      </c>
      <c r="D72" s="572"/>
      <c r="E72" s="572"/>
      <c r="F72" s="483"/>
      <c r="G72" s="275"/>
    </row>
    <row r="73">
      <c r="B73" s="572"/>
      <c r="C73" s="583" t="s">
        <v>126</v>
      </c>
      <c r="D73" s="572"/>
      <c r="E73" s="572"/>
      <c r="F73" s="483"/>
      <c r="G73" s="275"/>
    </row>
    <row r="74">
      <c r="B74" s="572"/>
      <c r="C74" s="583" t="s">
        <v>434</v>
      </c>
      <c r="D74" s="572"/>
      <c r="E74" s="572"/>
      <c r="F74" s="483"/>
      <c r="G74" s="275"/>
    </row>
    <row r="75">
      <c r="B75" s="572"/>
      <c r="C75" s="583" t="s">
        <v>126</v>
      </c>
      <c r="D75" s="572"/>
      <c r="E75" s="572"/>
      <c r="F75" s="483"/>
      <c r="G75" s="275"/>
    </row>
    <row r="76">
      <c r="B76" s="572"/>
      <c r="C76" s="583" t="s">
        <v>618</v>
      </c>
      <c r="D76" s="572"/>
      <c r="E76" s="572"/>
      <c r="F76" s="483"/>
      <c r="G76" s="275"/>
    </row>
    <row r="77">
      <c r="B77" s="572"/>
      <c r="C77" s="583" t="s">
        <v>126</v>
      </c>
      <c r="D77" s="572"/>
      <c r="E77" s="572"/>
      <c r="F77" s="483"/>
      <c r="G77" s="275"/>
    </row>
    <row r="78">
      <c r="B78" s="572"/>
      <c r="C78" s="583" t="s">
        <v>619</v>
      </c>
      <c r="D78" s="572"/>
      <c r="E78" s="572"/>
      <c r="F78" s="483"/>
      <c r="G78" s="275"/>
    </row>
    <row r="79">
      <c r="B79" s="572"/>
      <c r="C79" s="583" t="s">
        <v>126</v>
      </c>
      <c r="D79" s="572"/>
      <c r="E79" s="572"/>
      <c r="F79" s="483"/>
      <c r="G79" s="275"/>
    </row>
    <row r="80">
      <c r="B80" s="572"/>
      <c r="C80" s="583" t="s">
        <v>620</v>
      </c>
      <c r="D80" s="572"/>
      <c r="E80" s="572"/>
      <c r="F80" s="483"/>
      <c r="G80" s="275"/>
    </row>
    <row r="81">
      <c r="B81" s="572"/>
      <c r="C81" s="583" t="s">
        <v>126</v>
      </c>
      <c r="D81" s="572"/>
      <c r="E81" s="572"/>
      <c r="F81" s="483"/>
      <c r="G81" s="275"/>
    </row>
    <row r="82">
      <c r="B82" s="572"/>
      <c r="C82" s="583" t="s">
        <v>621</v>
      </c>
      <c r="D82" s="572"/>
      <c r="E82" s="572"/>
      <c r="F82" s="483"/>
      <c r="G82" s="275"/>
    </row>
    <row r="83">
      <c r="B83" s="572"/>
      <c r="C83" s="584"/>
      <c r="D83" s="585"/>
      <c r="E83" s="585"/>
      <c r="F83" s="586"/>
      <c r="G83" s="275"/>
    </row>
    <row r="84">
      <c r="B84" s="572"/>
      <c r="C84" s="572"/>
      <c r="D84" s="572"/>
      <c r="E84" s="572"/>
      <c r="F84" s="483"/>
    </row>
    <row r="85">
      <c r="B85" s="572"/>
      <c r="C85" s="572"/>
      <c r="D85" s="572"/>
      <c r="E85" s="572"/>
      <c r="F85" s="483"/>
    </row>
    <row r="86">
      <c r="B86" s="572"/>
      <c r="C86" s="572"/>
      <c r="D86" s="572"/>
      <c r="E86" s="572"/>
      <c r="F86" s="483"/>
    </row>
    <row r="87">
      <c r="B87" s="572"/>
      <c r="C87" s="572"/>
      <c r="D87" s="572"/>
      <c r="E87" s="572"/>
      <c r="F87" s="483"/>
    </row>
    <row r="88">
      <c r="B88" s="572"/>
      <c r="C88" s="572"/>
      <c r="D88" s="572"/>
      <c r="E88" s="572"/>
      <c r="F88" s="483"/>
    </row>
    <row r="89">
      <c r="B89" s="572"/>
      <c r="C89" s="572"/>
      <c r="D89" s="572"/>
      <c r="E89" s="572"/>
      <c r="F89" s="483"/>
    </row>
    <row r="90">
      <c r="B90" s="572"/>
      <c r="C90" s="572"/>
      <c r="D90" s="572"/>
      <c r="E90" s="572"/>
      <c r="F90" s="483"/>
    </row>
    <row r="91">
      <c r="B91" s="572"/>
      <c r="C91" s="572"/>
      <c r="D91" s="572"/>
      <c r="E91" s="572"/>
      <c r="F91" s="483"/>
    </row>
    <row r="92">
      <c r="B92" s="572"/>
      <c r="C92" s="572"/>
      <c r="D92" s="572"/>
      <c r="E92" s="572"/>
      <c r="F92" s="483"/>
    </row>
    <row r="93">
      <c r="B93" s="572"/>
      <c r="C93" s="572"/>
      <c r="D93" s="572"/>
      <c r="E93" s="572"/>
      <c r="F93" s="483"/>
    </row>
    <row r="94">
      <c r="B94" s="572"/>
      <c r="C94" s="572"/>
      <c r="D94" s="572"/>
      <c r="E94" s="572"/>
      <c r="F94" s="483"/>
    </row>
    <row r="95">
      <c r="B95" s="572"/>
      <c r="C95" s="572"/>
      <c r="D95" s="572"/>
      <c r="E95" s="572"/>
      <c r="F95" s="483"/>
    </row>
    <row r="96">
      <c r="B96" s="572"/>
      <c r="C96" s="572"/>
      <c r="D96" s="572"/>
      <c r="E96" s="572"/>
      <c r="F96" s="483"/>
    </row>
    <row r="97">
      <c r="B97" s="572"/>
      <c r="C97" s="572"/>
      <c r="D97" s="572"/>
      <c r="E97" s="572"/>
      <c r="F97" s="483"/>
    </row>
    <row r="98">
      <c r="B98" s="572"/>
      <c r="C98" s="572"/>
      <c r="D98" s="572"/>
      <c r="E98" s="572"/>
      <c r="F98" s="483"/>
    </row>
    <row r="99">
      <c r="B99" s="572"/>
      <c r="C99" s="572"/>
      <c r="D99" s="572"/>
      <c r="E99" s="572"/>
      <c r="F99" s="483"/>
    </row>
    <row r="100">
      <c r="B100" s="572"/>
      <c r="C100" s="572"/>
      <c r="D100" s="572"/>
      <c r="E100" s="572"/>
      <c r="F100" s="483"/>
    </row>
    <row r="101">
      <c r="B101" s="572"/>
      <c r="C101" s="572"/>
      <c r="D101" s="572"/>
      <c r="E101" s="572"/>
      <c r="F101" s="483"/>
    </row>
    <row r="102">
      <c r="B102" s="572"/>
      <c r="C102" s="572"/>
      <c r="D102" s="572"/>
      <c r="E102" s="572"/>
      <c r="F102" s="483"/>
    </row>
    <row r="103">
      <c r="B103" s="572"/>
      <c r="C103" s="572"/>
      <c r="D103" s="572"/>
      <c r="E103" s="572"/>
      <c r="F103" s="483"/>
    </row>
    <row r="104">
      <c r="B104" s="572"/>
      <c r="C104" s="572"/>
      <c r="D104" s="572"/>
      <c r="E104" s="572"/>
      <c r="F104" s="483"/>
    </row>
    <row r="105">
      <c r="B105" s="572"/>
      <c r="C105" s="572"/>
      <c r="D105" s="572"/>
      <c r="E105" s="572"/>
      <c r="F105" s="483"/>
    </row>
    <row r="106">
      <c r="B106" s="572"/>
      <c r="C106" s="572"/>
      <c r="D106" s="572"/>
      <c r="E106" s="572"/>
      <c r="F106" s="483"/>
    </row>
    <row r="107">
      <c r="B107" s="572"/>
      <c r="C107" s="572"/>
      <c r="D107" s="572"/>
      <c r="E107" s="572"/>
      <c r="F107" s="483"/>
    </row>
    <row r="108">
      <c r="B108" s="572"/>
      <c r="C108" s="572"/>
      <c r="D108" s="572"/>
      <c r="E108" s="572"/>
      <c r="F108" s="483"/>
    </row>
    <row r="109">
      <c r="B109" s="572"/>
      <c r="C109" s="572"/>
      <c r="D109" s="572"/>
      <c r="E109" s="572"/>
      <c r="F109" s="483"/>
    </row>
    <row r="110">
      <c r="B110" s="572"/>
      <c r="C110" s="572"/>
      <c r="D110" s="572"/>
      <c r="E110" s="572"/>
      <c r="F110" s="483"/>
    </row>
    <row r="111">
      <c r="B111" s="572"/>
      <c r="C111" s="572"/>
      <c r="D111" s="572"/>
      <c r="E111" s="572"/>
      <c r="F111" s="483"/>
    </row>
    <row r="112">
      <c r="B112" s="572"/>
      <c r="C112" s="572"/>
      <c r="D112" s="572"/>
      <c r="E112" s="572"/>
      <c r="F112" s="483"/>
    </row>
    <row r="113">
      <c r="B113" s="572"/>
      <c r="C113" s="572"/>
      <c r="D113" s="572"/>
      <c r="E113" s="572"/>
      <c r="F113" s="483"/>
    </row>
    <row r="114">
      <c r="B114" s="572"/>
      <c r="C114" s="572"/>
      <c r="D114" s="572"/>
      <c r="E114" s="572"/>
      <c r="F114" s="483"/>
    </row>
    <row r="115">
      <c r="B115" s="572"/>
      <c r="C115" s="572"/>
      <c r="D115" s="572"/>
      <c r="E115" s="572"/>
      <c r="F115" s="483"/>
    </row>
    <row r="116">
      <c r="B116" s="572"/>
      <c r="C116" s="572"/>
      <c r="D116" s="572"/>
      <c r="E116" s="572"/>
      <c r="F116" s="483"/>
    </row>
    <row r="117">
      <c r="B117" s="572"/>
      <c r="C117" s="572"/>
      <c r="D117" s="572"/>
      <c r="E117" s="572"/>
      <c r="F117" s="483"/>
    </row>
    <row r="118">
      <c r="B118" s="572"/>
      <c r="C118" s="572"/>
      <c r="D118" s="572"/>
      <c r="E118" s="572"/>
      <c r="F118" s="483"/>
    </row>
    <row r="119">
      <c r="B119" s="572"/>
      <c r="C119" s="572"/>
      <c r="D119" s="572"/>
      <c r="E119" s="572"/>
      <c r="F119" s="483"/>
    </row>
    <row r="120">
      <c r="B120" s="572"/>
      <c r="C120" s="572"/>
      <c r="D120" s="572"/>
      <c r="E120" s="572"/>
      <c r="F120" s="483"/>
    </row>
    <row r="121">
      <c r="B121" s="572"/>
      <c r="C121" s="572"/>
      <c r="D121" s="572"/>
      <c r="E121" s="572"/>
      <c r="F121" s="483"/>
    </row>
    <row r="122">
      <c r="B122" s="572"/>
      <c r="C122" s="572"/>
      <c r="D122" s="572"/>
      <c r="E122" s="572"/>
      <c r="F122" s="483"/>
    </row>
    <row r="123">
      <c r="B123" s="572"/>
      <c r="C123" s="572"/>
      <c r="D123" s="572"/>
      <c r="E123" s="572"/>
      <c r="F123" s="483"/>
    </row>
    <row r="124">
      <c r="B124" s="572"/>
      <c r="C124" s="572"/>
      <c r="D124" s="572"/>
      <c r="E124" s="572"/>
      <c r="F124" s="483"/>
    </row>
    <row r="125">
      <c r="B125" s="572"/>
      <c r="C125" s="572"/>
      <c r="D125" s="572"/>
      <c r="E125" s="572"/>
      <c r="F125" s="483"/>
    </row>
    <row r="126">
      <c r="B126" s="572"/>
      <c r="C126" s="572"/>
      <c r="D126" s="572"/>
      <c r="E126" s="572"/>
      <c r="F126" s="483"/>
    </row>
    <row r="127">
      <c r="B127" s="572"/>
      <c r="C127" s="572"/>
      <c r="D127" s="572"/>
      <c r="E127" s="572"/>
      <c r="F127" s="483"/>
    </row>
    <row r="128">
      <c r="B128" s="572"/>
      <c r="C128" s="572"/>
      <c r="D128" s="572"/>
      <c r="E128" s="572"/>
      <c r="F128" s="483"/>
    </row>
    <row r="129">
      <c r="B129" s="572"/>
      <c r="C129" s="572"/>
      <c r="D129" s="572"/>
      <c r="E129" s="572"/>
      <c r="F129" s="483"/>
    </row>
    <row r="130">
      <c r="B130" s="572"/>
      <c r="C130" s="572"/>
      <c r="D130" s="572"/>
      <c r="E130" s="572"/>
      <c r="F130" s="483"/>
    </row>
    <row r="131">
      <c r="B131" s="572"/>
      <c r="C131" s="572"/>
      <c r="D131" s="572"/>
      <c r="E131" s="572"/>
      <c r="F131" s="483"/>
    </row>
    <row r="132">
      <c r="B132" s="572"/>
      <c r="C132" s="572"/>
      <c r="D132" s="572"/>
      <c r="E132" s="572"/>
      <c r="F132" s="483"/>
    </row>
    <row r="133">
      <c r="B133" s="572"/>
      <c r="C133" s="572"/>
      <c r="D133" s="572"/>
      <c r="E133" s="572"/>
      <c r="F133" s="483"/>
    </row>
    <row r="134">
      <c r="B134" s="572"/>
      <c r="C134" s="572"/>
      <c r="D134" s="572"/>
      <c r="E134" s="572"/>
      <c r="F134" s="483"/>
    </row>
    <row r="135">
      <c r="B135" s="572"/>
      <c r="C135" s="572"/>
      <c r="D135" s="572"/>
      <c r="E135" s="572"/>
      <c r="F135" s="483"/>
    </row>
    <row r="136">
      <c r="B136" s="572"/>
      <c r="C136" s="572"/>
      <c r="D136" s="572"/>
      <c r="E136" s="572"/>
      <c r="F136" s="483"/>
    </row>
    <row r="137">
      <c r="B137" s="572"/>
      <c r="C137" s="572"/>
      <c r="D137" s="572"/>
      <c r="E137" s="572"/>
      <c r="F137" s="483"/>
    </row>
    <row r="138">
      <c r="B138" s="572"/>
      <c r="C138" s="572"/>
      <c r="D138" s="572"/>
      <c r="E138" s="572"/>
      <c r="F138" s="483"/>
    </row>
    <row r="139">
      <c r="B139" s="572"/>
      <c r="C139" s="572"/>
      <c r="D139" s="572"/>
      <c r="E139" s="572"/>
      <c r="F139" s="483"/>
    </row>
    <row r="140">
      <c r="B140" s="572"/>
      <c r="C140" s="572"/>
      <c r="D140" s="572"/>
      <c r="E140" s="572"/>
      <c r="F140" s="483"/>
    </row>
    <row r="141">
      <c r="B141" s="572"/>
      <c r="C141" s="572"/>
      <c r="D141" s="572"/>
      <c r="E141" s="572"/>
      <c r="F141" s="483"/>
    </row>
    <row r="142">
      <c r="B142" s="572"/>
      <c r="C142" s="572"/>
      <c r="D142" s="572"/>
      <c r="E142" s="572"/>
      <c r="F142" s="483"/>
    </row>
    <row r="143">
      <c r="B143" s="572"/>
      <c r="C143" s="572"/>
      <c r="D143" s="572"/>
      <c r="E143" s="572"/>
      <c r="F143" s="483"/>
    </row>
    <row r="144">
      <c r="B144" s="572"/>
      <c r="C144" s="572"/>
      <c r="D144" s="572"/>
      <c r="E144" s="572"/>
      <c r="F144" s="483"/>
    </row>
    <row r="145">
      <c r="B145" s="572"/>
      <c r="C145" s="572"/>
      <c r="D145" s="572"/>
      <c r="E145" s="572"/>
      <c r="F145" s="483"/>
    </row>
    <row r="146">
      <c r="B146" s="572"/>
      <c r="C146" s="572"/>
      <c r="D146" s="572"/>
      <c r="E146" s="572"/>
      <c r="F146" s="483"/>
    </row>
    <row r="147">
      <c r="B147" s="572"/>
      <c r="C147" s="572"/>
      <c r="D147" s="572"/>
      <c r="E147" s="572"/>
      <c r="F147" s="483"/>
    </row>
    <row r="148">
      <c r="B148" s="572"/>
      <c r="C148" s="572"/>
      <c r="D148" s="572"/>
      <c r="E148" s="572"/>
      <c r="F148" s="483"/>
    </row>
    <row r="149">
      <c r="B149" s="572"/>
      <c r="C149" s="572"/>
      <c r="D149" s="572"/>
      <c r="E149" s="572"/>
      <c r="F149" s="483"/>
    </row>
    <row r="150">
      <c r="B150" s="572"/>
      <c r="C150" s="572"/>
      <c r="D150" s="572"/>
      <c r="E150" s="572"/>
      <c r="F150" s="483"/>
    </row>
    <row r="151">
      <c r="B151" s="572"/>
      <c r="C151" s="572"/>
      <c r="D151" s="572"/>
      <c r="E151" s="572"/>
      <c r="F151" s="483"/>
    </row>
    <row r="152">
      <c r="B152" s="572"/>
      <c r="C152" s="572"/>
      <c r="D152" s="572"/>
      <c r="E152" s="572"/>
      <c r="F152" s="483"/>
    </row>
    <row r="153">
      <c r="B153" s="572"/>
      <c r="C153" s="572"/>
      <c r="D153" s="572"/>
      <c r="E153" s="572"/>
      <c r="F153" s="483"/>
    </row>
    <row r="154">
      <c r="B154" s="572"/>
      <c r="C154" s="572"/>
      <c r="D154" s="572"/>
      <c r="E154" s="572"/>
      <c r="F154" s="483"/>
    </row>
    <row r="155">
      <c r="B155" s="572"/>
      <c r="C155" s="572"/>
      <c r="D155" s="572"/>
      <c r="E155" s="572"/>
      <c r="F155" s="483"/>
    </row>
    <row r="156">
      <c r="B156" s="572"/>
      <c r="C156" s="572"/>
      <c r="D156" s="572"/>
      <c r="E156" s="572"/>
      <c r="F156" s="483"/>
    </row>
    <row r="157">
      <c r="B157" s="572"/>
      <c r="C157" s="572"/>
      <c r="D157" s="572"/>
      <c r="E157" s="572"/>
      <c r="F157" s="483"/>
    </row>
    <row r="158">
      <c r="B158" s="572"/>
      <c r="C158" s="572"/>
      <c r="D158" s="572"/>
      <c r="E158" s="572"/>
      <c r="F158" s="483"/>
    </row>
    <row r="159">
      <c r="B159" s="572"/>
      <c r="C159" s="572"/>
      <c r="D159" s="572"/>
      <c r="E159" s="572"/>
      <c r="F159" s="483"/>
    </row>
    <row r="160">
      <c r="B160" s="572"/>
      <c r="C160" s="572"/>
      <c r="D160" s="572"/>
      <c r="E160" s="572"/>
      <c r="F160" s="483"/>
    </row>
    <row r="161">
      <c r="B161" s="572"/>
      <c r="C161" s="572"/>
      <c r="D161" s="572"/>
      <c r="E161" s="572"/>
      <c r="F161" s="483"/>
    </row>
    <row r="162">
      <c r="B162" s="572"/>
      <c r="C162" s="572"/>
      <c r="D162" s="572"/>
      <c r="E162" s="572"/>
      <c r="F162" s="483"/>
    </row>
    <row r="163">
      <c r="B163" s="572"/>
      <c r="C163" s="572"/>
      <c r="D163" s="572"/>
      <c r="E163" s="572"/>
      <c r="F163" s="483"/>
    </row>
    <row r="164">
      <c r="B164" s="572"/>
      <c r="C164" s="572"/>
      <c r="D164" s="572"/>
      <c r="E164" s="572"/>
      <c r="F164" s="483"/>
    </row>
    <row r="165">
      <c r="B165" s="572"/>
      <c r="C165" s="572"/>
      <c r="D165" s="572"/>
      <c r="E165" s="572"/>
      <c r="F165" s="483"/>
    </row>
    <row r="166">
      <c r="B166" s="572"/>
      <c r="C166" s="572"/>
      <c r="D166" s="572"/>
      <c r="E166" s="572"/>
      <c r="F166" s="483"/>
    </row>
    <row r="167">
      <c r="B167" s="572"/>
      <c r="C167" s="572"/>
      <c r="D167" s="572"/>
      <c r="E167" s="572"/>
      <c r="F167" s="483"/>
    </row>
    <row r="168">
      <c r="B168" s="572"/>
      <c r="C168" s="572"/>
      <c r="D168" s="572"/>
      <c r="E168" s="572"/>
      <c r="F168" s="483"/>
    </row>
    <row r="169">
      <c r="B169" s="572"/>
      <c r="C169" s="572"/>
      <c r="D169" s="572"/>
      <c r="E169" s="572"/>
      <c r="F169" s="483"/>
    </row>
    <row r="170">
      <c r="B170" s="572"/>
      <c r="C170" s="572"/>
      <c r="D170" s="572"/>
      <c r="E170" s="572"/>
      <c r="F170" s="483"/>
    </row>
    <row r="171">
      <c r="B171" s="572"/>
      <c r="C171" s="572"/>
      <c r="D171" s="572"/>
      <c r="E171" s="572"/>
      <c r="F171" s="483"/>
    </row>
    <row r="172">
      <c r="B172" s="572"/>
      <c r="C172" s="572"/>
      <c r="D172" s="572"/>
      <c r="E172" s="572"/>
      <c r="F172" s="483"/>
    </row>
    <row r="173">
      <c r="B173" s="572"/>
      <c r="C173" s="572"/>
      <c r="D173" s="572"/>
      <c r="E173" s="572"/>
      <c r="F173" s="483"/>
    </row>
    <row r="174">
      <c r="B174" s="572"/>
      <c r="C174" s="572"/>
      <c r="D174" s="572"/>
      <c r="E174" s="572"/>
      <c r="F174" s="483"/>
    </row>
    <row r="175">
      <c r="B175" s="572"/>
      <c r="C175" s="572"/>
      <c r="D175" s="572"/>
      <c r="E175" s="572"/>
      <c r="F175" s="483"/>
    </row>
    <row r="176">
      <c r="B176" s="572"/>
      <c r="C176" s="572"/>
      <c r="D176" s="572"/>
      <c r="E176" s="572"/>
      <c r="F176" s="483"/>
    </row>
    <row r="177">
      <c r="B177" s="572"/>
      <c r="C177" s="572"/>
      <c r="D177" s="572"/>
      <c r="E177" s="572"/>
      <c r="F177" s="483"/>
    </row>
    <row r="178">
      <c r="B178" s="572"/>
      <c r="C178" s="572"/>
      <c r="D178" s="572"/>
      <c r="E178" s="572"/>
      <c r="F178" s="483"/>
    </row>
    <row r="179">
      <c r="B179" s="572"/>
      <c r="C179" s="572"/>
      <c r="D179" s="572"/>
      <c r="E179" s="572"/>
      <c r="F179" s="483"/>
    </row>
    <row r="180">
      <c r="B180" s="572"/>
      <c r="C180" s="572"/>
      <c r="D180" s="572"/>
      <c r="E180" s="572"/>
      <c r="F180" s="483"/>
    </row>
    <row r="181">
      <c r="B181" s="572"/>
      <c r="C181" s="572"/>
      <c r="D181" s="572"/>
      <c r="E181" s="572"/>
      <c r="F181" s="483"/>
    </row>
    <row r="182">
      <c r="B182" s="572"/>
      <c r="C182" s="572"/>
      <c r="D182" s="572"/>
      <c r="E182" s="572"/>
      <c r="F182" s="483"/>
    </row>
    <row r="183">
      <c r="B183" s="572"/>
      <c r="C183" s="572"/>
      <c r="D183" s="572"/>
      <c r="E183" s="572"/>
      <c r="F183" s="483"/>
    </row>
    <row r="184">
      <c r="B184" s="572"/>
      <c r="C184" s="572"/>
      <c r="D184" s="572"/>
      <c r="E184" s="572"/>
      <c r="F184" s="483"/>
    </row>
    <row r="185">
      <c r="B185" s="572"/>
      <c r="C185" s="572"/>
      <c r="D185" s="572"/>
      <c r="E185" s="572"/>
      <c r="F185" s="483"/>
    </row>
    <row r="186">
      <c r="B186" s="572"/>
      <c r="C186" s="572"/>
      <c r="D186" s="572"/>
      <c r="E186" s="572"/>
      <c r="F186" s="483"/>
    </row>
    <row r="187">
      <c r="B187" s="572"/>
      <c r="C187" s="572"/>
      <c r="D187" s="572"/>
      <c r="E187" s="572"/>
      <c r="F187" s="483"/>
    </row>
    <row r="188">
      <c r="B188" s="572"/>
      <c r="C188" s="572"/>
      <c r="D188" s="572"/>
      <c r="E188" s="572"/>
      <c r="F188" s="483"/>
    </row>
    <row r="189">
      <c r="B189" s="572"/>
      <c r="C189" s="572"/>
      <c r="D189" s="572"/>
      <c r="E189" s="572"/>
      <c r="F189" s="483"/>
    </row>
    <row r="190">
      <c r="B190" s="572"/>
      <c r="C190" s="572"/>
      <c r="D190" s="572"/>
      <c r="E190" s="572"/>
      <c r="F190" s="483"/>
    </row>
    <row r="191">
      <c r="B191" s="572"/>
      <c r="C191" s="572"/>
      <c r="D191" s="572"/>
      <c r="E191" s="572"/>
      <c r="F191" s="483"/>
    </row>
    <row r="192">
      <c r="B192" s="572"/>
      <c r="C192" s="572"/>
      <c r="D192" s="572"/>
      <c r="E192" s="572"/>
      <c r="F192" s="483"/>
    </row>
    <row r="193">
      <c r="B193" s="572"/>
      <c r="C193" s="572"/>
      <c r="D193" s="572"/>
      <c r="E193" s="572"/>
      <c r="F193" s="483"/>
    </row>
    <row r="194">
      <c r="B194" s="572"/>
      <c r="C194" s="572"/>
      <c r="D194" s="572"/>
      <c r="E194" s="572"/>
      <c r="F194" s="483"/>
    </row>
    <row r="195">
      <c r="B195" s="572"/>
      <c r="C195" s="572"/>
      <c r="D195" s="572"/>
      <c r="E195" s="572"/>
      <c r="F195" s="483"/>
    </row>
    <row r="196">
      <c r="B196" s="572"/>
      <c r="C196" s="572"/>
      <c r="D196" s="572"/>
      <c r="E196" s="572"/>
      <c r="F196" s="483"/>
    </row>
    <row r="197">
      <c r="B197" s="572"/>
      <c r="C197" s="572"/>
      <c r="D197" s="572"/>
      <c r="E197" s="572"/>
      <c r="F197" s="483"/>
    </row>
    <row r="198">
      <c r="B198" s="572"/>
      <c r="C198" s="572"/>
      <c r="D198" s="572"/>
      <c r="E198" s="572"/>
      <c r="F198" s="483"/>
    </row>
    <row r="199">
      <c r="B199" s="572"/>
      <c r="C199" s="572"/>
      <c r="D199" s="572"/>
      <c r="E199" s="572"/>
      <c r="F199" s="483"/>
    </row>
    <row r="200">
      <c r="B200" s="572"/>
      <c r="C200" s="572"/>
      <c r="D200" s="572"/>
      <c r="E200" s="572"/>
      <c r="F200" s="483"/>
    </row>
    <row r="201">
      <c r="B201" s="572"/>
      <c r="C201" s="572"/>
      <c r="D201" s="572"/>
      <c r="E201" s="572"/>
      <c r="F201" s="483"/>
    </row>
    <row r="202">
      <c r="B202" s="572"/>
      <c r="C202" s="572"/>
      <c r="D202" s="572"/>
      <c r="E202" s="572"/>
      <c r="F202" s="483"/>
    </row>
    <row r="203">
      <c r="B203" s="572"/>
      <c r="C203" s="572"/>
      <c r="D203" s="572"/>
      <c r="E203" s="572"/>
      <c r="F203" s="483"/>
    </row>
    <row r="204">
      <c r="B204" s="572"/>
      <c r="C204" s="572"/>
      <c r="D204" s="572"/>
      <c r="E204" s="572"/>
      <c r="F204" s="483"/>
    </row>
    <row r="205">
      <c r="B205" s="572"/>
      <c r="C205" s="572"/>
      <c r="D205" s="572"/>
      <c r="E205" s="572"/>
      <c r="F205" s="483"/>
    </row>
    <row r="206">
      <c r="B206" s="572"/>
      <c r="C206" s="572"/>
      <c r="D206" s="572"/>
      <c r="E206" s="572"/>
      <c r="F206" s="483"/>
    </row>
    <row r="207">
      <c r="B207" s="572"/>
      <c r="C207" s="572"/>
      <c r="D207" s="572"/>
      <c r="E207" s="572"/>
      <c r="F207" s="483"/>
    </row>
    <row r="208">
      <c r="B208" s="572"/>
      <c r="C208" s="572"/>
      <c r="D208" s="572"/>
      <c r="E208" s="572"/>
      <c r="F208" s="483"/>
    </row>
    <row r="209">
      <c r="B209" s="572"/>
      <c r="C209" s="572"/>
      <c r="D209" s="572"/>
      <c r="E209" s="572"/>
      <c r="F209" s="483"/>
    </row>
    <row r="210">
      <c r="B210" s="572"/>
      <c r="C210" s="572"/>
      <c r="D210" s="572"/>
      <c r="E210" s="572"/>
      <c r="F210" s="483"/>
    </row>
    <row r="211">
      <c r="B211" s="572"/>
      <c r="C211" s="572"/>
      <c r="D211" s="572"/>
      <c r="E211" s="572"/>
      <c r="F211" s="483"/>
    </row>
    <row r="212">
      <c r="B212" s="572"/>
      <c r="C212" s="572"/>
      <c r="D212" s="572"/>
      <c r="E212" s="572"/>
      <c r="F212" s="483"/>
    </row>
    <row r="213">
      <c r="B213" s="572"/>
      <c r="C213" s="572"/>
      <c r="D213" s="572"/>
      <c r="E213" s="572"/>
      <c r="F213" s="483"/>
    </row>
    <row r="214">
      <c r="B214" s="572"/>
      <c r="C214" s="572"/>
      <c r="D214" s="572"/>
      <c r="E214" s="572"/>
      <c r="F214" s="483"/>
    </row>
    <row r="215">
      <c r="B215" s="572"/>
      <c r="C215" s="572"/>
      <c r="D215" s="572"/>
      <c r="E215" s="572"/>
      <c r="F215" s="483"/>
    </row>
    <row r="216">
      <c r="B216" s="572"/>
      <c r="C216" s="572"/>
      <c r="D216" s="572"/>
      <c r="E216" s="572"/>
      <c r="F216" s="483"/>
    </row>
    <row r="217">
      <c r="B217" s="572"/>
      <c r="C217" s="572"/>
      <c r="D217" s="572"/>
      <c r="E217" s="572"/>
      <c r="F217" s="483"/>
    </row>
    <row r="218">
      <c r="B218" s="572"/>
      <c r="C218" s="572"/>
      <c r="D218" s="572"/>
      <c r="E218" s="572"/>
      <c r="F218" s="483"/>
    </row>
    <row r="219">
      <c r="B219" s="572"/>
      <c r="C219" s="572"/>
      <c r="D219" s="572"/>
      <c r="E219" s="572"/>
      <c r="F219" s="483"/>
    </row>
    <row r="220">
      <c r="B220" s="572"/>
      <c r="C220" s="572"/>
      <c r="D220" s="572"/>
      <c r="E220" s="572"/>
      <c r="F220" s="483"/>
    </row>
    <row r="221">
      <c r="B221" s="572"/>
      <c r="C221" s="572"/>
      <c r="D221" s="572"/>
      <c r="E221" s="572"/>
      <c r="F221" s="483"/>
    </row>
    <row r="222">
      <c r="B222" s="572"/>
      <c r="C222" s="572"/>
      <c r="D222" s="572"/>
      <c r="E222" s="572"/>
      <c r="F222" s="483"/>
    </row>
    <row r="223">
      <c r="B223" s="572"/>
      <c r="C223" s="572"/>
      <c r="D223" s="572"/>
      <c r="E223" s="572"/>
      <c r="F223" s="483"/>
    </row>
    <row r="224">
      <c r="B224" s="572"/>
      <c r="C224" s="572"/>
      <c r="D224" s="572"/>
      <c r="E224" s="572"/>
      <c r="F224" s="483"/>
    </row>
    <row r="225">
      <c r="B225" s="572"/>
      <c r="C225" s="572"/>
      <c r="D225" s="572"/>
      <c r="E225" s="572"/>
      <c r="F225" s="483"/>
    </row>
    <row r="226">
      <c r="B226" s="572"/>
      <c r="C226" s="572"/>
      <c r="D226" s="572"/>
      <c r="E226" s="572"/>
      <c r="F226" s="483"/>
    </row>
    <row r="227">
      <c r="B227" s="572"/>
      <c r="C227" s="572"/>
      <c r="D227" s="572"/>
      <c r="E227" s="572"/>
      <c r="F227" s="483"/>
    </row>
    <row r="228">
      <c r="B228" s="572"/>
      <c r="C228" s="572"/>
      <c r="D228" s="572"/>
      <c r="E228" s="572"/>
      <c r="F228" s="483"/>
    </row>
    <row r="229">
      <c r="B229" s="572"/>
      <c r="C229" s="572"/>
      <c r="D229" s="572"/>
      <c r="E229" s="572"/>
      <c r="F229" s="483"/>
    </row>
    <row r="230">
      <c r="B230" s="572"/>
      <c r="C230" s="572"/>
      <c r="D230" s="572"/>
      <c r="E230" s="572"/>
      <c r="F230" s="483"/>
    </row>
    <row r="231">
      <c r="B231" s="572"/>
      <c r="C231" s="572"/>
      <c r="D231" s="572"/>
      <c r="E231" s="572"/>
      <c r="F231" s="483"/>
    </row>
    <row r="232">
      <c r="B232" s="572"/>
      <c r="C232" s="572"/>
      <c r="D232" s="572"/>
      <c r="E232" s="572"/>
      <c r="F232" s="483"/>
    </row>
    <row r="233">
      <c r="B233" s="572"/>
      <c r="C233" s="572"/>
      <c r="D233" s="572"/>
      <c r="E233" s="572"/>
      <c r="F233" s="483"/>
    </row>
    <row r="234">
      <c r="B234" s="572"/>
      <c r="C234" s="572"/>
      <c r="D234" s="572"/>
      <c r="E234" s="572"/>
      <c r="F234" s="483"/>
    </row>
    <row r="235">
      <c r="B235" s="572"/>
      <c r="C235" s="572"/>
      <c r="D235" s="572"/>
      <c r="E235" s="572"/>
      <c r="F235" s="483"/>
    </row>
    <row r="236">
      <c r="B236" s="572"/>
      <c r="C236" s="572"/>
      <c r="D236" s="572"/>
      <c r="E236" s="572"/>
      <c r="F236" s="483"/>
    </row>
    <row r="237">
      <c r="B237" s="572"/>
      <c r="C237" s="572"/>
      <c r="D237" s="572"/>
      <c r="E237" s="572"/>
      <c r="F237" s="483"/>
    </row>
    <row r="238">
      <c r="B238" s="572"/>
      <c r="C238" s="572"/>
      <c r="D238" s="572"/>
      <c r="E238" s="572"/>
      <c r="F238" s="483"/>
    </row>
    <row r="239">
      <c r="B239" s="572"/>
      <c r="C239" s="572"/>
      <c r="D239" s="572"/>
      <c r="E239" s="572"/>
      <c r="F239" s="483"/>
    </row>
    <row r="240">
      <c r="B240" s="572"/>
      <c r="C240" s="572"/>
      <c r="D240" s="572"/>
      <c r="E240" s="572"/>
      <c r="F240" s="483"/>
    </row>
    <row r="241">
      <c r="B241" s="572"/>
      <c r="C241" s="572"/>
      <c r="D241" s="572"/>
      <c r="E241" s="572"/>
      <c r="F241" s="483"/>
    </row>
    <row r="242">
      <c r="B242" s="572"/>
      <c r="C242" s="572"/>
      <c r="D242" s="572"/>
      <c r="E242" s="572"/>
      <c r="F242" s="483"/>
    </row>
    <row r="243">
      <c r="B243" s="572"/>
      <c r="C243" s="572"/>
      <c r="D243" s="572"/>
      <c r="E243" s="572"/>
      <c r="F243" s="483"/>
    </row>
    <row r="244">
      <c r="B244" s="572"/>
      <c r="C244" s="572"/>
      <c r="D244" s="572"/>
      <c r="E244" s="572"/>
      <c r="F244" s="483"/>
    </row>
    <row r="245">
      <c r="B245" s="572"/>
      <c r="C245" s="572"/>
      <c r="D245" s="572"/>
      <c r="E245" s="572"/>
      <c r="F245" s="483"/>
    </row>
    <row r="246">
      <c r="B246" s="572"/>
      <c r="C246" s="572"/>
      <c r="D246" s="572"/>
      <c r="E246" s="572"/>
      <c r="F246" s="483"/>
    </row>
    <row r="247">
      <c r="B247" s="572"/>
      <c r="C247" s="572"/>
      <c r="D247" s="572"/>
      <c r="E247" s="572"/>
      <c r="F247" s="483"/>
    </row>
    <row r="248">
      <c r="B248" s="572"/>
      <c r="C248" s="572"/>
      <c r="D248" s="572"/>
      <c r="E248" s="572"/>
      <c r="F248" s="483"/>
    </row>
    <row r="249">
      <c r="B249" s="572"/>
      <c r="C249" s="572"/>
      <c r="D249" s="572"/>
      <c r="E249" s="572"/>
      <c r="F249" s="483"/>
    </row>
    <row r="250">
      <c r="B250" s="572"/>
      <c r="C250" s="572"/>
      <c r="D250" s="572"/>
      <c r="E250" s="572"/>
      <c r="F250" s="483"/>
    </row>
    <row r="251">
      <c r="B251" s="572"/>
      <c r="C251" s="572"/>
      <c r="D251" s="572"/>
      <c r="E251" s="572"/>
      <c r="F251" s="483"/>
    </row>
    <row r="252">
      <c r="B252" s="572"/>
      <c r="C252" s="572"/>
      <c r="D252" s="572"/>
      <c r="E252" s="572"/>
      <c r="F252" s="483"/>
    </row>
    <row r="253">
      <c r="B253" s="572"/>
      <c r="C253" s="572"/>
      <c r="D253" s="572"/>
      <c r="E253" s="572"/>
      <c r="F253" s="483"/>
    </row>
    <row r="254">
      <c r="B254" s="572"/>
      <c r="C254" s="572"/>
      <c r="D254" s="572"/>
      <c r="E254" s="572"/>
      <c r="F254" s="483"/>
    </row>
    <row r="255">
      <c r="B255" s="572"/>
      <c r="C255" s="572"/>
      <c r="D255" s="572"/>
      <c r="E255" s="572"/>
      <c r="F255" s="483"/>
    </row>
    <row r="256">
      <c r="B256" s="572"/>
      <c r="C256" s="572"/>
      <c r="D256" s="572"/>
      <c r="E256" s="572"/>
      <c r="F256" s="483"/>
    </row>
    <row r="257">
      <c r="B257" s="572"/>
      <c r="C257" s="572"/>
      <c r="D257" s="572"/>
      <c r="E257" s="572"/>
      <c r="F257" s="483"/>
    </row>
    <row r="258">
      <c r="B258" s="572"/>
      <c r="C258" s="572"/>
      <c r="D258" s="572"/>
      <c r="E258" s="572"/>
      <c r="F258" s="483"/>
    </row>
    <row r="259">
      <c r="B259" s="572"/>
      <c r="C259" s="572"/>
      <c r="D259" s="572"/>
      <c r="E259" s="572"/>
      <c r="F259" s="483"/>
    </row>
    <row r="260">
      <c r="B260" s="572"/>
      <c r="C260" s="572"/>
      <c r="D260" s="572"/>
      <c r="E260" s="572"/>
      <c r="F260" s="483"/>
    </row>
    <row r="261">
      <c r="B261" s="572"/>
      <c r="C261" s="572"/>
      <c r="D261" s="572"/>
      <c r="E261" s="572"/>
      <c r="F261" s="483"/>
    </row>
    <row r="262">
      <c r="B262" s="572"/>
      <c r="C262" s="572"/>
      <c r="D262" s="572"/>
      <c r="E262" s="572"/>
      <c r="F262" s="483"/>
    </row>
    <row r="263">
      <c r="B263" s="572"/>
      <c r="C263" s="572"/>
      <c r="D263" s="572"/>
      <c r="E263" s="572"/>
      <c r="F263" s="483"/>
    </row>
    <row r="264">
      <c r="B264" s="572"/>
      <c r="C264" s="572"/>
      <c r="D264" s="572"/>
      <c r="E264" s="572"/>
      <c r="F264" s="483"/>
    </row>
    <row r="265">
      <c r="B265" s="572"/>
      <c r="C265" s="572"/>
      <c r="D265" s="572"/>
      <c r="E265" s="572"/>
      <c r="F265" s="483"/>
    </row>
    <row r="266">
      <c r="B266" s="572"/>
      <c r="C266" s="572"/>
      <c r="D266" s="572"/>
      <c r="E266" s="572"/>
      <c r="F266" s="483"/>
    </row>
    <row r="267">
      <c r="B267" s="572"/>
      <c r="C267" s="572"/>
      <c r="D267" s="572"/>
      <c r="E267" s="572"/>
      <c r="F267" s="483"/>
    </row>
    <row r="268">
      <c r="B268" s="572"/>
      <c r="C268" s="572"/>
      <c r="D268" s="572"/>
      <c r="E268" s="572"/>
      <c r="F268" s="483"/>
    </row>
    <row r="269">
      <c r="B269" s="572"/>
      <c r="C269" s="572"/>
      <c r="D269" s="572"/>
      <c r="E269" s="572"/>
      <c r="F269" s="483"/>
    </row>
    <row r="270">
      <c r="B270" s="572"/>
      <c r="C270" s="572"/>
      <c r="D270" s="572"/>
      <c r="E270" s="572"/>
      <c r="F270" s="483"/>
    </row>
    <row r="271">
      <c r="B271" s="572"/>
      <c r="C271" s="572"/>
      <c r="D271" s="572"/>
      <c r="E271" s="572"/>
      <c r="F271" s="483"/>
    </row>
    <row r="272">
      <c r="B272" s="572"/>
      <c r="C272" s="572"/>
      <c r="D272" s="572"/>
      <c r="E272" s="572"/>
      <c r="F272" s="483"/>
    </row>
    <row r="273">
      <c r="B273" s="572"/>
      <c r="C273" s="572"/>
      <c r="D273" s="572"/>
      <c r="E273" s="572"/>
      <c r="F273" s="483"/>
    </row>
    <row r="274">
      <c r="B274" s="572"/>
      <c r="C274" s="572"/>
      <c r="D274" s="572"/>
      <c r="E274" s="572"/>
      <c r="F274" s="483"/>
    </row>
    <row r="275">
      <c r="B275" s="572"/>
      <c r="C275" s="572"/>
      <c r="D275" s="572"/>
      <c r="E275" s="572"/>
      <c r="F275" s="483"/>
    </row>
    <row r="276">
      <c r="B276" s="572"/>
      <c r="C276" s="572"/>
      <c r="D276" s="572"/>
      <c r="E276" s="572"/>
      <c r="F276" s="483"/>
    </row>
    <row r="277">
      <c r="B277" s="572"/>
      <c r="C277" s="572"/>
      <c r="D277" s="572"/>
      <c r="E277" s="572"/>
      <c r="F277" s="483"/>
    </row>
    <row r="278">
      <c r="B278" s="572"/>
      <c r="C278" s="572"/>
      <c r="D278" s="572"/>
      <c r="E278" s="572"/>
      <c r="F278" s="483"/>
    </row>
    <row r="279">
      <c r="B279" s="572"/>
      <c r="C279" s="572"/>
      <c r="D279" s="572"/>
      <c r="E279" s="572"/>
      <c r="F279" s="483"/>
    </row>
    <row r="280">
      <c r="B280" s="572"/>
      <c r="C280" s="572"/>
      <c r="D280" s="572"/>
      <c r="E280" s="572"/>
      <c r="F280" s="483"/>
    </row>
    <row r="281">
      <c r="B281" s="572"/>
      <c r="C281" s="572"/>
      <c r="D281" s="572"/>
      <c r="E281" s="572"/>
      <c r="F281" s="483"/>
    </row>
    <row r="282">
      <c r="B282" s="572"/>
      <c r="C282" s="572"/>
      <c r="D282" s="572"/>
      <c r="E282" s="572"/>
      <c r="F282" s="483"/>
    </row>
    <row r="283">
      <c r="B283" s="572"/>
      <c r="C283" s="572"/>
      <c r="D283" s="572"/>
      <c r="E283" s="572"/>
      <c r="F283" s="483"/>
    </row>
    <row r="284">
      <c r="B284" s="572"/>
      <c r="C284" s="572"/>
      <c r="D284" s="572"/>
      <c r="E284" s="572"/>
      <c r="F284" s="483"/>
    </row>
    <row r="285">
      <c r="B285" s="572"/>
      <c r="C285" s="572"/>
      <c r="D285" s="572"/>
      <c r="E285" s="572"/>
      <c r="F285" s="483"/>
    </row>
    <row r="286">
      <c r="B286" s="572"/>
      <c r="C286" s="572"/>
      <c r="D286" s="572"/>
      <c r="E286" s="572"/>
      <c r="F286" s="483"/>
    </row>
    <row r="287">
      <c r="B287" s="572"/>
      <c r="C287" s="572"/>
      <c r="D287" s="572"/>
      <c r="E287" s="572"/>
      <c r="F287" s="483"/>
    </row>
    <row r="288">
      <c r="B288" s="572"/>
      <c r="C288" s="572"/>
      <c r="D288" s="572"/>
      <c r="E288" s="572"/>
      <c r="F288" s="483"/>
    </row>
    <row r="289">
      <c r="B289" s="572"/>
      <c r="C289" s="572"/>
      <c r="D289" s="572"/>
      <c r="E289" s="572"/>
      <c r="F289" s="483"/>
    </row>
    <row r="290">
      <c r="B290" s="572"/>
      <c r="C290" s="572"/>
      <c r="D290" s="572"/>
      <c r="E290" s="572"/>
      <c r="F290" s="483"/>
    </row>
    <row r="291">
      <c r="B291" s="572"/>
      <c r="C291" s="572"/>
      <c r="D291" s="572"/>
      <c r="E291" s="572"/>
      <c r="F291" s="483"/>
    </row>
    <row r="292">
      <c r="B292" s="572"/>
      <c r="C292" s="572"/>
      <c r="D292" s="572"/>
      <c r="E292" s="572"/>
      <c r="F292" s="483"/>
    </row>
    <row r="293">
      <c r="B293" s="572"/>
      <c r="C293" s="572"/>
      <c r="D293" s="572"/>
      <c r="E293" s="572"/>
      <c r="F293" s="483"/>
    </row>
    <row r="294">
      <c r="B294" s="572"/>
      <c r="C294" s="572"/>
      <c r="D294" s="572"/>
      <c r="E294" s="572"/>
      <c r="F294" s="483"/>
    </row>
    <row r="295">
      <c r="B295" s="572"/>
      <c r="C295" s="572"/>
      <c r="D295" s="572"/>
      <c r="E295" s="572"/>
      <c r="F295" s="483"/>
    </row>
    <row r="296">
      <c r="B296" s="572"/>
      <c r="C296" s="572"/>
      <c r="D296" s="572"/>
      <c r="E296" s="572"/>
      <c r="F296" s="483"/>
    </row>
    <row r="297">
      <c r="B297" s="572"/>
      <c r="C297" s="572"/>
      <c r="D297" s="572"/>
      <c r="E297" s="572"/>
      <c r="F297" s="483"/>
    </row>
    <row r="298">
      <c r="B298" s="572"/>
      <c r="C298" s="572"/>
      <c r="D298" s="572"/>
      <c r="E298" s="572"/>
      <c r="F298" s="483"/>
    </row>
    <row r="299">
      <c r="B299" s="572"/>
      <c r="C299" s="572"/>
      <c r="D299" s="572"/>
      <c r="E299" s="572"/>
      <c r="F299" s="483"/>
    </row>
    <row r="300">
      <c r="B300" s="572"/>
      <c r="C300" s="572"/>
      <c r="D300" s="572"/>
      <c r="E300" s="572"/>
      <c r="F300" s="483"/>
    </row>
    <row r="301">
      <c r="B301" s="572"/>
      <c r="C301" s="572"/>
      <c r="D301" s="572"/>
      <c r="E301" s="572"/>
      <c r="F301" s="483"/>
    </row>
    <row r="302">
      <c r="B302" s="572"/>
      <c r="C302" s="572"/>
      <c r="D302" s="572"/>
      <c r="E302" s="572"/>
      <c r="F302" s="483"/>
    </row>
    <row r="303">
      <c r="B303" s="572"/>
      <c r="C303" s="572"/>
      <c r="D303" s="572"/>
      <c r="E303" s="572"/>
      <c r="F303" s="483"/>
    </row>
    <row r="304">
      <c r="B304" s="572"/>
      <c r="C304" s="572"/>
      <c r="D304" s="572"/>
      <c r="E304" s="572"/>
      <c r="F304" s="483"/>
    </row>
    <row r="305">
      <c r="B305" s="572"/>
      <c r="C305" s="572"/>
      <c r="D305" s="572"/>
      <c r="E305" s="572"/>
      <c r="F305" s="483"/>
    </row>
    <row r="306">
      <c r="B306" s="572"/>
      <c r="C306" s="572"/>
      <c r="D306" s="572"/>
      <c r="E306" s="572"/>
      <c r="F306" s="483"/>
    </row>
    <row r="307">
      <c r="B307" s="572"/>
      <c r="C307" s="572"/>
      <c r="D307" s="572"/>
      <c r="E307" s="572"/>
      <c r="F307" s="483"/>
    </row>
    <row r="308">
      <c r="B308" s="572"/>
      <c r="C308" s="572"/>
      <c r="D308" s="572"/>
      <c r="E308" s="572"/>
      <c r="F308" s="483"/>
    </row>
    <row r="309">
      <c r="B309" s="572"/>
      <c r="C309" s="572"/>
      <c r="D309" s="572"/>
      <c r="E309" s="572"/>
      <c r="F309" s="483"/>
    </row>
    <row r="310">
      <c r="B310" s="572"/>
      <c r="C310" s="572"/>
      <c r="D310" s="572"/>
      <c r="E310" s="572"/>
      <c r="F310" s="483"/>
    </row>
    <row r="311">
      <c r="B311" s="572"/>
      <c r="C311" s="572"/>
      <c r="D311" s="572"/>
      <c r="E311" s="572"/>
      <c r="F311" s="483"/>
    </row>
    <row r="312">
      <c r="B312" s="572"/>
      <c r="C312" s="572"/>
      <c r="D312" s="572"/>
      <c r="E312" s="572"/>
      <c r="F312" s="483"/>
    </row>
    <row r="313">
      <c r="B313" s="572"/>
      <c r="C313" s="572"/>
      <c r="D313" s="572"/>
      <c r="E313" s="572"/>
      <c r="F313" s="483"/>
    </row>
    <row r="314">
      <c r="B314" s="572"/>
      <c r="C314" s="572"/>
      <c r="D314" s="572"/>
      <c r="E314" s="572"/>
      <c r="F314" s="483"/>
    </row>
    <row r="315">
      <c r="B315" s="572"/>
      <c r="C315" s="572"/>
      <c r="D315" s="572"/>
      <c r="E315" s="572"/>
      <c r="F315" s="483"/>
    </row>
    <row r="316">
      <c r="B316" s="572"/>
      <c r="C316" s="572"/>
      <c r="D316" s="572"/>
      <c r="E316" s="572"/>
      <c r="F316" s="483"/>
    </row>
    <row r="317">
      <c r="B317" s="572"/>
      <c r="C317" s="572"/>
      <c r="D317" s="572"/>
      <c r="E317" s="572"/>
      <c r="F317" s="483"/>
    </row>
    <row r="318">
      <c r="B318" s="572"/>
      <c r="C318" s="572"/>
      <c r="D318" s="572"/>
      <c r="E318" s="572"/>
      <c r="F318" s="483"/>
    </row>
    <row r="319">
      <c r="B319" s="572"/>
      <c r="C319" s="572"/>
      <c r="D319" s="572"/>
      <c r="E319" s="572"/>
      <c r="F319" s="483"/>
    </row>
    <row r="320">
      <c r="B320" s="572"/>
      <c r="C320" s="572"/>
      <c r="D320" s="572"/>
      <c r="E320" s="572"/>
      <c r="F320" s="483"/>
    </row>
    <row r="321">
      <c r="B321" s="572"/>
      <c r="C321" s="572"/>
      <c r="D321" s="572"/>
      <c r="E321" s="572"/>
      <c r="F321" s="483"/>
    </row>
    <row r="322">
      <c r="B322" s="572"/>
      <c r="C322" s="572"/>
      <c r="D322" s="572"/>
      <c r="E322" s="572"/>
      <c r="F322" s="483"/>
    </row>
    <row r="323">
      <c r="B323" s="572"/>
      <c r="C323" s="572"/>
      <c r="D323" s="572"/>
      <c r="E323" s="572"/>
      <c r="F323" s="483"/>
    </row>
    <row r="324">
      <c r="B324" s="572"/>
      <c r="C324" s="572"/>
      <c r="D324" s="572"/>
      <c r="E324" s="572"/>
      <c r="F324" s="483"/>
    </row>
    <row r="325">
      <c r="B325" s="572"/>
      <c r="C325" s="572"/>
      <c r="D325" s="572"/>
      <c r="E325" s="572"/>
      <c r="F325" s="483"/>
    </row>
    <row r="326">
      <c r="B326" s="572"/>
      <c r="C326" s="572"/>
      <c r="D326" s="572"/>
      <c r="E326" s="572"/>
      <c r="F326" s="483"/>
    </row>
    <row r="327">
      <c r="B327" s="572"/>
      <c r="C327" s="572"/>
      <c r="D327" s="572"/>
      <c r="E327" s="572"/>
      <c r="F327" s="483"/>
    </row>
    <row r="328">
      <c r="B328" s="572"/>
      <c r="C328" s="572"/>
      <c r="D328" s="572"/>
      <c r="E328" s="572"/>
      <c r="F328" s="483"/>
    </row>
    <row r="329">
      <c r="B329" s="572"/>
      <c r="C329" s="572"/>
      <c r="D329" s="572"/>
      <c r="E329" s="572"/>
      <c r="F329" s="483"/>
    </row>
    <row r="330">
      <c r="B330" s="572"/>
      <c r="C330" s="572"/>
      <c r="D330" s="572"/>
      <c r="E330" s="572"/>
      <c r="F330" s="483"/>
    </row>
    <row r="331">
      <c r="B331" s="572"/>
      <c r="C331" s="572"/>
      <c r="D331" s="572"/>
      <c r="E331" s="572"/>
      <c r="F331" s="483"/>
    </row>
    <row r="332">
      <c r="B332" s="572"/>
      <c r="C332" s="572"/>
      <c r="D332" s="572"/>
      <c r="E332" s="572"/>
      <c r="F332" s="483"/>
    </row>
    <row r="333">
      <c r="B333" s="572"/>
      <c r="C333" s="572"/>
      <c r="D333" s="572"/>
      <c r="E333" s="572"/>
      <c r="F333" s="483"/>
    </row>
    <row r="334">
      <c r="B334" s="572"/>
      <c r="C334" s="572"/>
      <c r="D334" s="572"/>
      <c r="E334" s="572"/>
      <c r="F334" s="483"/>
    </row>
    <row r="335">
      <c r="B335" s="572"/>
      <c r="C335" s="572"/>
      <c r="D335" s="572"/>
      <c r="E335" s="572"/>
      <c r="F335" s="483"/>
    </row>
    <row r="336">
      <c r="B336" s="572"/>
      <c r="C336" s="572"/>
      <c r="D336" s="572"/>
      <c r="E336" s="572"/>
      <c r="F336" s="483"/>
    </row>
    <row r="337">
      <c r="B337" s="572"/>
      <c r="C337" s="572"/>
      <c r="D337" s="572"/>
      <c r="E337" s="572"/>
      <c r="F337" s="483"/>
    </row>
    <row r="338">
      <c r="B338" s="572"/>
      <c r="C338" s="572"/>
      <c r="D338" s="572"/>
      <c r="E338" s="572"/>
      <c r="F338" s="483"/>
    </row>
    <row r="339">
      <c r="B339" s="572"/>
      <c r="C339" s="572"/>
      <c r="D339" s="572"/>
      <c r="E339" s="572"/>
      <c r="F339" s="483"/>
    </row>
    <row r="340">
      <c r="B340" s="572"/>
      <c r="C340" s="572"/>
      <c r="D340" s="572"/>
      <c r="E340" s="572"/>
      <c r="F340" s="483"/>
    </row>
    <row r="341">
      <c r="B341" s="572"/>
      <c r="C341" s="572"/>
      <c r="D341" s="572"/>
      <c r="E341" s="572"/>
      <c r="F341" s="483"/>
    </row>
    <row r="342">
      <c r="B342" s="572"/>
      <c r="C342" s="572"/>
      <c r="D342" s="572"/>
      <c r="E342" s="572"/>
      <c r="F342" s="483"/>
    </row>
    <row r="343">
      <c r="B343" s="572"/>
      <c r="C343" s="572"/>
      <c r="D343" s="572"/>
      <c r="E343" s="572"/>
      <c r="F343" s="483"/>
    </row>
    <row r="344">
      <c r="B344" s="572"/>
      <c r="C344" s="572"/>
      <c r="D344" s="572"/>
      <c r="E344" s="572"/>
      <c r="F344" s="483"/>
    </row>
    <row r="345">
      <c r="B345" s="572"/>
      <c r="C345" s="572"/>
      <c r="D345" s="572"/>
      <c r="E345" s="572"/>
      <c r="F345" s="483"/>
    </row>
    <row r="346">
      <c r="B346" s="572"/>
      <c r="C346" s="572"/>
      <c r="D346" s="572"/>
      <c r="E346" s="572"/>
      <c r="F346" s="483"/>
    </row>
    <row r="347">
      <c r="B347" s="572"/>
      <c r="C347" s="572"/>
      <c r="D347" s="572"/>
      <c r="E347" s="572"/>
      <c r="F347" s="483"/>
    </row>
    <row r="348">
      <c r="B348" s="572"/>
      <c r="C348" s="572"/>
      <c r="D348" s="572"/>
      <c r="E348" s="572"/>
      <c r="F348" s="483"/>
    </row>
    <row r="349">
      <c r="B349" s="572"/>
      <c r="C349" s="572"/>
      <c r="D349" s="572"/>
      <c r="E349" s="572"/>
      <c r="F349" s="483"/>
    </row>
    <row r="350">
      <c r="B350" s="572"/>
      <c r="C350" s="572"/>
      <c r="D350" s="572"/>
      <c r="E350" s="572"/>
      <c r="F350" s="483"/>
    </row>
    <row r="351">
      <c r="B351" s="572"/>
      <c r="C351" s="572"/>
      <c r="D351" s="572"/>
      <c r="E351" s="572"/>
      <c r="F351" s="483"/>
    </row>
    <row r="352">
      <c r="B352" s="572"/>
      <c r="C352" s="572"/>
      <c r="D352" s="572"/>
      <c r="E352" s="572"/>
      <c r="F352" s="483"/>
    </row>
    <row r="353">
      <c r="B353" s="572"/>
      <c r="C353" s="572"/>
      <c r="D353" s="572"/>
      <c r="E353" s="572"/>
      <c r="F353" s="483"/>
    </row>
    <row r="354">
      <c r="B354" s="572"/>
      <c r="C354" s="572"/>
      <c r="D354" s="572"/>
      <c r="E354" s="572"/>
      <c r="F354" s="483"/>
    </row>
    <row r="355">
      <c r="B355" s="572"/>
      <c r="C355" s="572"/>
      <c r="D355" s="572"/>
      <c r="E355" s="572"/>
      <c r="F355" s="483"/>
    </row>
    <row r="356">
      <c r="B356" s="572"/>
      <c r="C356" s="572"/>
      <c r="D356" s="572"/>
      <c r="E356" s="572"/>
      <c r="F356" s="483"/>
    </row>
    <row r="357">
      <c r="B357" s="572"/>
      <c r="C357" s="572"/>
      <c r="D357" s="572"/>
      <c r="E357" s="572"/>
      <c r="F357" s="483"/>
    </row>
    <row r="358">
      <c r="B358" s="572"/>
      <c r="C358" s="572"/>
      <c r="D358" s="572"/>
      <c r="E358" s="572"/>
      <c r="F358" s="483"/>
    </row>
    <row r="359">
      <c r="B359" s="572"/>
      <c r="C359" s="572"/>
      <c r="D359" s="572"/>
      <c r="E359" s="572"/>
      <c r="F359" s="483"/>
    </row>
    <row r="360">
      <c r="B360" s="572"/>
      <c r="C360" s="572"/>
      <c r="D360" s="572"/>
      <c r="E360" s="572"/>
      <c r="F360" s="483"/>
    </row>
    <row r="361">
      <c r="B361" s="572"/>
      <c r="C361" s="572"/>
      <c r="D361" s="572"/>
      <c r="E361" s="572"/>
      <c r="F361" s="483"/>
    </row>
    <row r="362">
      <c r="B362" s="572"/>
      <c r="C362" s="572"/>
      <c r="D362" s="572"/>
      <c r="E362" s="572"/>
      <c r="F362" s="483"/>
    </row>
    <row r="363">
      <c r="B363" s="572"/>
      <c r="C363" s="572"/>
      <c r="D363" s="572"/>
      <c r="E363" s="572"/>
      <c r="F363" s="483"/>
    </row>
    <row r="364">
      <c r="B364" s="572"/>
      <c r="C364" s="572"/>
      <c r="D364" s="572"/>
      <c r="E364" s="572"/>
      <c r="F364" s="483"/>
    </row>
    <row r="365">
      <c r="B365" s="572"/>
      <c r="C365" s="572"/>
      <c r="D365" s="572"/>
      <c r="E365" s="572"/>
      <c r="F365" s="483"/>
    </row>
    <row r="366">
      <c r="B366" s="572"/>
      <c r="C366" s="572"/>
      <c r="D366" s="572"/>
      <c r="E366" s="572"/>
      <c r="F366" s="483"/>
    </row>
    <row r="367">
      <c r="B367" s="572"/>
      <c r="C367" s="572"/>
      <c r="D367" s="572"/>
      <c r="E367" s="572"/>
      <c r="F367" s="483"/>
    </row>
    <row r="368">
      <c r="B368" s="572"/>
      <c r="C368" s="572"/>
      <c r="D368" s="572"/>
      <c r="E368" s="572"/>
      <c r="F368" s="483"/>
    </row>
    <row r="369">
      <c r="B369" s="572"/>
      <c r="C369" s="572"/>
      <c r="D369" s="572"/>
      <c r="E369" s="572"/>
      <c r="F369" s="483"/>
    </row>
    <row r="370">
      <c r="B370" s="572"/>
      <c r="C370" s="572"/>
      <c r="D370" s="572"/>
      <c r="E370" s="572"/>
      <c r="F370" s="483"/>
    </row>
    <row r="371">
      <c r="B371" s="572"/>
      <c r="C371" s="572"/>
      <c r="D371" s="572"/>
      <c r="E371" s="572"/>
      <c r="F371" s="483"/>
    </row>
    <row r="372">
      <c r="B372" s="572"/>
      <c r="C372" s="572"/>
      <c r="D372" s="572"/>
      <c r="E372" s="572"/>
      <c r="F372" s="483"/>
    </row>
    <row r="373">
      <c r="B373" s="572"/>
      <c r="C373" s="572"/>
      <c r="D373" s="572"/>
      <c r="E373" s="572"/>
      <c r="F373" s="483"/>
    </row>
    <row r="374">
      <c r="B374" s="572"/>
      <c r="C374" s="572"/>
      <c r="D374" s="572"/>
      <c r="E374" s="572"/>
      <c r="F374" s="483"/>
    </row>
    <row r="375">
      <c r="B375" s="572"/>
      <c r="C375" s="572"/>
      <c r="D375" s="572"/>
      <c r="E375" s="572"/>
      <c r="F375" s="483"/>
    </row>
    <row r="376">
      <c r="B376" s="572"/>
      <c r="C376" s="572"/>
      <c r="D376" s="572"/>
      <c r="E376" s="572"/>
      <c r="F376" s="483"/>
    </row>
    <row r="377">
      <c r="B377" s="572"/>
      <c r="C377" s="572"/>
      <c r="D377" s="572"/>
      <c r="E377" s="572"/>
      <c r="F377" s="483"/>
    </row>
    <row r="378">
      <c r="B378" s="572"/>
      <c r="C378" s="572"/>
      <c r="D378" s="572"/>
      <c r="E378" s="572"/>
      <c r="F378" s="483"/>
    </row>
    <row r="379">
      <c r="B379" s="572"/>
      <c r="C379" s="572"/>
      <c r="D379" s="572"/>
      <c r="E379" s="572"/>
      <c r="F379" s="483"/>
    </row>
    <row r="380">
      <c r="B380" s="572"/>
      <c r="C380" s="572"/>
      <c r="D380" s="572"/>
      <c r="E380" s="572"/>
      <c r="F380" s="483"/>
    </row>
    <row r="381">
      <c r="B381" s="572"/>
      <c r="C381" s="572"/>
      <c r="D381" s="572"/>
      <c r="E381" s="572"/>
      <c r="F381" s="483"/>
    </row>
    <row r="382">
      <c r="B382" s="572"/>
      <c r="C382" s="572"/>
      <c r="D382" s="572"/>
      <c r="E382" s="572"/>
      <c r="F382" s="483"/>
    </row>
    <row r="383">
      <c r="B383" s="572"/>
      <c r="C383" s="572"/>
      <c r="D383" s="572"/>
      <c r="E383" s="572"/>
      <c r="F383" s="483"/>
    </row>
    <row r="384">
      <c r="B384" s="572"/>
      <c r="C384" s="572"/>
      <c r="D384" s="572"/>
      <c r="E384" s="572"/>
      <c r="F384" s="483"/>
    </row>
    <row r="385">
      <c r="B385" s="572"/>
      <c r="C385" s="572"/>
      <c r="D385" s="572"/>
      <c r="E385" s="572"/>
      <c r="F385" s="483"/>
    </row>
    <row r="386">
      <c r="B386" s="572"/>
      <c r="C386" s="572"/>
      <c r="D386" s="572"/>
      <c r="E386" s="572"/>
      <c r="F386" s="483"/>
    </row>
    <row r="387">
      <c r="B387" s="572"/>
      <c r="C387" s="572"/>
      <c r="D387" s="572"/>
      <c r="E387" s="572"/>
      <c r="F387" s="483"/>
    </row>
    <row r="388">
      <c r="B388" s="572"/>
      <c r="C388" s="572"/>
      <c r="D388" s="572"/>
      <c r="E388" s="572"/>
      <c r="F388" s="483"/>
    </row>
    <row r="389">
      <c r="B389" s="572"/>
      <c r="C389" s="572"/>
      <c r="D389" s="572"/>
      <c r="E389" s="572"/>
      <c r="F389" s="483"/>
    </row>
    <row r="390">
      <c r="B390" s="572"/>
      <c r="C390" s="572"/>
      <c r="D390" s="572"/>
      <c r="E390" s="572"/>
      <c r="F390" s="483"/>
    </row>
    <row r="391">
      <c r="B391" s="572"/>
      <c r="C391" s="572"/>
      <c r="D391" s="572"/>
      <c r="E391" s="572"/>
      <c r="F391" s="483"/>
    </row>
    <row r="392">
      <c r="B392" s="572"/>
      <c r="C392" s="572"/>
      <c r="D392" s="572"/>
      <c r="E392" s="572"/>
      <c r="F392" s="483"/>
    </row>
    <row r="393">
      <c r="B393" s="572"/>
      <c r="C393" s="572"/>
      <c r="D393" s="572"/>
      <c r="E393" s="572"/>
      <c r="F393" s="483"/>
    </row>
    <row r="394">
      <c r="B394" s="572"/>
      <c r="C394" s="572"/>
      <c r="D394" s="572"/>
      <c r="E394" s="572"/>
      <c r="F394" s="483"/>
    </row>
    <row r="395">
      <c r="B395" s="572"/>
      <c r="C395" s="572"/>
      <c r="D395" s="572"/>
      <c r="E395" s="572"/>
      <c r="F395" s="483"/>
    </row>
    <row r="396">
      <c r="B396" s="572"/>
      <c r="C396" s="572"/>
      <c r="D396" s="572"/>
      <c r="E396" s="572"/>
      <c r="F396" s="483"/>
    </row>
    <row r="397">
      <c r="B397" s="572"/>
      <c r="C397" s="572"/>
      <c r="D397" s="572"/>
      <c r="E397" s="572"/>
      <c r="F397" s="483"/>
    </row>
    <row r="398">
      <c r="B398" s="572"/>
      <c r="C398" s="572"/>
      <c r="D398" s="572"/>
      <c r="E398" s="572"/>
      <c r="F398" s="483"/>
    </row>
    <row r="399">
      <c r="B399" s="572"/>
      <c r="C399" s="572"/>
      <c r="D399" s="572"/>
      <c r="E399" s="572"/>
      <c r="F399" s="483"/>
    </row>
    <row r="400">
      <c r="B400" s="572"/>
      <c r="C400" s="572"/>
      <c r="D400" s="572"/>
      <c r="E400" s="572"/>
      <c r="F400" s="483"/>
    </row>
    <row r="401">
      <c r="B401" s="572"/>
      <c r="C401" s="572"/>
      <c r="D401" s="572"/>
      <c r="E401" s="572"/>
      <c r="F401" s="483"/>
    </row>
    <row r="402">
      <c r="B402" s="572"/>
      <c r="C402" s="572"/>
      <c r="D402" s="572"/>
      <c r="E402" s="572"/>
      <c r="F402" s="483"/>
    </row>
    <row r="403">
      <c r="B403" s="572"/>
      <c r="C403" s="572"/>
      <c r="D403" s="572"/>
      <c r="E403" s="572"/>
      <c r="F403" s="483"/>
    </row>
    <row r="404">
      <c r="B404" s="572"/>
      <c r="C404" s="572"/>
      <c r="D404" s="572"/>
      <c r="E404" s="572"/>
      <c r="F404" s="483"/>
    </row>
    <row r="405">
      <c r="B405" s="572"/>
      <c r="C405" s="572"/>
      <c r="D405" s="572"/>
      <c r="E405" s="572"/>
      <c r="F405" s="483"/>
    </row>
    <row r="406">
      <c r="B406" s="572"/>
      <c r="C406" s="572"/>
      <c r="D406" s="572"/>
      <c r="E406" s="572"/>
      <c r="F406" s="483"/>
    </row>
    <row r="407">
      <c r="B407" s="572"/>
      <c r="C407" s="572"/>
      <c r="D407" s="572"/>
      <c r="E407" s="572"/>
      <c r="F407" s="483"/>
    </row>
    <row r="408">
      <c r="B408" s="572"/>
      <c r="C408" s="572"/>
      <c r="D408" s="572"/>
      <c r="E408" s="572"/>
      <c r="F408" s="483"/>
    </row>
    <row r="409">
      <c r="B409" s="572"/>
      <c r="C409" s="572"/>
      <c r="D409" s="572"/>
      <c r="E409" s="572"/>
      <c r="F409" s="483"/>
    </row>
    <row r="410">
      <c r="B410" s="572"/>
      <c r="C410" s="572"/>
      <c r="D410" s="572"/>
      <c r="E410" s="572"/>
      <c r="F410" s="483"/>
    </row>
    <row r="411">
      <c r="B411" s="572"/>
      <c r="C411" s="572"/>
      <c r="D411" s="572"/>
      <c r="E411" s="572"/>
      <c r="F411" s="483"/>
    </row>
    <row r="412">
      <c r="B412" s="572"/>
      <c r="C412" s="572"/>
      <c r="D412" s="572"/>
      <c r="E412" s="572"/>
      <c r="F412" s="483"/>
    </row>
    <row r="413">
      <c r="B413" s="572"/>
      <c r="C413" s="572"/>
      <c r="D413" s="572"/>
      <c r="E413" s="572"/>
      <c r="F413" s="483"/>
    </row>
    <row r="414">
      <c r="B414" s="572"/>
      <c r="C414" s="572"/>
      <c r="D414" s="572"/>
      <c r="E414" s="572"/>
      <c r="F414" s="483"/>
    </row>
    <row r="415">
      <c r="B415" s="572"/>
      <c r="C415" s="572"/>
      <c r="D415" s="572"/>
      <c r="E415" s="572"/>
      <c r="F415" s="483"/>
    </row>
    <row r="416">
      <c r="B416" s="572"/>
      <c r="C416" s="572"/>
      <c r="D416" s="572"/>
      <c r="E416" s="572"/>
      <c r="F416" s="483"/>
    </row>
    <row r="417">
      <c r="B417" s="572"/>
      <c r="C417" s="572"/>
      <c r="D417" s="572"/>
      <c r="E417" s="572"/>
      <c r="F417" s="483"/>
    </row>
    <row r="418">
      <c r="B418" s="572"/>
      <c r="C418" s="572"/>
      <c r="D418" s="572"/>
      <c r="E418" s="572"/>
      <c r="F418" s="483"/>
    </row>
    <row r="419">
      <c r="B419" s="572"/>
      <c r="C419" s="572"/>
      <c r="D419" s="572"/>
      <c r="E419" s="572"/>
      <c r="F419" s="483"/>
    </row>
    <row r="420">
      <c r="B420" s="572"/>
      <c r="C420" s="572"/>
      <c r="D420" s="572"/>
      <c r="E420" s="572"/>
      <c r="F420" s="483"/>
    </row>
    <row r="421">
      <c r="B421" s="572"/>
      <c r="C421" s="572"/>
      <c r="D421" s="572"/>
      <c r="E421" s="572"/>
      <c r="F421" s="483"/>
    </row>
    <row r="422">
      <c r="B422" s="572"/>
      <c r="C422" s="572"/>
      <c r="D422" s="572"/>
      <c r="E422" s="572"/>
      <c r="F422" s="483"/>
    </row>
    <row r="423">
      <c r="B423" s="572"/>
      <c r="C423" s="572"/>
      <c r="D423" s="572"/>
      <c r="E423" s="572"/>
      <c r="F423" s="483"/>
    </row>
    <row r="424">
      <c r="B424" s="572"/>
      <c r="C424" s="572"/>
      <c r="D424" s="572"/>
      <c r="E424" s="572"/>
      <c r="F424" s="483"/>
    </row>
    <row r="425">
      <c r="B425" s="572"/>
      <c r="C425" s="572"/>
      <c r="D425" s="572"/>
      <c r="E425" s="572"/>
      <c r="F425" s="483"/>
    </row>
    <row r="426">
      <c r="B426" s="572"/>
      <c r="C426" s="572"/>
      <c r="D426" s="572"/>
      <c r="E426" s="572"/>
      <c r="F426" s="483"/>
    </row>
    <row r="427">
      <c r="B427" s="572"/>
      <c r="C427" s="572"/>
      <c r="D427" s="572"/>
      <c r="E427" s="572"/>
      <c r="F427" s="483"/>
    </row>
    <row r="428">
      <c r="B428" s="572"/>
      <c r="C428" s="572"/>
      <c r="D428" s="572"/>
      <c r="E428" s="572"/>
      <c r="F428" s="483"/>
    </row>
    <row r="429">
      <c r="B429" s="572"/>
      <c r="C429" s="572"/>
      <c r="D429" s="572"/>
      <c r="E429" s="572"/>
      <c r="F429" s="483"/>
    </row>
    <row r="430">
      <c r="B430" s="572"/>
      <c r="C430" s="572"/>
      <c r="D430" s="572"/>
      <c r="E430" s="572"/>
      <c r="F430" s="483"/>
    </row>
    <row r="431">
      <c r="B431" s="572"/>
      <c r="C431" s="572"/>
      <c r="D431" s="572"/>
      <c r="E431" s="572"/>
      <c r="F431" s="483"/>
    </row>
    <row r="432">
      <c r="B432" s="572"/>
      <c r="C432" s="572"/>
      <c r="D432" s="572"/>
      <c r="E432" s="572"/>
      <c r="F432" s="483"/>
    </row>
    <row r="433">
      <c r="B433" s="572"/>
      <c r="C433" s="572"/>
      <c r="D433" s="572"/>
      <c r="E433" s="572"/>
      <c r="F433" s="483"/>
    </row>
    <row r="434">
      <c r="B434" s="572"/>
      <c r="C434" s="572"/>
      <c r="D434" s="572"/>
      <c r="E434" s="572"/>
      <c r="F434" s="483"/>
    </row>
    <row r="435">
      <c r="B435" s="572"/>
      <c r="C435" s="572"/>
      <c r="D435" s="572"/>
      <c r="E435" s="572"/>
      <c r="F435" s="483"/>
    </row>
    <row r="436">
      <c r="B436" s="572"/>
      <c r="C436" s="572"/>
      <c r="D436" s="572"/>
      <c r="E436" s="572"/>
      <c r="F436" s="483"/>
    </row>
    <row r="437">
      <c r="B437" s="572"/>
      <c r="C437" s="572"/>
      <c r="D437" s="572"/>
      <c r="E437" s="572"/>
      <c r="F437" s="483"/>
    </row>
    <row r="438">
      <c r="B438" s="572"/>
      <c r="C438" s="572"/>
      <c r="D438" s="572"/>
      <c r="E438" s="572"/>
      <c r="F438" s="483"/>
    </row>
    <row r="439">
      <c r="B439" s="572"/>
      <c r="C439" s="572"/>
      <c r="D439" s="572"/>
      <c r="E439" s="572"/>
      <c r="F439" s="483"/>
    </row>
    <row r="440">
      <c r="B440" s="572"/>
      <c r="C440" s="572"/>
      <c r="D440" s="572"/>
      <c r="E440" s="572"/>
      <c r="F440" s="483"/>
    </row>
    <row r="441">
      <c r="B441" s="572"/>
      <c r="C441" s="572"/>
      <c r="D441" s="572"/>
      <c r="E441" s="572"/>
      <c r="F441" s="483"/>
    </row>
    <row r="442">
      <c r="B442" s="572"/>
      <c r="C442" s="572"/>
      <c r="D442" s="572"/>
      <c r="E442" s="572"/>
      <c r="F442" s="483"/>
    </row>
    <row r="443">
      <c r="B443" s="572"/>
      <c r="C443" s="572"/>
      <c r="D443" s="572"/>
      <c r="E443" s="572"/>
      <c r="F443" s="483"/>
    </row>
    <row r="444">
      <c r="B444" s="572"/>
      <c r="C444" s="572"/>
      <c r="D444" s="572"/>
      <c r="E444" s="572"/>
      <c r="F444" s="483"/>
    </row>
    <row r="445">
      <c r="B445" s="572"/>
      <c r="C445" s="572"/>
      <c r="D445" s="572"/>
      <c r="E445" s="572"/>
      <c r="F445" s="483"/>
    </row>
    <row r="446">
      <c r="B446" s="572"/>
      <c r="C446" s="572"/>
      <c r="D446" s="572"/>
      <c r="E446" s="572"/>
      <c r="F446" s="483"/>
    </row>
    <row r="447">
      <c r="B447" s="572"/>
      <c r="C447" s="572"/>
      <c r="D447" s="572"/>
      <c r="E447" s="572"/>
      <c r="F447" s="483"/>
    </row>
    <row r="448">
      <c r="B448" s="572"/>
      <c r="C448" s="572"/>
      <c r="D448" s="572"/>
      <c r="E448" s="572"/>
      <c r="F448" s="483"/>
    </row>
    <row r="449">
      <c r="B449" s="572"/>
      <c r="C449" s="572"/>
      <c r="D449" s="572"/>
      <c r="E449" s="572"/>
      <c r="F449" s="483"/>
    </row>
    <row r="450">
      <c r="B450" s="572"/>
      <c r="C450" s="572"/>
      <c r="D450" s="572"/>
      <c r="E450" s="572"/>
      <c r="F450" s="483"/>
    </row>
    <row r="451">
      <c r="B451" s="572"/>
      <c r="C451" s="572"/>
      <c r="D451" s="572"/>
      <c r="E451" s="572"/>
      <c r="F451" s="483"/>
    </row>
    <row r="452">
      <c r="B452" s="572"/>
      <c r="C452" s="572"/>
      <c r="D452" s="572"/>
      <c r="E452" s="572"/>
      <c r="F452" s="483"/>
    </row>
    <row r="453">
      <c r="B453" s="572"/>
      <c r="C453" s="572"/>
      <c r="D453" s="572"/>
      <c r="E453" s="572"/>
      <c r="F453" s="483"/>
    </row>
    <row r="454">
      <c r="B454" s="572"/>
      <c r="C454" s="572"/>
      <c r="D454" s="572"/>
      <c r="E454" s="572"/>
      <c r="F454" s="483"/>
    </row>
    <row r="455">
      <c r="B455" s="572"/>
      <c r="C455" s="572"/>
      <c r="D455" s="572"/>
      <c r="E455" s="572"/>
      <c r="F455" s="483"/>
    </row>
    <row r="456">
      <c r="B456" s="572"/>
      <c r="C456" s="572"/>
      <c r="D456" s="572"/>
      <c r="E456" s="572"/>
      <c r="F456" s="483"/>
    </row>
    <row r="457">
      <c r="B457" s="572"/>
      <c r="C457" s="572"/>
      <c r="D457" s="572"/>
      <c r="E457" s="572"/>
      <c r="F457" s="483"/>
    </row>
    <row r="458">
      <c r="B458" s="572"/>
      <c r="C458" s="572"/>
      <c r="D458" s="572"/>
      <c r="E458" s="572"/>
      <c r="F458" s="483"/>
    </row>
    <row r="459">
      <c r="B459" s="572"/>
      <c r="C459" s="572"/>
      <c r="D459" s="572"/>
      <c r="E459" s="572"/>
      <c r="F459" s="483"/>
    </row>
    <row r="460">
      <c r="B460" s="572"/>
      <c r="C460" s="572"/>
      <c r="D460" s="572"/>
      <c r="E460" s="572"/>
      <c r="F460" s="483"/>
    </row>
    <row r="461">
      <c r="B461" s="572"/>
      <c r="C461" s="572"/>
      <c r="D461" s="572"/>
      <c r="E461" s="572"/>
      <c r="F461" s="483"/>
    </row>
    <row r="462">
      <c r="B462" s="572"/>
      <c r="C462" s="572"/>
      <c r="D462" s="572"/>
      <c r="E462" s="572"/>
      <c r="F462" s="483"/>
    </row>
    <row r="463">
      <c r="B463" s="572"/>
      <c r="C463" s="572"/>
      <c r="D463" s="572"/>
      <c r="E463" s="572"/>
      <c r="F463" s="483"/>
    </row>
    <row r="464">
      <c r="B464" s="572"/>
      <c r="C464" s="572"/>
      <c r="D464" s="572"/>
      <c r="E464" s="572"/>
      <c r="F464" s="483"/>
    </row>
    <row r="465">
      <c r="B465" s="572"/>
      <c r="C465" s="572"/>
      <c r="D465" s="572"/>
      <c r="E465" s="572"/>
      <c r="F465" s="483"/>
    </row>
    <row r="466">
      <c r="B466" s="572"/>
      <c r="C466" s="572"/>
      <c r="D466" s="572"/>
      <c r="E466" s="572"/>
      <c r="F466" s="483"/>
    </row>
    <row r="467">
      <c r="B467" s="572"/>
      <c r="C467" s="572"/>
      <c r="D467" s="572"/>
      <c r="E467" s="572"/>
      <c r="F467" s="483"/>
    </row>
    <row r="468">
      <c r="B468" s="572"/>
      <c r="C468" s="572"/>
      <c r="D468" s="572"/>
      <c r="E468" s="572"/>
      <c r="F468" s="483"/>
    </row>
    <row r="469">
      <c r="B469" s="572"/>
      <c r="C469" s="572"/>
      <c r="D469" s="572"/>
      <c r="E469" s="572"/>
      <c r="F469" s="483"/>
    </row>
    <row r="470">
      <c r="B470" s="572"/>
      <c r="C470" s="572"/>
      <c r="D470" s="572"/>
      <c r="E470" s="572"/>
      <c r="F470" s="483"/>
    </row>
    <row r="471">
      <c r="B471" s="572"/>
      <c r="C471" s="572"/>
      <c r="D471" s="572"/>
      <c r="E471" s="572"/>
      <c r="F471" s="483"/>
    </row>
    <row r="472">
      <c r="B472" s="572"/>
      <c r="C472" s="572"/>
      <c r="D472" s="572"/>
      <c r="E472" s="572"/>
      <c r="F472" s="483"/>
    </row>
    <row r="473">
      <c r="B473" s="572"/>
      <c r="C473" s="572"/>
      <c r="D473" s="572"/>
      <c r="E473" s="572"/>
      <c r="F473" s="483"/>
    </row>
    <row r="474">
      <c r="B474" s="572"/>
      <c r="C474" s="572"/>
      <c r="D474" s="572"/>
      <c r="E474" s="572"/>
      <c r="F474" s="483"/>
    </row>
    <row r="475">
      <c r="B475" s="572"/>
      <c r="C475" s="572"/>
      <c r="D475" s="572"/>
      <c r="E475" s="572"/>
      <c r="F475" s="483"/>
    </row>
    <row r="476">
      <c r="B476" s="572"/>
      <c r="C476" s="572"/>
      <c r="D476" s="572"/>
      <c r="E476" s="572"/>
      <c r="F476" s="483"/>
    </row>
    <row r="477">
      <c r="B477" s="572"/>
      <c r="C477" s="572"/>
      <c r="D477" s="572"/>
      <c r="E477" s="572"/>
      <c r="F477" s="483"/>
    </row>
    <row r="478">
      <c r="B478" s="572"/>
      <c r="C478" s="572"/>
      <c r="D478" s="572"/>
      <c r="E478" s="572"/>
      <c r="F478" s="483"/>
    </row>
    <row r="479">
      <c r="B479" s="572"/>
      <c r="C479" s="572"/>
      <c r="D479" s="572"/>
      <c r="E479" s="572"/>
      <c r="F479" s="483"/>
    </row>
    <row r="480">
      <c r="B480" s="572"/>
      <c r="C480" s="572"/>
      <c r="D480" s="572"/>
      <c r="E480" s="572"/>
      <c r="F480" s="483"/>
    </row>
    <row r="481">
      <c r="B481" s="572"/>
      <c r="C481" s="572"/>
      <c r="D481" s="572"/>
      <c r="E481" s="572"/>
      <c r="F481" s="483"/>
    </row>
    <row r="482">
      <c r="B482" s="572"/>
      <c r="C482" s="572"/>
      <c r="D482" s="572"/>
      <c r="E482" s="572"/>
      <c r="F482" s="483"/>
    </row>
    <row r="483">
      <c r="B483" s="572"/>
      <c r="C483" s="572"/>
      <c r="D483" s="572"/>
      <c r="E483" s="572"/>
      <c r="F483" s="483"/>
    </row>
    <row r="484">
      <c r="B484" s="572"/>
      <c r="C484" s="572"/>
      <c r="D484" s="572"/>
      <c r="E484" s="572"/>
      <c r="F484" s="483"/>
    </row>
    <row r="485">
      <c r="B485" s="572"/>
      <c r="C485" s="572"/>
      <c r="D485" s="572"/>
      <c r="E485" s="572"/>
      <c r="F485" s="483"/>
    </row>
    <row r="486">
      <c r="B486" s="572"/>
      <c r="C486" s="572"/>
      <c r="D486" s="572"/>
      <c r="E486" s="572"/>
      <c r="F486" s="483"/>
    </row>
    <row r="487">
      <c r="B487" s="572"/>
      <c r="C487" s="572"/>
      <c r="D487" s="572"/>
      <c r="E487" s="572"/>
      <c r="F487" s="483"/>
    </row>
    <row r="488">
      <c r="B488" s="572"/>
      <c r="C488" s="572"/>
      <c r="D488" s="572"/>
      <c r="E488" s="572"/>
      <c r="F488" s="483"/>
    </row>
    <row r="489">
      <c r="B489" s="572"/>
      <c r="C489" s="572"/>
      <c r="D489" s="572"/>
      <c r="E489" s="572"/>
      <c r="F489" s="483"/>
    </row>
    <row r="490">
      <c r="B490" s="572"/>
      <c r="C490" s="572"/>
      <c r="D490" s="572"/>
      <c r="E490" s="572"/>
      <c r="F490" s="483"/>
    </row>
    <row r="491">
      <c r="B491" s="572"/>
      <c r="C491" s="572"/>
      <c r="D491" s="572"/>
      <c r="E491" s="572"/>
      <c r="F491" s="483"/>
    </row>
    <row r="492">
      <c r="B492" s="572"/>
      <c r="C492" s="572"/>
      <c r="D492" s="572"/>
      <c r="E492" s="572"/>
      <c r="F492" s="483"/>
    </row>
    <row r="493">
      <c r="B493" s="572"/>
      <c r="C493" s="572"/>
      <c r="D493" s="572"/>
      <c r="E493" s="572"/>
      <c r="F493" s="483"/>
    </row>
    <row r="494">
      <c r="B494" s="572"/>
      <c r="C494" s="572"/>
      <c r="D494" s="572"/>
      <c r="E494" s="572"/>
      <c r="F494" s="483"/>
    </row>
    <row r="495">
      <c r="B495" s="572"/>
      <c r="C495" s="572"/>
      <c r="D495" s="572"/>
      <c r="E495" s="572"/>
      <c r="F495" s="483"/>
    </row>
    <row r="496">
      <c r="B496" s="572"/>
      <c r="C496" s="572"/>
      <c r="D496" s="572"/>
      <c r="E496" s="572"/>
      <c r="F496" s="483"/>
    </row>
    <row r="497">
      <c r="B497" s="572"/>
      <c r="C497" s="572"/>
      <c r="D497" s="572"/>
      <c r="E497" s="572"/>
      <c r="F497" s="483"/>
    </row>
    <row r="498">
      <c r="B498" s="572"/>
      <c r="C498" s="572"/>
      <c r="D498" s="572"/>
      <c r="E498" s="572"/>
      <c r="F498" s="483"/>
    </row>
    <row r="499">
      <c r="B499" s="572"/>
      <c r="C499" s="572"/>
      <c r="D499" s="572"/>
      <c r="E499" s="572"/>
      <c r="F499" s="483"/>
    </row>
    <row r="500">
      <c r="B500" s="572"/>
      <c r="C500" s="572"/>
      <c r="D500" s="572"/>
      <c r="E500" s="572"/>
      <c r="F500" s="483"/>
    </row>
    <row r="501">
      <c r="B501" s="572"/>
      <c r="C501" s="572"/>
      <c r="D501" s="572"/>
      <c r="E501" s="572"/>
      <c r="F501" s="483"/>
    </row>
    <row r="502">
      <c r="B502" s="572"/>
      <c r="C502" s="572"/>
      <c r="D502" s="572"/>
      <c r="E502" s="572"/>
      <c r="F502" s="483"/>
    </row>
    <row r="503">
      <c r="B503" s="572"/>
      <c r="C503" s="572"/>
      <c r="D503" s="572"/>
      <c r="E503" s="572"/>
      <c r="F503" s="483"/>
    </row>
    <row r="504">
      <c r="B504" s="572"/>
      <c r="C504" s="572"/>
      <c r="D504" s="572"/>
      <c r="E504" s="572"/>
      <c r="F504" s="483"/>
    </row>
    <row r="505">
      <c r="B505" s="572"/>
      <c r="C505" s="572"/>
      <c r="D505" s="572"/>
      <c r="E505" s="572"/>
      <c r="F505" s="483"/>
    </row>
    <row r="506">
      <c r="B506" s="572"/>
      <c r="C506" s="572"/>
      <c r="D506" s="572"/>
      <c r="E506" s="572"/>
      <c r="F506" s="483"/>
    </row>
    <row r="507">
      <c r="B507" s="572"/>
      <c r="C507" s="572"/>
      <c r="D507" s="572"/>
      <c r="E507" s="572"/>
      <c r="F507" s="483"/>
    </row>
    <row r="508">
      <c r="B508" s="572"/>
      <c r="C508" s="572"/>
      <c r="D508" s="572"/>
      <c r="E508" s="572"/>
      <c r="F508" s="483"/>
    </row>
    <row r="509">
      <c r="B509" s="572"/>
      <c r="C509" s="572"/>
      <c r="D509" s="572"/>
      <c r="E509" s="572"/>
      <c r="F509" s="483"/>
    </row>
    <row r="510">
      <c r="B510" s="572"/>
      <c r="C510" s="572"/>
      <c r="D510" s="572"/>
      <c r="E510" s="572"/>
      <c r="F510" s="483"/>
    </row>
    <row r="511">
      <c r="B511" s="572"/>
      <c r="C511" s="572"/>
      <c r="D511" s="572"/>
      <c r="E511" s="572"/>
      <c r="F511" s="483"/>
    </row>
    <row r="512">
      <c r="B512" s="572"/>
      <c r="C512" s="572"/>
      <c r="D512" s="572"/>
      <c r="E512" s="572"/>
      <c r="F512" s="483"/>
    </row>
    <row r="513">
      <c r="B513" s="572"/>
      <c r="C513" s="572"/>
      <c r="D513" s="572"/>
      <c r="E513" s="572"/>
      <c r="F513" s="483"/>
    </row>
    <row r="514">
      <c r="B514" s="572"/>
      <c r="C514" s="572"/>
      <c r="D514" s="572"/>
      <c r="E514" s="572"/>
      <c r="F514" s="483"/>
    </row>
    <row r="515">
      <c r="B515" s="572"/>
      <c r="C515" s="572"/>
      <c r="D515" s="572"/>
      <c r="E515" s="572"/>
      <c r="F515" s="483"/>
    </row>
    <row r="516">
      <c r="B516" s="572"/>
      <c r="C516" s="572"/>
      <c r="D516" s="572"/>
      <c r="E516" s="572"/>
      <c r="F516" s="483"/>
    </row>
    <row r="517">
      <c r="B517" s="572"/>
      <c r="C517" s="572"/>
      <c r="D517" s="572"/>
      <c r="E517" s="572"/>
      <c r="F517" s="483"/>
    </row>
    <row r="518">
      <c r="B518" s="572"/>
      <c r="C518" s="572"/>
      <c r="D518" s="572"/>
      <c r="E518" s="572"/>
      <c r="F518" s="483"/>
    </row>
    <row r="519">
      <c r="B519" s="572"/>
      <c r="C519" s="572"/>
      <c r="D519" s="572"/>
      <c r="E519" s="572"/>
      <c r="F519" s="483"/>
    </row>
    <row r="520">
      <c r="B520" s="572"/>
      <c r="C520" s="572"/>
      <c r="D520" s="572"/>
      <c r="E520" s="572"/>
      <c r="F520" s="483"/>
    </row>
    <row r="521">
      <c r="B521" s="572"/>
      <c r="C521" s="572"/>
      <c r="D521" s="572"/>
      <c r="E521" s="572"/>
      <c r="F521" s="483"/>
    </row>
    <row r="522">
      <c r="B522" s="572"/>
      <c r="C522" s="572"/>
      <c r="D522" s="572"/>
      <c r="E522" s="572"/>
      <c r="F522" s="483"/>
    </row>
    <row r="523">
      <c r="B523" s="572"/>
      <c r="C523" s="572"/>
      <c r="D523" s="572"/>
      <c r="E523" s="572"/>
      <c r="F523" s="483"/>
    </row>
    <row r="524">
      <c r="B524" s="572"/>
      <c r="C524" s="572"/>
      <c r="D524" s="572"/>
      <c r="E524" s="572"/>
      <c r="F524" s="483"/>
    </row>
    <row r="525">
      <c r="B525" s="572"/>
      <c r="C525" s="572"/>
      <c r="D525" s="572"/>
      <c r="E525" s="572"/>
      <c r="F525" s="483"/>
    </row>
    <row r="526">
      <c r="B526" s="572"/>
      <c r="C526" s="572"/>
      <c r="D526" s="572"/>
      <c r="E526" s="572"/>
      <c r="F526" s="483"/>
    </row>
    <row r="527">
      <c r="B527" s="572"/>
      <c r="C527" s="572"/>
      <c r="D527" s="572"/>
      <c r="E527" s="572"/>
      <c r="F527" s="483"/>
    </row>
    <row r="528">
      <c r="B528" s="572"/>
      <c r="C528" s="572"/>
      <c r="D528" s="572"/>
      <c r="E528" s="572"/>
      <c r="F528" s="483"/>
    </row>
    <row r="529">
      <c r="B529" s="572"/>
      <c r="C529" s="572"/>
      <c r="D529" s="572"/>
      <c r="E529" s="572"/>
      <c r="F529" s="483"/>
    </row>
    <row r="530">
      <c r="B530" s="572"/>
      <c r="C530" s="572"/>
      <c r="D530" s="572"/>
      <c r="E530" s="572"/>
      <c r="F530" s="483"/>
    </row>
    <row r="531">
      <c r="B531" s="572"/>
      <c r="C531" s="572"/>
      <c r="D531" s="572"/>
      <c r="E531" s="572"/>
      <c r="F531" s="483"/>
    </row>
    <row r="532">
      <c r="B532" s="572"/>
      <c r="C532" s="572"/>
      <c r="D532" s="572"/>
      <c r="E532" s="572"/>
      <c r="F532" s="483"/>
    </row>
    <row r="533">
      <c r="B533" s="572"/>
      <c r="C533" s="572"/>
      <c r="D533" s="572"/>
      <c r="E533" s="572"/>
      <c r="F533" s="483"/>
    </row>
    <row r="534">
      <c r="B534" s="572"/>
      <c r="C534" s="572"/>
      <c r="D534" s="572"/>
      <c r="E534" s="572"/>
      <c r="F534" s="483"/>
    </row>
    <row r="535">
      <c r="B535" s="572"/>
      <c r="C535" s="572"/>
      <c r="D535" s="572"/>
      <c r="E535" s="572"/>
      <c r="F535" s="483"/>
    </row>
    <row r="536">
      <c r="B536" s="572"/>
      <c r="C536" s="572"/>
      <c r="D536" s="572"/>
      <c r="E536" s="572"/>
      <c r="F536" s="483"/>
    </row>
    <row r="537">
      <c r="B537" s="572"/>
      <c r="C537" s="572"/>
      <c r="D537" s="572"/>
      <c r="E537" s="572"/>
      <c r="F537" s="483"/>
    </row>
    <row r="538">
      <c r="B538" s="572"/>
      <c r="C538" s="572"/>
      <c r="D538" s="572"/>
      <c r="E538" s="572"/>
      <c r="F538" s="483"/>
    </row>
    <row r="539">
      <c r="B539" s="572"/>
      <c r="C539" s="572"/>
      <c r="D539" s="572"/>
      <c r="E539" s="572"/>
      <c r="F539" s="483"/>
    </row>
    <row r="540">
      <c r="B540" s="572"/>
      <c r="C540" s="572"/>
      <c r="D540" s="572"/>
      <c r="E540" s="572"/>
      <c r="F540" s="483"/>
    </row>
    <row r="541">
      <c r="B541" s="572"/>
      <c r="C541" s="572"/>
      <c r="D541" s="572"/>
      <c r="E541" s="572"/>
      <c r="F541" s="483"/>
    </row>
    <row r="542">
      <c r="B542" s="572"/>
      <c r="C542" s="572"/>
      <c r="D542" s="572"/>
      <c r="E542" s="572"/>
      <c r="F542" s="483"/>
    </row>
    <row r="543">
      <c r="B543" s="572"/>
      <c r="C543" s="572"/>
      <c r="D543" s="572"/>
      <c r="E543" s="572"/>
      <c r="F543" s="483"/>
    </row>
    <row r="544">
      <c r="B544" s="572"/>
      <c r="C544" s="572"/>
      <c r="D544" s="572"/>
      <c r="E544" s="572"/>
      <c r="F544" s="483"/>
    </row>
    <row r="545">
      <c r="B545" s="572"/>
      <c r="C545" s="572"/>
      <c r="D545" s="572"/>
      <c r="E545" s="572"/>
      <c r="F545" s="483"/>
    </row>
    <row r="546">
      <c r="B546" s="572"/>
      <c r="C546" s="572"/>
      <c r="D546" s="572"/>
      <c r="E546" s="572"/>
      <c r="F546" s="483"/>
    </row>
    <row r="547">
      <c r="B547" s="572"/>
      <c r="C547" s="572"/>
      <c r="D547" s="572"/>
      <c r="E547" s="572"/>
      <c r="F547" s="483"/>
    </row>
    <row r="548">
      <c r="B548" s="572"/>
      <c r="C548" s="572"/>
      <c r="D548" s="572"/>
      <c r="E548" s="572"/>
      <c r="F548" s="483"/>
    </row>
    <row r="549">
      <c r="B549" s="572"/>
      <c r="C549" s="572"/>
      <c r="D549" s="572"/>
      <c r="E549" s="572"/>
      <c r="F549" s="483"/>
    </row>
    <row r="550">
      <c r="B550" s="572"/>
      <c r="C550" s="572"/>
      <c r="D550" s="572"/>
      <c r="E550" s="572"/>
      <c r="F550" s="483"/>
    </row>
    <row r="551">
      <c r="B551" s="572"/>
      <c r="C551" s="572"/>
      <c r="D551" s="572"/>
      <c r="E551" s="572"/>
      <c r="F551" s="483"/>
    </row>
    <row r="552">
      <c r="B552" s="572"/>
      <c r="C552" s="572"/>
      <c r="D552" s="572"/>
      <c r="E552" s="572"/>
      <c r="F552" s="483"/>
    </row>
    <row r="553">
      <c r="B553" s="572"/>
      <c r="C553" s="572"/>
      <c r="D553" s="572"/>
      <c r="E553" s="572"/>
      <c r="F553" s="483"/>
    </row>
    <row r="554">
      <c r="B554" s="572"/>
      <c r="C554" s="572"/>
      <c r="D554" s="572"/>
      <c r="E554" s="572"/>
      <c r="F554" s="483"/>
    </row>
    <row r="555">
      <c r="B555" s="572"/>
      <c r="C555" s="572"/>
      <c r="D555" s="572"/>
      <c r="E555" s="572"/>
      <c r="F555" s="483"/>
    </row>
    <row r="556">
      <c r="B556" s="572"/>
      <c r="C556" s="572"/>
      <c r="D556" s="572"/>
      <c r="E556" s="572"/>
      <c r="F556" s="483"/>
    </row>
    <row r="557">
      <c r="B557" s="572"/>
      <c r="C557" s="572"/>
      <c r="D557" s="572"/>
      <c r="E557" s="572"/>
      <c r="F557" s="483"/>
    </row>
    <row r="558">
      <c r="B558" s="572"/>
      <c r="C558" s="572"/>
      <c r="D558" s="572"/>
      <c r="E558" s="572"/>
      <c r="F558" s="483"/>
    </row>
    <row r="559">
      <c r="B559" s="572"/>
      <c r="C559" s="572"/>
      <c r="D559" s="572"/>
      <c r="E559" s="572"/>
      <c r="F559" s="483"/>
    </row>
    <row r="560">
      <c r="B560" s="572"/>
      <c r="C560" s="572"/>
      <c r="D560" s="572"/>
      <c r="E560" s="572"/>
      <c r="F560" s="483"/>
    </row>
    <row r="561">
      <c r="B561" s="572"/>
      <c r="C561" s="572"/>
      <c r="D561" s="572"/>
      <c r="E561" s="572"/>
      <c r="F561" s="483"/>
    </row>
    <row r="562">
      <c r="B562" s="572"/>
      <c r="C562" s="572"/>
      <c r="D562" s="572"/>
      <c r="E562" s="572"/>
      <c r="F562" s="483"/>
    </row>
    <row r="563">
      <c r="B563" s="572"/>
      <c r="C563" s="572"/>
      <c r="D563" s="572"/>
      <c r="E563" s="572"/>
      <c r="F563" s="483"/>
    </row>
    <row r="564">
      <c r="B564" s="572"/>
      <c r="C564" s="572"/>
      <c r="D564" s="572"/>
      <c r="E564" s="572"/>
      <c r="F564" s="483"/>
    </row>
    <row r="565">
      <c r="B565" s="572"/>
      <c r="C565" s="572"/>
      <c r="D565" s="572"/>
      <c r="E565" s="572"/>
      <c r="F565" s="483"/>
    </row>
    <row r="566">
      <c r="B566" s="572"/>
      <c r="C566" s="572"/>
      <c r="D566" s="572"/>
      <c r="E566" s="572"/>
      <c r="F566" s="483"/>
    </row>
    <row r="567">
      <c r="B567" s="572"/>
      <c r="C567" s="572"/>
      <c r="D567" s="572"/>
      <c r="E567" s="572"/>
      <c r="F567" s="483"/>
    </row>
    <row r="568">
      <c r="B568" s="572"/>
      <c r="C568" s="572"/>
      <c r="D568" s="572"/>
      <c r="E568" s="572"/>
      <c r="F568" s="483"/>
    </row>
    <row r="569">
      <c r="B569" s="572"/>
      <c r="C569" s="572"/>
      <c r="D569" s="572"/>
      <c r="E569" s="572"/>
      <c r="F569" s="483"/>
    </row>
    <row r="570">
      <c r="B570" s="572"/>
      <c r="C570" s="572"/>
      <c r="D570" s="572"/>
      <c r="E570" s="572"/>
      <c r="F570" s="483"/>
    </row>
    <row r="571">
      <c r="B571" s="572"/>
      <c r="C571" s="572"/>
      <c r="D571" s="572"/>
      <c r="E571" s="572"/>
      <c r="F571" s="483"/>
    </row>
    <row r="572">
      <c r="B572" s="572"/>
      <c r="C572" s="572"/>
      <c r="D572" s="572"/>
      <c r="E572" s="572"/>
      <c r="F572" s="483"/>
    </row>
    <row r="573">
      <c r="B573" s="572"/>
      <c r="C573" s="572"/>
      <c r="D573" s="572"/>
      <c r="E573" s="572"/>
      <c r="F573" s="483"/>
    </row>
    <row r="574">
      <c r="B574" s="572"/>
      <c r="C574" s="572"/>
      <c r="D574" s="572"/>
      <c r="E574" s="572"/>
      <c r="F574" s="483"/>
    </row>
    <row r="575">
      <c r="B575" s="572"/>
      <c r="C575" s="572"/>
      <c r="D575" s="572"/>
      <c r="E575" s="572"/>
      <c r="F575" s="483"/>
    </row>
    <row r="576">
      <c r="B576" s="572"/>
      <c r="C576" s="572"/>
      <c r="D576" s="572"/>
      <c r="E576" s="572"/>
      <c r="F576" s="483"/>
    </row>
    <row r="577">
      <c r="B577" s="572"/>
      <c r="C577" s="572"/>
      <c r="D577" s="572"/>
      <c r="E577" s="572"/>
      <c r="F577" s="483"/>
    </row>
    <row r="578">
      <c r="B578" s="572"/>
      <c r="C578" s="572"/>
      <c r="D578" s="572"/>
      <c r="E578" s="572"/>
      <c r="F578" s="483"/>
    </row>
    <row r="579">
      <c r="B579" s="572"/>
      <c r="C579" s="572"/>
      <c r="D579" s="572"/>
      <c r="E579" s="572"/>
      <c r="F579" s="483"/>
    </row>
    <row r="580">
      <c r="B580" s="572"/>
      <c r="C580" s="572"/>
      <c r="D580" s="572"/>
      <c r="E580" s="572"/>
      <c r="F580" s="483"/>
    </row>
    <row r="581">
      <c r="B581" s="572"/>
      <c r="C581" s="572"/>
      <c r="D581" s="572"/>
      <c r="E581" s="572"/>
      <c r="F581" s="483"/>
    </row>
    <row r="582">
      <c r="B582" s="572"/>
      <c r="C582" s="572"/>
      <c r="D582" s="572"/>
      <c r="E582" s="572"/>
      <c r="F582" s="483"/>
    </row>
    <row r="583">
      <c r="B583" s="572"/>
      <c r="C583" s="572"/>
      <c r="D583" s="572"/>
      <c r="E583" s="572"/>
      <c r="F583" s="483"/>
    </row>
    <row r="584">
      <c r="B584" s="572"/>
      <c r="C584" s="572"/>
      <c r="D584" s="572"/>
      <c r="E584" s="572"/>
      <c r="F584" s="483"/>
    </row>
    <row r="585">
      <c r="B585" s="572"/>
      <c r="C585" s="572"/>
      <c r="D585" s="572"/>
      <c r="E585" s="572"/>
      <c r="F585" s="483"/>
    </row>
    <row r="586">
      <c r="B586" s="572"/>
      <c r="C586" s="572"/>
      <c r="D586" s="572"/>
      <c r="E586" s="572"/>
      <c r="F586" s="483"/>
    </row>
    <row r="587">
      <c r="B587" s="572"/>
      <c r="C587" s="572"/>
      <c r="D587" s="572"/>
      <c r="E587" s="572"/>
      <c r="F587" s="483"/>
    </row>
    <row r="588">
      <c r="B588" s="572"/>
      <c r="C588" s="572"/>
      <c r="D588" s="572"/>
      <c r="E588" s="572"/>
      <c r="F588" s="483"/>
    </row>
    <row r="589">
      <c r="B589" s="572"/>
      <c r="C589" s="572"/>
      <c r="D589" s="572"/>
      <c r="E589" s="572"/>
      <c r="F589" s="483"/>
    </row>
    <row r="590">
      <c r="B590" s="572"/>
      <c r="C590" s="572"/>
      <c r="D590" s="572"/>
      <c r="E590" s="572"/>
      <c r="F590" s="483"/>
    </row>
    <row r="591">
      <c r="B591" s="572"/>
      <c r="C591" s="572"/>
      <c r="D591" s="572"/>
      <c r="E591" s="572"/>
      <c r="F591" s="483"/>
    </row>
    <row r="592">
      <c r="B592" s="572"/>
      <c r="C592" s="572"/>
      <c r="D592" s="572"/>
      <c r="E592" s="572"/>
      <c r="F592" s="483"/>
    </row>
    <row r="593">
      <c r="B593" s="572"/>
      <c r="C593" s="572"/>
      <c r="D593" s="572"/>
      <c r="E593" s="572"/>
      <c r="F593" s="483"/>
    </row>
    <row r="594">
      <c r="B594" s="572"/>
      <c r="C594" s="572"/>
      <c r="D594" s="572"/>
      <c r="E594" s="572"/>
      <c r="F594" s="483"/>
    </row>
    <row r="595">
      <c r="B595" s="572"/>
      <c r="C595" s="572"/>
      <c r="D595" s="572"/>
      <c r="E595" s="572"/>
      <c r="F595" s="483"/>
    </row>
    <row r="596">
      <c r="B596" s="572"/>
      <c r="C596" s="572"/>
      <c r="D596" s="572"/>
      <c r="E596" s="572"/>
      <c r="F596" s="483"/>
    </row>
    <row r="597">
      <c r="B597" s="572"/>
      <c r="C597" s="572"/>
      <c r="D597" s="572"/>
      <c r="E597" s="572"/>
      <c r="F597" s="483"/>
    </row>
    <row r="598">
      <c r="B598" s="572"/>
      <c r="C598" s="572"/>
      <c r="D598" s="572"/>
      <c r="E598" s="572"/>
      <c r="F598" s="483"/>
    </row>
    <row r="599">
      <c r="B599" s="572"/>
      <c r="C599" s="572"/>
      <c r="D599" s="572"/>
      <c r="E599" s="572"/>
      <c r="F599" s="483"/>
    </row>
    <row r="600">
      <c r="B600" s="572"/>
      <c r="C600" s="572"/>
      <c r="D600" s="572"/>
      <c r="E600" s="572"/>
      <c r="F600" s="483"/>
    </row>
    <row r="601">
      <c r="B601" s="572"/>
      <c r="C601" s="572"/>
      <c r="D601" s="572"/>
      <c r="E601" s="572"/>
      <c r="F601" s="483"/>
    </row>
    <row r="602">
      <c r="B602" s="572"/>
      <c r="C602" s="572"/>
      <c r="D602" s="572"/>
      <c r="E602" s="572"/>
      <c r="F602" s="483"/>
    </row>
    <row r="603">
      <c r="B603" s="572"/>
      <c r="C603" s="572"/>
      <c r="D603" s="572"/>
      <c r="E603" s="572"/>
      <c r="F603" s="483"/>
    </row>
    <row r="604">
      <c r="B604" s="572"/>
      <c r="C604" s="572"/>
      <c r="D604" s="572"/>
      <c r="E604" s="572"/>
      <c r="F604" s="483"/>
    </row>
    <row r="605">
      <c r="B605" s="572"/>
      <c r="C605" s="572"/>
      <c r="D605" s="572"/>
      <c r="E605" s="572"/>
      <c r="F605" s="483"/>
    </row>
    <row r="606">
      <c r="B606" s="572"/>
      <c r="C606" s="572"/>
      <c r="D606" s="572"/>
      <c r="E606" s="572"/>
      <c r="F606" s="483"/>
    </row>
    <row r="607">
      <c r="B607" s="572"/>
      <c r="C607" s="572"/>
      <c r="D607" s="572"/>
      <c r="E607" s="572"/>
      <c r="F607" s="483"/>
    </row>
    <row r="608">
      <c r="B608" s="572"/>
      <c r="C608" s="572"/>
      <c r="D608" s="572"/>
      <c r="E608" s="572"/>
      <c r="F608" s="483"/>
    </row>
    <row r="609">
      <c r="B609" s="572"/>
      <c r="C609" s="572"/>
      <c r="D609" s="572"/>
      <c r="E609" s="572"/>
      <c r="F609" s="483"/>
    </row>
    <row r="610">
      <c r="B610" s="572"/>
      <c r="C610" s="572"/>
      <c r="D610" s="572"/>
      <c r="E610" s="572"/>
      <c r="F610" s="483"/>
    </row>
    <row r="611">
      <c r="B611" s="572"/>
      <c r="C611" s="572"/>
      <c r="D611" s="572"/>
      <c r="E611" s="572"/>
      <c r="F611" s="483"/>
    </row>
    <row r="612">
      <c r="B612" s="572"/>
      <c r="C612" s="572"/>
      <c r="D612" s="572"/>
      <c r="E612" s="572"/>
      <c r="F612" s="483"/>
    </row>
    <row r="613">
      <c r="B613" s="572"/>
      <c r="C613" s="572"/>
      <c r="D613" s="572"/>
      <c r="E613" s="572"/>
      <c r="F613" s="483"/>
    </row>
    <row r="614">
      <c r="B614" s="572"/>
      <c r="C614" s="572"/>
      <c r="D614" s="572"/>
      <c r="E614" s="572"/>
      <c r="F614" s="483"/>
    </row>
    <row r="615">
      <c r="B615" s="572"/>
      <c r="C615" s="572"/>
      <c r="D615" s="572"/>
      <c r="E615" s="572"/>
      <c r="F615" s="483"/>
    </row>
    <row r="616">
      <c r="B616" s="572"/>
      <c r="C616" s="572"/>
      <c r="D616" s="572"/>
      <c r="E616" s="572"/>
      <c r="F616" s="483"/>
    </row>
    <row r="617">
      <c r="B617" s="572"/>
      <c r="C617" s="572"/>
      <c r="D617" s="572"/>
      <c r="E617" s="572"/>
      <c r="F617" s="483"/>
    </row>
    <row r="618">
      <c r="B618" s="572"/>
      <c r="C618" s="572"/>
      <c r="D618" s="572"/>
      <c r="E618" s="572"/>
      <c r="F618" s="483"/>
    </row>
    <row r="619">
      <c r="B619" s="572"/>
      <c r="C619" s="572"/>
      <c r="D619" s="572"/>
      <c r="E619" s="572"/>
      <c r="F619" s="483"/>
    </row>
    <row r="620">
      <c r="B620" s="572"/>
      <c r="C620" s="572"/>
      <c r="D620" s="572"/>
      <c r="E620" s="572"/>
      <c r="F620" s="483"/>
    </row>
    <row r="621">
      <c r="B621" s="572"/>
      <c r="C621" s="572"/>
      <c r="D621" s="572"/>
      <c r="E621" s="572"/>
      <c r="F621" s="483"/>
    </row>
    <row r="622">
      <c r="B622" s="572"/>
      <c r="C622" s="572"/>
      <c r="D622" s="572"/>
      <c r="E622" s="572"/>
      <c r="F622" s="483"/>
    </row>
    <row r="623">
      <c r="B623" s="572"/>
      <c r="C623" s="572"/>
      <c r="D623" s="572"/>
      <c r="E623" s="572"/>
      <c r="F623" s="483"/>
    </row>
    <row r="624">
      <c r="B624" s="572"/>
      <c r="C624" s="572"/>
      <c r="D624" s="572"/>
      <c r="E624" s="572"/>
      <c r="F624" s="483"/>
    </row>
    <row r="625">
      <c r="B625" s="572"/>
      <c r="C625" s="572"/>
      <c r="D625" s="572"/>
      <c r="E625" s="572"/>
      <c r="F625" s="483"/>
    </row>
    <row r="626">
      <c r="B626" s="572"/>
      <c r="C626" s="572"/>
      <c r="D626" s="572"/>
      <c r="E626" s="572"/>
      <c r="F626" s="483"/>
    </row>
    <row r="627">
      <c r="B627" s="572"/>
      <c r="C627" s="572"/>
      <c r="D627" s="572"/>
      <c r="E627" s="572"/>
      <c r="F627" s="483"/>
    </row>
    <row r="628">
      <c r="B628" s="572"/>
      <c r="C628" s="572"/>
      <c r="D628" s="572"/>
      <c r="E628" s="572"/>
      <c r="F628" s="483"/>
    </row>
    <row r="629">
      <c r="B629" s="572"/>
      <c r="C629" s="572"/>
      <c r="D629" s="572"/>
      <c r="E629" s="572"/>
      <c r="F629" s="483"/>
    </row>
    <row r="630">
      <c r="B630" s="572"/>
      <c r="C630" s="572"/>
      <c r="D630" s="572"/>
      <c r="E630" s="572"/>
      <c r="F630" s="483"/>
    </row>
    <row r="631">
      <c r="B631" s="572"/>
      <c r="C631" s="572"/>
      <c r="D631" s="572"/>
      <c r="E631" s="572"/>
      <c r="F631" s="483"/>
    </row>
    <row r="632">
      <c r="B632" s="572"/>
      <c r="C632" s="572"/>
      <c r="D632" s="572"/>
      <c r="E632" s="572"/>
      <c r="F632" s="483"/>
    </row>
    <row r="633">
      <c r="B633" s="572"/>
      <c r="C633" s="572"/>
      <c r="D633" s="572"/>
      <c r="E633" s="572"/>
      <c r="F633" s="483"/>
    </row>
    <row r="634">
      <c r="B634" s="572"/>
      <c r="C634" s="572"/>
      <c r="D634" s="572"/>
      <c r="E634" s="572"/>
      <c r="F634" s="483"/>
    </row>
    <row r="635">
      <c r="B635" s="572"/>
      <c r="C635" s="572"/>
      <c r="D635" s="572"/>
      <c r="E635" s="572"/>
      <c r="F635" s="483"/>
    </row>
    <row r="636">
      <c r="B636" s="572"/>
      <c r="C636" s="572"/>
      <c r="D636" s="572"/>
      <c r="E636" s="572"/>
      <c r="F636" s="483"/>
    </row>
    <row r="637">
      <c r="B637" s="572"/>
      <c r="C637" s="572"/>
      <c r="D637" s="572"/>
      <c r="E637" s="572"/>
      <c r="F637" s="483"/>
    </row>
    <row r="638">
      <c r="B638" s="572"/>
      <c r="C638" s="572"/>
      <c r="D638" s="572"/>
      <c r="E638" s="572"/>
      <c r="F638" s="483"/>
    </row>
    <row r="639">
      <c r="B639" s="572"/>
      <c r="C639" s="572"/>
      <c r="D639" s="572"/>
      <c r="E639" s="572"/>
      <c r="F639" s="483"/>
    </row>
    <row r="640">
      <c r="B640" s="572"/>
      <c r="C640" s="572"/>
      <c r="D640" s="572"/>
      <c r="E640" s="572"/>
      <c r="F640" s="483"/>
    </row>
    <row r="641">
      <c r="B641" s="572"/>
      <c r="C641" s="572"/>
      <c r="D641" s="572"/>
      <c r="E641" s="572"/>
      <c r="F641" s="483"/>
    </row>
    <row r="642">
      <c r="B642" s="572"/>
      <c r="C642" s="572"/>
      <c r="D642" s="572"/>
      <c r="E642" s="572"/>
      <c r="F642" s="483"/>
    </row>
    <row r="643">
      <c r="B643" s="572"/>
      <c r="C643" s="572"/>
      <c r="D643" s="572"/>
      <c r="E643" s="572"/>
      <c r="F643" s="483"/>
    </row>
    <row r="644">
      <c r="B644" s="572"/>
      <c r="C644" s="572"/>
      <c r="D644" s="572"/>
      <c r="E644" s="572"/>
      <c r="F644" s="483"/>
    </row>
    <row r="645">
      <c r="B645" s="572"/>
      <c r="C645" s="572"/>
      <c r="D645" s="572"/>
      <c r="E645" s="572"/>
      <c r="F645" s="483"/>
    </row>
    <row r="646">
      <c r="B646" s="572"/>
      <c r="C646" s="572"/>
      <c r="D646" s="572"/>
      <c r="E646" s="572"/>
      <c r="F646" s="483"/>
    </row>
    <row r="647">
      <c r="B647" s="572"/>
      <c r="C647" s="572"/>
      <c r="D647" s="572"/>
      <c r="E647" s="572"/>
      <c r="F647" s="483"/>
    </row>
    <row r="648">
      <c r="B648" s="572"/>
      <c r="C648" s="572"/>
      <c r="D648" s="572"/>
      <c r="E648" s="572"/>
      <c r="F648" s="483"/>
    </row>
    <row r="649">
      <c r="B649" s="572"/>
      <c r="C649" s="572"/>
      <c r="D649" s="572"/>
      <c r="E649" s="572"/>
      <c r="F649" s="483"/>
    </row>
    <row r="650">
      <c r="B650" s="572"/>
      <c r="C650" s="572"/>
      <c r="D650" s="572"/>
      <c r="E650" s="572"/>
      <c r="F650" s="483"/>
    </row>
    <row r="651">
      <c r="B651" s="572"/>
      <c r="C651" s="572"/>
      <c r="D651" s="572"/>
      <c r="E651" s="572"/>
      <c r="F651" s="483"/>
    </row>
    <row r="652">
      <c r="B652" s="572"/>
      <c r="C652" s="572"/>
      <c r="D652" s="572"/>
      <c r="E652" s="572"/>
      <c r="F652" s="483"/>
    </row>
    <row r="653">
      <c r="B653" s="572"/>
      <c r="C653" s="572"/>
      <c r="D653" s="572"/>
      <c r="E653" s="572"/>
      <c r="F653" s="483"/>
    </row>
    <row r="654">
      <c r="B654" s="572"/>
      <c r="C654" s="572"/>
      <c r="D654" s="572"/>
      <c r="E654" s="572"/>
      <c r="F654" s="483"/>
    </row>
    <row r="655">
      <c r="B655" s="572"/>
      <c r="C655" s="572"/>
      <c r="D655" s="572"/>
      <c r="E655" s="572"/>
      <c r="F655" s="483"/>
    </row>
    <row r="656">
      <c r="B656" s="572"/>
      <c r="C656" s="572"/>
      <c r="D656" s="572"/>
      <c r="E656" s="572"/>
      <c r="F656" s="483"/>
    </row>
    <row r="657">
      <c r="B657" s="572"/>
      <c r="C657" s="572"/>
      <c r="D657" s="572"/>
      <c r="E657" s="572"/>
      <c r="F657" s="483"/>
    </row>
    <row r="658">
      <c r="B658" s="572"/>
      <c r="C658" s="572"/>
      <c r="D658" s="572"/>
      <c r="E658" s="572"/>
      <c r="F658" s="483"/>
    </row>
    <row r="659">
      <c r="B659" s="572"/>
      <c r="C659" s="572"/>
      <c r="D659" s="572"/>
      <c r="E659" s="572"/>
      <c r="F659" s="483"/>
    </row>
    <row r="660">
      <c r="B660" s="572"/>
      <c r="C660" s="572"/>
      <c r="D660" s="572"/>
      <c r="E660" s="572"/>
      <c r="F660" s="483"/>
    </row>
    <row r="661">
      <c r="B661" s="572"/>
      <c r="C661" s="572"/>
      <c r="D661" s="572"/>
      <c r="E661" s="572"/>
      <c r="F661" s="483"/>
    </row>
    <row r="662">
      <c r="B662" s="572"/>
      <c r="C662" s="572"/>
      <c r="D662" s="572"/>
      <c r="E662" s="572"/>
      <c r="F662" s="483"/>
    </row>
    <row r="663">
      <c r="B663" s="572"/>
      <c r="C663" s="572"/>
      <c r="D663" s="572"/>
      <c r="E663" s="572"/>
      <c r="F663" s="483"/>
    </row>
    <row r="664">
      <c r="B664" s="572"/>
      <c r="C664" s="572"/>
      <c r="D664" s="572"/>
      <c r="E664" s="572"/>
      <c r="F664" s="483"/>
    </row>
    <row r="665">
      <c r="B665" s="572"/>
      <c r="C665" s="572"/>
      <c r="D665" s="572"/>
      <c r="E665" s="572"/>
      <c r="F665" s="483"/>
    </row>
    <row r="666">
      <c r="B666" s="572"/>
      <c r="C666" s="572"/>
      <c r="D666" s="572"/>
      <c r="E666" s="572"/>
      <c r="F666" s="483"/>
    </row>
    <row r="667">
      <c r="B667" s="572"/>
      <c r="C667" s="572"/>
      <c r="D667" s="572"/>
      <c r="E667" s="572"/>
      <c r="F667" s="483"/>
    </row>
    <row r="668">
      <c r="B668" s="572"/>
      <c r="C668" s="572"/>
      <c r="D668" s="572"/>
      <c r="E668" s="572"/>
      <c r="F668" s="483"/>
    </row>
    <row r="669">
      <c r="B669" s="572"/>
      <c r="C669" s="572"/>
      <c r="D669" s="572"/>
      <c r="E669" s="572"/>
      <c r="F669" s="483"/>
    </row>
    <row r="670">
      <c r="B670" s="572"/>
      <c r="C670" s="572"/>
      <c r="D670" s="572"/>
      <c r="E670" s="572"/>
      <c r="F670" s="483"/>
    </row>
    <row r="671">
      <c r="B671" s="572"/>
      <c r="C671" s="572"/>
      <c r="D671" s="572"/>
      <c r="E671" s="572"/>
      <c r="F671" s="483"/>
    </row>
    <row r="672">
      <c r="B672" s="572"/>
      <c r="C672" s="572"/>
      <c r="D672" s="572"/>
      <c r="E672" s="572"/>
      <c r="F672" s="483"/>
    </row>
    <row r="673">
      <c r="B673" s="572"/>
      <c r="C673" s="572"/>
      <c r="D673" s="572"/>
      <c r="E673" s="572"/>
      <c r="F673" s="483"/>
    </row>
    <row r="674">
      <c r="B674" s="572"/>
      <c r="C674" s="572"/>
      <c r="D674" s="572"/>
      <c r="E674" s="572"/>
      <c r="F674" s="483"/>
    </row>
    <row r="675">
      <c r="B675" s="572"/>
      <c r="C675" s="572"/>
      <c r="D675" s="572"/>
      <c r="E675" s="572"/>
      <c r="F675" s="483"/>
    </row>
    <row r="676">
      <c r="B676" s="572"/>
      <c r="C676" s="572"/>
      <c r="D676" s="572"/>
      <c r="E676" s="572"/>
      <c r="F676" s="483"/>
    </row>
    <row r="677">
      <c r="B677" s="572"/>
      <c r="C677" s="572"/>
      <c r="D677" s="572"/>
      <c r="E677" s="572"/>
      <c r="F677" s="483"/>
    </row>
    <row r="678">
      <c r="B678" s="572"/>
      <c r="C678" s="572"/>
      <c r="D678" s="572"/>
      <c r="E678" s="572"/>
      <c r="F678" s="483"/>
    </row>
    <row r="679">
      <c r="B679" s="572"/>
      <c r="C679" s="572"/>
      <c r="D679" s="572"/>
      <c r="E679" s="572"/>
      <c r="F679" s="483"/>
    </row>
    <row r="680">
      <c r="B680" s="572"/>
      <c r="C680" s="572"/>
      <c r="D680" s="572"/>
      <c r="E680" s="572"/>
      <c r="F680" s="483"/>
    </row>
    <row r="681">
      <c r="B681" s="572"/>
      <c r="C681" s="572"/>
      <c r="D681" s="572"/>
      <c r="E681" s="572"/>
      <c r="F681" s="483"/>
    </row>
    <row r="682">
      <c r="B682" s="572"/>
      <c r="C682" s="572"/>
      <c r="D682" s="572"/>
      <c r="E682" s="572"/>
      <c r="F682" s="483"/>
    </row>
    <row r="683">
      <c r="B683" s="572"/>
      <c r="C683" s="572"/>
      <c r="D683" s="572"/>
      <c r="E683" s="572"/>
      <c r="F683" s="483"/>
    </row>
    <row r="684">
      <c r="B684" s="572"/>
      <c r="C684" s="572"/>
      <c r="D684" s="572"/>
      <c r="E684" s="572"/>
      <c r="F684" s="483"/>
    </row>
    <row r="685">
      <c r="B685" s="572"/>
      <c r="C685" s="572"/>
      <c r="D685" s="572"/>
      <c r="E685" s="572"/>
      <c r="F685" s="483"/>
    </row>
    <row r="686">
      <c r="B686" s="572"/>
      <c r="C686" s="572"/>
      <c r="D686" s="572"/>
      <c r="E686" s="572"/>
      <c r="F686" s="483"/>
    </row>
    <row r="687">
      <c r="B687" s="572"/>
      <c r="C687" s="572"/>
      <c r="D687" s="572"/>
      <c r="E687" s="572"/>
      <c r="F687" s="483"/>
    </row>
    <row r="688">
      <c r="B688" s="572"/>
      <c r="C688" s="572"/>
      <c r="D688" s="572"/>
      <c r="E688" s="572"/>
      <c r="F688" s="483"/>
    </row>
    <row r="689">
      <c r="B689" s="572"/>
      <c r="C689" s="572"/>
      <c r="D689" s="572"/>
      <c r="E689" s="572"/>
      <c r="F689" s="483"/>
    </row>
    <row r="690">
      <c r="B690" s="572"/>
      <c r="C690" s="572"/>
      <c r="D690" s="572"/>
      <c r="E690" s="572"/>
      <c r="F690" s="483"/>
    </row>
    <row r="691">
      <c r="B691" s="572"/>
      <c r="C691" s="572"/>
      <c r="D691" s="572"/>
      <c r="E691" s="572"/>
      <c r="F691" s="483"/>
    </row>
    <row r="692">
      <c r="B692" s="572"/>
      <c r="C692" s="572"/>
      <c r="D692" s="572"/>
      <c r="E692" s="572"/>
      <c r="F692" s="483"/>
    </row>
    <row r="693">
      <c r="B693" s="572"/>
      <c r="C693" s="572"/>
      <c r="D693" s="572"/>
      <c r="E693" s="572"/>
      <c r="F693" s="483"/>
    </row>
    <row r="694">
      <c r="B694" s="572"/>
      <c r="C694" s="572"/>
      <c r="D694" s="572"/>
      <c r="E694" s="572"/>
      <c r="F694" s="483"/>
    </row>
    <row r="695">
      <c r="B695" s="572"/>
      <c r="C695" s="572"/>
      <c r="D695" s="572"/>
      <c r="E695" s="572"/>
      <c r="F695" s="483"/>
    </row>
    <row r="696">
      <c r="B696" s="572"/>
      <c r="C696" s="572"/>
      <c r="D696" s="572"/>
      <c r="E696" s="572"/>
      <c r="F696" s="483"/>
    </row>
    <row r="697">
      <c r="B697" s="572"/>
      <c r="C697" s="572"/>
      <c r="D697" s="572"/>
      <c r="E697" s="572"/>
      <c r="F697" s="483"/>
    </row>
    <row r="698">
      <c r="B698" s="572"/>
      <c r="C698" s="572"/>
      <c r="D698" s="572"/>
      <c r="E698" s="572"/>
      <c r="F698" s="483"/>
    </row>
    <row r="699">
      <c r="B699" s="572"/>
      <c r="C699" s="572"/>
      <c r="D699" s="572"/>
      <c r="E699" s="572"/>
      <c r="F699" s="483"/>
    </row>
    <row r="700">
      <c r="B700" s="572"/>
      <c r="C700" s="572"/>
      <c r="D700" s="572"/>
      <c r="E700" s="572"/>
      <c r="F700" s="483"/>
    </row>
    <row r="701">
      <c r="B701" s="572"/>
      <c r="C701" s="572"/>
      <c r="D701" s="572"/>
      <c r="E701" s="572"/>
      <c r="F701" s="483"/>
    </row>
    <row r="702">
      <c r="B702" s="572"/>
      <c r="C702" s="572"/>
      <c r="D702" s="572"/>
      <c r="E702" s="572"/>
      <c r="F702" s="483"/>
    </row>
    <row r="703">
      <c r="B703" s="572"/>
      <c r="C703" s="572"/>
      <c r="D703" s="572"/>
      <c r="E703" s="572"/>
      <c r="F703" s="483"/>
    </row>
    <row r="704">
      <c r="B704" s="572"/>
      <c r="C704" s="572"/>
      <c r="D704" s="572"/>
      <c r="E704" s="572"/>
      <c r="F704" s="483"/>
    </row>
    <row r="705">
      <c r="B705" s="572"/>
      <c r="C705" s="572"/>
      <c r="D705" s="572"/>
      <c r="E705" s="572"/>
      <c r="F705" s="483"/>
    </row>
    <row r="706">
      <c r="B706" s="572"/>
      <c r="C706" s="572"/>
      <c r="D706" s="572"/>
      <c r="E706" s="572"/>
      <c r="F706" s="483"/>
    </row>
    <row r="707">
      <c r="B707" s="572"/>
      <c r="C707" s="572"/>
      <c r="D707" s="572"/>
      <c r="E707" s="572"/>
      <c r="F707" s="483"/>
    </row>
    <row r="708">
      <c r="B708" s="572"/>
      <c r="C708" s="572"/>
      <c r="D708" s="572"/>
      <c r="E708" s="572"/>
      <c r="F708" s="483"/>
    </row>
    <row r="709">
      <c r="B709" s="572"/>
      <c r="C709" s="572"/>
      <c r="D709" s="572"/>
      <c r="E709" s="572"/>
      <c r="F709" s="483"/>
    </row>
    <row r="710">
      <c r="B710" s="572"/>
      <c r="C710" s="572"/>
      <c r="D710" s="572"/>
      <c r="E710" s="572"/>
      <c r="F710" s="483"/>
    </row>
    <row r="711">
      <c r="B711" s="572"/>
      <c r="C711" s="572"/>
      <c r="D711" s="572"/>
      <c r="E711" s="572"/>
      <c r="F711" s="483"/>
    </row>
    <row r="712">
      <c r="B712" s="572"/>
      <c r="C712" s="572"/>
      <c r="D712" s="572"/>
      <c r="E712" s="572"/>
      <c r="F712" s="483"/>
    </row>
    <row r="713">
      <c r="B713" s="572"/>
      <c r="C713" s="572"/>
      <c r="D713" s="572"/>
      <c r="E713" s="572"/>
      <c r="F713" s="483"/>
    </row>
    <row r="714">
      <c r="B714" s="572"/>
      <c r="C714" s="572"/>
      <c r="D714" s="572"/>
      <c r="E714" s="572"/>
      <c r="F714" s="483"/>
    </row>
    <row r="715">
      <c r="B715" s="572"/>
      <c r="C715" s="572"/>
      <c r="D715" s="572"/>
      <c r="E715" s="572"/>
      <c r="F715" s="483"/>
    </row>
    <row r="716">
      <c r="B716" s="572"/>
      <c r="C716" s="572"/>
      <c r="D716" s="572"/>
      <c r="E716" s="572"/>
      <c r="F716" s="483"/>
    </row>
    <row r="717">
      <c r="B717" s="572"/>
      <c r="C717" s="572"/>
      <c r="D717" s="572"/>
      <c r="E717" s="572"/>
      <c r="F717" s="483"/>
    </row>
    <row r="718">
      <c r="B718" s="572"/>
      <c r="C718" s="572"/>
      <c r="D718" s="572"/>
      <c r="E718" s="572"/>
      <c r="F718" s="483"/>
    </row>
    <row r="719">
      <c r="B719" s="572"/>
      <c r="C719" s="572"/>
      <c r="D719" s="572"/>
      <c r="E719" s="572"/>
      <c r="F719" s="483"/>
    </row>
    <row r="720">
      <c r="B720" s="572"/>
      <c r="C720" s="572"/>
      <c r="D720" s="572"/>
      <c r="E720" s="572"/>
      <c r="F720" s="483"/>
    </row>
    <row r="721">
      <c r="B721" s="572"/>
      <c r="C721" s="572"/>
      <c r="D721" s="572"/>
      <c r="E721" s="572"/>
      <c r="F721" s="483"/>
    </row>
    <row r="722">
      <c r="B722" s="572"/>
      <c r="C722" s="572"/>
      <c r="D722" s="572"/>
      <c r="E722" s="572"/>
      <c r="F722" s="483"/>
    </row>
    <row r="723">
      <c r="B723" s="572"/>
      <c r="C723" s="572"/>
      <c r="D723" s="572"/>
      <c r="E723" s="572"/>
      <c r="F723" s="483"/>
    </row>
    <row r="724">
      <c r="B724" s="572"/>
      <c r="C724" s="572"/>
      <c r="D724" s="572"/>
      <c r="E724" s="572"/>
      <c r="F724" s="483"/>
    </row>
    <row r="725">
      <c r="B725" s="572"/>
      <c r="C725" s="572"/>
      <c r="D725" s="572"/>
      <c r="E725" s="572"/>
      <c r="F725" s="483"/>
    </row>
    <row r="726">
      <c r="B726" s="572"/>
      <c r="C726" s="572"/>
      <c r="D726" s="572"/>
      <c r="E726" s="572"/>
      <c r="F726" s="483"/>
    </row>
    <row r="727">
      <c r="B727" s="572"/>
      <c r="C727" s="572"/>
      <c r="D727" s="572"/>
      <c r="E727" s="572"/>
      <c r="F727" s="483"/>
    </row>
    <row r="728">
      <c r="B728" s="572"/>
      <c r="C728" s="572"/>
      <c r="D728" s="572"/>
      <c r="E728" s="572"/>
      <c r="F728" s="483"/>
    </row>
    <row r="729">
      <c r="B729" s="572"/>
      <c r="C729" s="572"/>
      <c r="D729" s="572"/>
      <c r="E729" s="572"/>
      <c r="F729" s="483"/>
    </row>
    <row r="730">
      <c r="B730" s="572"/>
      <c r="C730" s="572"/>
      <c r="D730" s="572"/>
      <c r="E730" s="572"/>
      <c r="F730" s="483"/>
    </row>
    <row r="731">
      <c r="B731" s="572"/>
      <c r="C731" s="572"/>
      <c r="D731" s="572"/>
      <c r="E731" s="572"/>
      <c r="F731" s="483"/>
    </row>
    <row r="732">
      <c r="B732" s="572"/>
      <c r="C732" s="572"/>
      <c r="D732" s="572"/>
      <c r="E732" s="572"/>
      <c r="F732" s="483"/>
    </row>
    <row r="733">
      <c r="B733" s="572"/>
      <c r="C733" s="572"/>
      <c r="D733" s="572"/>
      <c r="E733" s="572"/>
      <c r="F733" s="483"/>
    </row>
    <row r="734">
      <c r="B734" s="572"/>
      <c r="C734" s="572"/>
      <c r="D734" s="572"/>
      <c r="E734" s="572"/>
      <c r="F734" s="483"/>
    </row>
    <row r="735">
      <c r="B735" s="572"/>
      <c r="C735" s="572"/>
      <c r="D735" s="572"/>
      <c r="E735" s="572"/>
      <c r="F735" s="483"/>
    </row>
    <row r="736">
      <c r="B736" s="572"/>
      <c r="C736" s="572"/>
      <c r="D736" s="572"/>
      <c r="E736" s="572"/>
      <c r="F736" s="483"/>
    </row>
    <row r="737">
      <c r="B737" s="572"/>
      <c r="C737" s="572"/>
      <c r="D737" s="572"/>
      <c r="E737" s="572"/>
      <c r="F737" s="483"/>
    </row>
    <row r="738">
      <c r="B738" s="572"/>
      <c r="C738" s="572"/>
      <c r="D738" s="572"/>
      <c r="E738" s="572"/>
      <c r="F738" s="483"/>
    </row>
    <row r="739">
      <c r="B739" s="572"/>
      <c r="C739" s="572"/>
      <c r="D739" s="572"/>
      <c r="E739" s="572"/>
      <c r="F739" s="483"/>
    </row>
    <row r="740">
      <c r="B740" s="572"/>
      <c r="C740" s="572"/>
      <c r="D740" s="572"/>
      <c r="E740" s="572"/>
      <c r="F740" s="483"/>
    </row>
    <row r="741">
      <c r="B741" s="572"/>
      <c r="C741" s="572"/>
      <c r="D741" s="572"/>
      <c r="E741" s="572"/>
      <c r="F741" s="483"/>
    </row>
    <row r="742">
      <c r="B742" s="572"/>
      <c r="C742" s="572"/>
      <c r="D742" s="572"/>
      <c r="E742" s="572"/>
      <c r="F742" s="483"/>
    </row>
    <row r="743">
      <c r="B743" s="572"/>
      <c r="C743" s="572"/>
      <c r="D743" s="572"/>
      <c r="E743" s="572"/>
      <c r="F743" s="483"/>
    </row>
    <row r="744">
      <c r="B744" s="572"/>
      <c r="C744" s="572"/>
      <c r="D744" s="572"/>
      <c r="E744" s="572"/>
      <c r="F744" s="483"/>
    </row>
    <row r="745">
      <c r="B745" s="572"/>
      <c r="C745" s="572"/>
      <c r="D745" s="572"/>
      <c r="E745" s="572"/>
      <c r="F745" s="483"/>
    </row>
    <row r="746">
      <c r="B746" s="572"/>
      <c r="C746" s="572"/>
      <c r="D746" s="572"/>
      <c r="E746" s="572"/>
      <c r="F746" s="483"/>
    </row>
    <row r="747">
      <c r="B747" s="572"/>
      <c r="C747" s="572"/>
      <c r="D747" s="572"/>
      <c r="E747" s="572"/>
      <c r="F747" s="483"/>
    </row>
    <row r="748">
      <c r="B748" s="572"/>
      <c r="C748" s="572"/>
      <c r="D748" s="572"/>
      <c r="E748" s="572"/>
      <c r="F748" s="483"/>
    </row>
    <row r="749">
      <c r="B749" s="572"/>
      <c r="C749" s="572"/>
      <c r="D749" s="572"/>
      <c r="E749" s="572"/>
      <c r="F749" s="483"/>
    </row>
    <row r="750">
      <c r="B750" s="572"/>
      <c r="C750" s="572"/>
      <c r="D750" s="572"/>
      <c r="E750" s="572"/>
      <c r="F750" s="483"/>
    </row>
    <row r="751">
      <c r="B751" s="572"/>
      <c r="C751" s="572"/>
      <c r="D751" s="572"/>
      <c r="E751" s="572"/>
      <c r="F751" s="483"/>
    </row>
    <row r="752">
      <c r="B752" s="572"/>
      <c r="C752" s="572"/>
      <c r="D752" s="572"/>
      <c r="E752" s="572"/>
      <c r="F752" s="483"/>
    </row>
    <row r="753">
      <c r="B753" s="572"/>
      <c r="C753" s="572"/>
      <c r="D753" s="572"/>
      <c r="E753" s="572"/>
      <c r="F753" s="483"/>
    </row>
    <row r="754">
      <c r="B754" s="572"/>
      <c r="C754" s="572"/>
      <c r="D754" s="572"/>
      <c r="E754" s="572"/>
      <c r="F754" s="483"/>
    </row>
    <row r="755">
      <c r="B755" s="572"/>
      <c r="C755" s="572"/>
      <c r="D755" s="572"/>
      <c r="E755" s="572"/>
      <c r="F755" s="483"/>
    </row>
    <row r="756">
      <c r="B756" s="572"/>
      <c r="C756" s="572"/>
      <c r="D756" s="572"/>
      <c r="E756" s="572"/>
      <c r="F756" s="483"/>
    </row>
    <row r="757">
      <c r="B757" s="572"/>
      <c r="C757" s="572"/>
      <c r="D757" s="572"/>
      <c r="E757" s="572"/>
      <c r="F757" s="483"/>
    </row>
    <row r="758">
      <c r="B758" s="572"/>
      <c r="C758" s="572"/>
      <c r="D758" s="572"/>
      <c r="E758" s="572"/>
      <c r="F758" s="483"/>
    </row>
    <row r="759">
      <c r="B759" s="572"/>
      <c r="C759" s="572"/>
      <c r="D759" s="572"/>
      <c r="E759" s="572"/>
      <c r="F759" s="483"/>
    </row>
    <row r="760">
      <c r="B760" s="572"/>
      <c r="C760" s="572"/>
      <c r="D760" s="572"/>
      <c r="E760" s="572"/>
      <c r="F760" s="483"/>
    </row>
    <row r="761">
      <c r="B761" s="572"/>
      <c r="C761" s="572"/>
      <c r="D761" s="572"/>
      <c r="E761" s="572"/>
      <c r="F761" s="483"/>
    </row>
    <row r="762">
      <c r="B762" s="572"/>
      <c r="C762" s="572"/>
      <c r="D762" s="572"/>
      <c r="E762" s="572"/>
      <c r="F762" s="483"/>
    </row>
    <row r="763">
      <c r="B763" s="572"/>
      <c r="C763" s="572"/>
      <c r="D763" s="572"/>
      <c r="E763" s="572"/>
      <c r="F763" s="483"/>
    </row>
    <row r="764">
      <c r="B764" s="572"/>
      <c r="C764" s="572"/>
      <c r="D764" s="572"/>
      <c r="E764" s="572"/>
      <c r="F764" s="483"/>
    </row>
    <row r="765">
      <c r="B765" s="572"/>
      <c r="C765" s="572"/>
      <c r="D765" s="572"/>
      <c r="E765" s="572"/>
      <c r="F765" s="483"/>
    </row>
    <row r="766">
      <c r="B766" s="572"/>
      <c r="C766" s="572"/>
      <c r="D766" s="572"/>
      <c r="E766" s="572"/>
      <c r="F766" s="483"/>
    </row>
    <row r="767">
      <c r="B767" s="572"/>
      <c r="C767" s="572"/>
      <c r="D767" s="572"/>
      <c r="E767" s="572"/>
      <c r="F767" s="483"/>
    </row>
    <row r="768">
      <c r="B768" s="572"/>
      <c r="C768" s="572"/>
      <c r="D768" s="572"/>
      <c r="E768" s="572"/>
      <c r="F768" s="483"/>
    </row>
    <row r="769">
      <c r="B769" s="572"/>
      <c r="C769" s="572"/>
      <c r="D769" s="572"/>
      <c r="E769" s="572"/>
      <c r="F769" s="483"/>
    </row>
    <row r="770">
      <c r="B770" s="572"/>
      <c r="C770" s="572"/>
      <c r="D770" s="572"/>
      <c r="E770" s="572"/>
      <c r="F770" s="483"/>
    </row>
    <row r="771">
      <c r="B771" s="572"/>
      <c r="C771" s="572"/>
      <c r="D771" s="572"/>
      <c r="E771" s="572"/>
      <c r="F771" s="483"/>
    </row>
    <row r="772">
      <c r="B772" s="572"/>
      <c r="C772" s="572"/>
      <c r="D772" s="572"/>
      <c r="E772" s="572"/>
      <c r="F772" s="483"/>
    </row>
    <row r="773">
      <c r="B773" s="572"/>
      <c r="C773" s="572"/>
      <c r="D773" s="572"/>
      <c r="E773" s="572"/>
      <c r="F773" s="483"/>
    </row>
    <row r="774">
      <c r="B774" s="572"/>
      <c r="C774" s="572"/>
      <c r="D774" s="572"/>
      <c r="E774" s="572"/>
      <c r="F774" s="483"/>
    </row>
    <row r="775">
      <c r="B775" s="572"/>
      <c r="C775" s="572"/>
      <c r="D775" s="572"/>
      <c r="E775" s="572"/>
      <c r="F775" s="483"/>
    </row>
    <row r="776">
      <c r="B776" s="572"/>
      <c r="C776" s="572"/>
      <c r="D776" s="572"/>
      <c r="E776" s="572"/>
      <c r="F776" s="483"/>
    </row>
    <row r="777">
      <c r="B777" s="572"/>
      <c r="C777" s="572"/>
      <c r="D777" s="572"/>
      <c r="E777" s="572"/>
      <c r="F777" s="483"/>
    </row>
    <row r="778">
      <c r="B778" s="572"/>
      <c r="C778" s="572"/>
      <c r="D778" s="572"/>
      <c r="E778" s="572"/>
      <c r="F778" s="483"/>
    </row>
    <row r="779">
      <c r="B779" s="572"/>
      <c r="C779" s="572"/>
      <c r="D779" s="572"/>
      <c r="E779" s="572"/>
      <c r="F779" s="483"/>
    </row>
    <row r="780">
      <c r="B780" s="572"/>
      <c r="C780" s="572"/>
      <c r="D780" s="572"/>
      <c r="E780" s="572"/>
      <c r="F780" s="483"/>
    </row>
    <row r="781">
      <c r="B781" s="572"/>
      <c r="C781" s="572"/>
      <c r="D781" s="572"/>
      <c r="E781" s="572"/>
      <c r="F781" s="483"/>
    </row>
    <row r="782">
      <c r="B782" s="572"/>
      <c r="C782" s="572"/>
      <c r="D782" s="572"/>
      <c r="E782" s="572"/>
      <c r="F782" s="483"/>
    </row>
    <row r="783">
      <c r="B783" s="572"/>
      <c r="C783" s="572"/>
      <c r="D783" s="572"/>
      <c r="E783" s="572"/>
      <c r="F783" s="483"/>
    </row>
    <row r="784">
      <c r="B784" s="572"/>
      <c r="C784" s="572"/>
      <c r="D784" s="572"/>
      <c r="E784" s="572"/>
      <c r="F784" s="483"/>
    </row>
    <row r="785">
      <c r="B785" s="572"/>
      <c r="C785" s="572"/>
      <c r="D785" s="572"/>
      <c r="E785" s="572"/>
      <c r="F785" s="483"/>
    </row>
    <row r="786">
      <c r="B786" s="572"/>
      <c r="C786" s="572"/>
      <c r="D786" s="572"/>
      <c r="E786" s="572"/>
      <c r="F786" s="483"/>
    </row>
    <row r="787">
      <c r="B787" s="572"/>
      <c r="C787" s="572"/>
      <c r="D787" s="572"/>
      <c r="E787" s="572"/>
      <c r="F787" s="483"/>
    </row>
    <row r="788">
      <c r="B788" s="572"/>
      <c r="C788" s="572"/>
      <c r="D788" s="572"/>
      <c r="E788" s="572"/>
      <c r="F788" s="483"/>
    </row>
    <row r="789">
      <c r="B789" s="572"/>
      <c r="C789" s="572"/>
      <c r="D789" s="572"/>
      <c r="E789" s="572"/>
      <c r="F789" s="483"/>
    </row>
    <row r="790">
      <c r="B790" s="572"/>
      <c r="C790" s="572"/>
      <c r="D790" s="572"/>
      <c r="E790" s="572"/>
      <c r="F790" s="483"/>
    </row>
    <row r="791">
      <c r="B791" s="572"/>
      <c r="C791" s="572"/>
      <c r="D791" s="572"/>
      <c r="E791" s="572"/>
      <c r="F791" s="483"/>
    </row>
    <row r="792">
      <c r="B792" s="572"/>
      <c r="C792" s="572"/>
      <c r="D792" s="572"/>
      <c r="E792" s="572"/>
      <c r="F792" s="483"/>
    </row>
    <row r="793">
      <c r="B793" s="572"/>
      <c r="C793" s="572"/>
      <c r="D793" s="572"/>
      <c r="E793" s="572"/>
      <c r="F793" s="483"/>
    </row>
    <row r="794">
      <c r="B794" s="572"/>
      <c r="C794" s="572"/>
      <c r="D794" s="572"/>
      <c r="E794" s="572"/>
      <c r="F794" s="483"/>
    </row>
    <row r="795">
      <c r="B795" s="572"/>
      <c r="C795" s="572"/>
      <c r="D795" s="572"/>
      <c r="E795" s="572"/>
      <c r="F795" s="483"/>
    </row>
    <row r="796">
      <c r="B796" s="572"/>
      <c r="C796" s="572"/>
      <c r="D796" s="572"/>
      <c r="E796" s="572"/>
      <c r="F796" s="483"/>
    </row>
    <row r="797">
      <c r="B797" s="572"/>
      <c r="C797" s="572"/>
      <c r="D797" s="572"/>
      <c r="E797" s="572"/>
      <c r="F797" s="483"/>
    </row>
    <row r="798">
      <c r="B798" s="572"/>
      <c r="C798" s="572"/>
      <c r="D798" s="572"/>
      <c r="E798" s="572"/>
      <c r="F798" s="483"/>
    </row>
    <row r="799">
      <c r="B799" s="572"/>
      <c r="C799" s="572"/>
      <c r="D799" s="572"/>
      <c r="E799" s="572"/>
      <c r="F799" s="483"/>
    </row>
    <row r="800">
      <c r="B800" s="572"/>
      <c r="C800" s="572"/>
      <c r="D800" s="572"/>
      <c r="E800" s="572"/>
      <c r="F800" s="483"/>
    </row>
    <row r="801">
      <c r="B801" s="572"/>
      <c r="C801" s="572"/>
      <c r="D801" s="572"/>
      <c r="E801" s="572"/>
      <c r="F801" s="483"/>
    </row>
    <row r="802">
      <c r="B802" s="572"/>
      <c r="C802" s="572"/>
      <c r="D802" s="572"/>
      <c r="E802" s="572"/>
      <c r="F802" s="483"/>
    </row>
    <row r="803">
      <c r="B803" s="572"/>
      <c r="C803" s="572"/>
      <c r="D803" s="572"/>
      <c r="E803" s="572"/>
      <c r="F803" s="483"/>
    </row>
    <row r="804">
      <c r="B804" s="572"/>
      <c r="C804" s="572"/>
      <c r="D804" s="572"/>
      <c r="E804" s="572"/>
      <c r="F804" s="483"/>
    </row>
    <row r="805">
      <c r="B805" s="572"/>
      <c r="C805" s="572"/>
      <c r="D805" s="572"/>
      <c r="E805" s="572"/>
      <c r="F805" s="483"/>
    </row>
    <row r="806">
      <c r="B806" s="572"/>
      <c r="C806" s="572"/>
      <c r="D806" s="572"/>
      <c r="E806" s="572"/>
      <c r="F806" s="483"/>
    </row>
    <row r="807">
      <c r="B807" s="572"/>
      <c r="C807" s="572"/>
      <c r="D807" s="572"/>
      <c r="E807" s="572"/>
      <c r="F807" s="483"/>
    </row>
    <row r="808">
      <c r="B808" s="572"/>
      <c r="C808" s="572"/>
      <c r="D808" s="572"/>
      <c r="E808" s="572"/>
      <c r="F808" s="483"/>
    </row>
    <row r="809">
      <c r="B809" s="572"/>
      <c r="C809" s="572"/>
      <c r="D809" s="572"/>
      <c r="E809" s="572"/>
      <c r="F809" s="483"/>
    </row>
    <row r="810">
      <c r="B810" s="572"/>
      <c r="C810" s="572"/>
      <c r="D810" s="572"/>
      <c r="E810" s="572"/>
      <c r="F810" s="483"/>
    </row>
    <row r="811">
      <c r="B811" s="572"/>
      <c r="C811" s="572"/>
      <c r="D811" s="572"/>
      <c r="E811" s="572"/>
      <c r="F811" s="483"/>
    </row>
    <row r="812">
      <c r="B812" s="572"/>
      <c r="C812" s="572"/>
      <c r="D812" s="572"/>
      <c r="E812" s="572"/>
      <c r="F812" s="483"/>
    </row>
    <row r="813">
      <c r="B813" s="572"/>
      <c r="C813" s="572"/>
      <c r="D813" s="572"/>
      <c r="E813" s="572"/>
      <c r="F813" s="483"/>
    </row>
    <row r="814">
      <c r="B814" s="572"/>
      <c r="C814" s="572"/>
      <c r="D814" s="572"/>
      <c r="E814" s="572"/>
      <c r="F814" s="483"/>
    </row>
    <row r="815">
      <c r="B815" s="572"/>
      <c r="C815" s="572"/>
      <c r="D815" s="572"/>
      <c r="E815" s="572"/>
      <c r="F815" s="483"/>
    </row>
    <row r="816">
      <c r="B816" s="572"/>
      <c r="C816" s="572"/>
      <c r="D816" s="572"/>
      <c r="E816" s="572"/>
      <c r="F816" s="483"/>
    </row>
    <row r="817">
      <c r="B817" s="572"/>
      <c r="C817" s="572"/>
      <c r="D817" s="572"/>
      <c r="E817" s="572"/>
      <c r="F817" s="483"/>
    </row>
    <row r="818">
      <c r="B818" s="572"/>
      <c r="C818" s="572"/>
      <c r="D818" s="572"/>
      <c r="E818" s="572"/>
      <c r="F818" s="483"/>
    </row>
    <row r="819">
      <c r="B819" s="572"/>
      <c r="C819" s="572"/>
      <c r="D819" s="572"/>
      <c r="E819" s="572"/>
      <c r="F819" s="483"/>
    </row>
    <row r="820">
      <c r="B820" s="572"/>
      <c r="C820" s="572"/>
      <c r="D820" s="572"/>
      <c r="E820" s="572"/>
      <c r="F820" s="483"/>
    </row>
    <row r="821">
      <c r="B821" s="572"/>
      <c r="C821" s="572"/>
      <c r="D821" s="572"/>
      <c r="E821" s="572"/>
      <c r="F821" s="483"/>
    </row>
    <row r="822">
      <c r="B822" s="572"/>
      <c r="C822" s="572"/>
      <c r="D822" s="572"/>
      <c r="E822" s="572"/>
      <c r="F822" s="483"/>
    </row>
    <row r="823">
      <c r="B823" s="572"/>
      <c r="C823" s="572"/>
      <c r="D823" s="572"/>
      <c r="E823" s="572"/>
      <c r="F823" s="483"/>
    </row>
    <row r="824">
      <c r="B824" s="572"/>
      <c r="C824" s="572"/>
      <c r="D824" s="572"/>
      <c r="E824" s="572"/>
      <c r="F824" s="483"/>
    </row>
    <row r="825">
      <c r="B825" s="572"/>
      <c r="C825" s="572"/>
      <c r="D825" s="572"/>
      <c r="E825" s="572"/>
      <c r="F825" s="483"/>
    </row>
    <row r="826">
      <c r="B826" s="572"/>
      <c r="C826" s="572"/>
      <c r="D826" s="572"/>
      <c r="E826" s="572"/>
      <c r="F826" s="483"/>
    </row>
    <row r="827">
      <c r="B827" s="572"/>
      <c r="C827" s="572"/>
      <c r="D827" s="572"/>
      <c r="E827" s="572"/>
      <c r="F827" s="483"/>
    </row>
    <row r="828">
      <c r="B828" s="572"/>
      <c r="C828" s="572"/>
      <c r="D828" s="572"/>
      <c r="E828" s="572"/>
      <c r="F828" s="483"/>
    </row>
    <row r="829">
      <c r="B829" s="572"/>
      <c r="C829" s="572"/>
      <c r="D829" s="572"/>
      <c r="E829" s="572"/>
      <c r="F829" s="483"/>
    </row>
    <row r="830">
      <c r="B830" s="572"/>
      <c r="C830" s="572"/>
      <c r="D830" s="572"/>
      <c r="E830" s="572"/>
      <c r="F830" s="483"/>
    </row>
    <row r="831">
      <c r="B831" s="572"/>
      <c r="C831" s="572"/>
      <c r="D831" s="572"/>
      <c r="E831" s="572"/>
      <c r="F831" s="483"/>
    </row>
    <row r="832">
      <c r="B832" s="572"/>
      <c r="C832" s="572"/>
      <c r="D832" s="572"/>
      <c r="E832" s="572"/>
      <c r="F832" s="483"/>
    </row>
    <row r="833">
      <c r="B833" s="572"/>
      <c r="C833" s="572"/>
      <c r="D833" s="572"/>
      <c r="E833" s="572"/>
      <c r="F833" s="483"/>
    </row>
    <row r="834">
      <c r="B834" s="572"/>
      <c r="C834" s="572"/>
      <c r="D834" s="572"/>
      <c r="E834" s="572"/>
      <c r="F834" s="483"/>
    </row>
    <row r="835">
      <c r="B835" s="572"/>
      <c r="C835" s="572"/>
      <c r="D835" s="572"/>
      <c r="E835" s="572"/>
      <c r="F835" s="483"/>
    </row>
    <row r="836">
      <c r="B836" s="572"/>
      <c r="C836" s="572"/>
      <c r="D836" s="572"/>
      <c r="E836" s="572"/>
      <c r="F836" s="483"/>
    </row>
    <row r="837">
      <c r="B837" s="572"/>
      <c r="C837" s="572"/>
      <c r="D837" s="572"/>
      <c r="E837" s="572"/>
      <c r="F837" s="483"/>
    </row>
    <row r="838">
      <c r="B838" s="572"/>
      <c r="C838" s="572"/>
      <c r="D838" s="572"/>
      <c r="E838" s="572"/>
      <c r="F838" s="483"/>
    </row>
    <row r="839">
      <c r="B839" s="572"/>
      <c r="C839" s="572"/>
      <c r="D839" s="572"/>
      <c r="E839" s="572"/>
      <c r="F839" s="483"/>
    </row>
    <row r="840">
      <c r="B840" s="572"/>
      <c r="C840" s="572"/>
      <c r="D840" s="572"/>
      <c r="E840" s="572"/>
      <c r="F840" s="483"/>
    </row>
    <row r="841">
      <c r="B841" s="572"/>
      <c r="C841" s="572"/>
      <c r="D841" s="572"/>
      <c r="E841" s="572"/>
      <c r="F841" s="483"/>
    </row>
    <row r="842">
      <c r="B842" s="572"/>
      <c r="C842" s="572"/>
      <c r="D842" s="572"/>
      <c r="E842" s="572"/>
      <c r="F842" s="483"/>
    </row>
    <row r="843">
      <c r="B843" s="572"/>
      <c r="C843" s="572"/>
      <c r="D843" s="572"/>
      <c r="E843" s="572"/>
      <c r="F843" s="483"/>
    </row>
    <row r="844">
      <c r="B844" s="572"/>
      <c r="C844" s="572"/>
      <c r="D844" s="572"/>
      <c r="E844" s="572"/>
      <c r="F844" s="483"/>
    </row>
    <row r="845">
      <c r="B845" s="572"/>
      <c r="C845" s="572"/>
      <c r="D845" s="572"/>
      <c r="E845" s="572"/>
      <c r="F845" s="483"/>
    </row>
    <row r="846">
      <c r="B846" s="572"/>
      <c r="C846" s="572"/>
      <c r="D846" s="572"/>
      <c r="E846" s="572"/>
      <c r="F846" s="483"/>
    </row>
    <row r="847">
      <c r="B847" s="572"/>
      <c r="C847" s="572"/>
      <c r="D847" s="572"/>
      <c r="E847" s="572"/>
      <c r="F847" s="483"/>
    </row>
    <row r="848">
      <c r="B848" s="572"/>
      <c r="C848" s="572"/>
      <c r="D848" s="572"/>
      <c r="E848" s="572"/>
      <c r="F848" s="483"/>
    </row>
    <row r="849">
      <c r="B849" s="572"/>
      <c r="C849" s="572"/>
      <c r="D849" s="572"/>
      <c r="E849" s="572"/>
      <c r="F849" s="483"/>
    </row>
    <row r="850">
      <c r="B850" s="572"/>
      <c r="C850" s="572"/>
      <c r="D850" s="572"/>
      <c r="E850" s="572"/>
      <c r="F850" s="483"/>
    </row>
    <row r="851">
      <c r="B851" s="572"/>
      <c r="C851" s="572"/>
      <c r="D851" s="572"/>
      <c r="E851" s="572"/>
      <c r="F851" s="483"/>
    </row>
    <row r="852">
      <c r="B852" s="572"/>
      <c r="C852" s="572"/>
      <c r="D852" s="572"/>
      <c r="E852" s="572"/>
      <c r="F852" s="483"/>
    </row>
    <row r="853">
      <c r="B853" s="572"/>
      <c r="C853" s="572"/>
      <c r="D853" s="572"/>
      <c r="E853" s="572"/>
      <c r="F853" s="483"/>
    </row>
    <row r="854">
      <c r="B854" s="572"/>
      <c r="C854" s="572"/>
      <c r="D854" s="572"/>
      <c r="E854" s="572"/>
      <c r="F854" s="483"/>
    </row>
    <row r="855">
      <c r="B855" s="572"/>
      <c r="C855" s="572"/>
      <c r="D855" s="572"/>
      <c r="E855" s="572"/>
      <c r="F855" s="483"/>
    </row>
    <row r="856">
      <c r="B856" s="572"/>
      <c r="C856" s="572"/>
      <c r="D856" s="572"/>
      <c r="E856" s="572"/>
      <c r="F856" s="483"/>
    </row>
    <row r="857">
      <c r="B857" s="572"/>
      <c r="C857" s="572"/>
      <c r="D857" s="572"/>
      <c r="E857" s="572"/>
      <c r="F857" s="483"/>
    </row>
    <row r="858">
      <c r="B858" s="572"/>
      <c r="C858" s="572"/>
      <c r="D858" s="572"/>
      <c r="E858" s="572"/>
      <c r="F858" s="483"/>
    </row>
    <row r="859">
      <c r="B859" s="572"/>
      <c r="C859" s="572"/>
      <c r="D859" s="572"/>
      <c r="E859" s="572"/>
      <c r="F859" s="483"/>
    </row>
    <row r="860">
      <c r="B860" s="572"/>
      <c r="C860" s="572"/>
      <c r="D860" s="572"/>
      <c r="E860" s="572"/>
      <c r="F860" s="483"/>
    </row>
    <row r="861">
      <c r="B861" s="572"/>
      <c r="C861" s="572"/>
      <c r="D861" s="572"/>
      <c r="E861" s="572"/>
      <c r="F861" s="483"/>
    </row>
    <row r="862">
      <c r="B862" s="572"/>
      <c r="C862" s="572"/>
      <c r="D862" s="572"/>
      <c r="E862" s="572"/>
      <c r="F862" s="483"/>
    </row>
    <row r="863">
      <c r="B863" s="572"/>
      <c r="C863" s="572"/>
      <c r="D863" s="572"/>
      <c r="E863" s="572"/>
      <c r="F863" s="483"/>
    </row>
    <row r="864">
      <c r="B864" s="572"/>
      <c r="C864" s="572"/>
      <c r="D864" s="572"/>
      <c r="E864" s="572"/>
      <c r="F864" s="483"/>
    </row>
    <row r="865">
      <c r="B865" s="572"/>
      <c r="C865" s="572"/>
      <c r="D865" s="572"/>
      <c r="E865" s="572"/>
      <c r="F865" s="483"/>
    </row>
    <row r="866">
      <c r="B866" s="572"/>
      <c r="C866" s="572"/>
      <c r="D866" s="572"/>
      <c r="E866" s="572"/>
      <c r="F866" s="483"/>
    </row>
    <row r="867">
      <c r="B867" s="572"/>
      <c r="C867" s="572"/>
      <c r="D867" s="572"/>
      <c r="E867" s="572"/>
      <c r="F867" s="483"/>
    </row>
    <row r="868">
      <c r="B868" s="572"/>
      <c r="C868" s="572"/>
      <c r="D868" s="572"/>
      <c r="E868" s="572"/>
      <c r="F868" s="483"/>
    </row>
    <row r="869">
      <c r="B869" s="572"/>
      <c r="C869" s="572"/>
      <c r="D869" s="572"/>
      <c r="E869" s="572"/>
      <c r="F869" s="483"/>
    </row>
    <row r="870">
      <c r="B870" s="572"/>
      <c r="C870" s="572"/>
      <c r="D870" s="572"/>
      <c r="E870" s="572"/>
      <c r="F870" s="483"/>
    </row>
    <row r="871">
      <c r="B871" s="572"/>
      <c r="C871" s="572"/>
      <c r="D871" s="572"/>
      <c r="E871" s="572"/>
      <c r="F871" s="483"/>
    </row>
    <row r="872">
      <c r="B872" s="572"/>
      <c r="C872" s="572"/>
      <c r="D872" s="572"/>
      <c r="E872" s="572"/>
      <c r="F872" s="483"/>
    </row>
    <row r="873">
      <c r="B873" s="572"/>
      <c r="C873" s="572"/>
      <c r="D873" s="572"/>
      <c r="E873" s="572"/>
      <c r="F873" s="483"/>
    </row>
    <row r="874">
      <c r="B874" s="572"/>
      <c r="C874" s="572"/>
      <c r="D874" s="572"/>
      <c r="E874" s="572"/>
      <c r="F874" s="483"/>
    </row>
    <row r="875">
      <c r="B875" s="572"/>
      <c r="C875" s="572"/>
      <c r="D875" s="572"/>
      <c r="E875" s="572"/>
      <c r="F875" s="483"/>
    </row>
    <row r="876">
      <c r="B876" s="572"/>
      <c r="C876" s="572"/>
      <c r="D876" s="572"/>
      <c r="E876" s="572"/>
      <c r="F876" s="483"/>
    </row>
    <row r="877">
      <c r="B877" s="572"/>
      <c r="C877" s="572"/>
      <c r="D877" s="572"/>
      <c r="E877" s="572"/>
      <c r="F877" s="483"/>
    </row>
    <row r="878">
      <c r="B878" s="572"/>
      <c r="C878" s="572"/>
      <c r="D878" s="572"/>
      <c r="E878" s="572"/>
      <c r="F878" s="483"/>
    </row>
    <row r="879">
      <c r="B879" s="572"/>
      <c r="C879" s="572"/>
      <c r="D879" s="572"/>
      <c r="E879" s="572"/>
      <c r="F879" s="483"/>
    </row>
    <row r="880">
      <c r="B880" s="572"/>
      <c r="C880" s="572"/>
      <c r="D880" s="572"/>
      <c r="E880" s="572"/>
      <c r="F880" s="483"/>
    </row>
    <row r="881">
      <c r="B881" s="572"/>
      <c r="C881" s="572"/>
      <c r="D881" s="572"/>
      <c r="E881" s="572"/>
      <c r="F881" s="483"/>
    </row>
    <row r="882">
      <c r="B882" s="572"/>
      <c r="C882" s="572"/>
      <c r="D882" s="572"/>
      <c r="E882" s="572"/>
      <c r="F882" s="483"/>
    </row>
    <row r="883">
      <c r="B883" s="572"/>
      <c r="C883" s="572"/>
      <c r="D883" s="572"/>
      <c r="E883" s="572"/>
      <c r="F883" s="483"/>
    </row>
    <row r="884">
      <c r="B884" s="572"/>
      <c r="C884" s="572"/>
      <c r="D884" s="572"/>
      <c r="E884" s="572"/>
      <c r="F884" s="483"/>
    </row>
    <row r="885">
      <c r="B885" s="572"/>
      <c r="C885" s="572"/>
      <c r="D885" s="572"/>
      <c r="E885" s="572"/>
      <c r="F885" s="483"/>
    </row>
    <row r="886">
      <c r="B886" s="572"/>
      <c r="C886" s="572"/>
      <c r="D886" s="572"/>
      <c r="E886" s="572"/>
      <c r="F886" s="483"/>
    </row>
    <row r="887">
      <c r="B887" s="572"/>
      <c r="C887" s="572"/>
      <c r="D887" s="572"/>
      <c r="E887" s="572"/>
      <c r="F887" s="483"/>
    </row>
    <row r="888">
      <c r="B888" s="572"/>
      <c r="C888" s="572"/>
      <c r="D888" s="572"/>
      <c r="E888" s="572"/>
      <c r="F888" s="483"/>
    </row>
    <row r="889">
      <c r="B889" s="572"/>
      <c r="C889" s="572"/>
      <c r="D889" s="572"/>
      <c r="E889" s="572"/>
      <c r="F889" s="483"/>
    </row>
    <row r="890">
      <c r="B890" s="572"/>
      <c r="C890" s="572"/>
      <c r="D890" s="572"/>
      <c r="E890" s="572"/>
      <c r="F890" s="483"/>
    </row>
    <row r="891">
      <c r="B891" s="572"/>
      <c r="C891" s="572"/>
      <c r="D891" s="572"/>
      <c r="E891" s="572"/>
      <c r="F891" s="483"/>
    </row>
    <row r="892">
      <c r="B892" s="572"/>
      <c r="C892" s="572"/>
      <c r="D892" s="572"/>
      <c r="E892" s="572"/>
      <c r="F892" s="483"/>
    </row>
    <row r="893">
      <c r="B893" s="572"/>
      <c r="C893" s="572"/>
      <c r="D893" s="572"/>
      <c r="E893" s="572"/>
      <c r="F893" s="483"/>
    </row>
    <row r="894">
      <c r="B894" s="572"/>
      <c r="C894" s="572"/>
      <c r="D894" s="572"/>
      <c r="E894" s="572"/>
      <c r="F894" s="483"/>
    </row>
    <row r="895">
      <c r="B895" s="572"/>
      <c r="C895" s="572"/>
      <c r="D895" s="572"/>
      <c r="E895" s="572"/>
      <c r="F895" s="483"/>
    </row>
    <row r="896">
      <c r="B896" s="572"/>
      <c r="C896" s="572"/>
      <c r="D896" s="572"/>
      <c r="E896" s="572"/>
      <c r="F896" s="483"/>
    </row>
    <row r="897">
      <c r="B897" s="572"/>
      <c r="C897" s="572"/>
      <c r="D897" s="572"/>
      <c r="E897" s="572"/>
      <c r="F897" s="483"/>
    </row>
    <row r="898">
      <c r="B898" s="572"/>
      <c r="C898" s="572"/>
      <c r="D898" s="572"/>
      <c r="E898" s="572"/>
      <c r="F898" s="483"/>
    </row>
    <row r="899">
      <c r="B899" s="572"/>
      <c r="C899" s="572"/>
      <c r="D899" s="572"/>
      <c r="E899" s="572"/>
      <c r="F899" s="483"/>
    </row>
    <row r="900">
      <c r="B900" s="572"/>
      <c r="C900" s="572"/>
      <c r="D900" s="572"/>
      <c r="E900" s="572"/>
      <c r="F900" s="483"/>
    </row>
    <row r="901">
      <c r="B901" s="572"/>
      <c r="C901" s="572"/>
      <c r="D901" s="572"/>
      <c r="E901" s="572"/>
      <c r="F901" s="483"/>
    </row>
    <row r="902">
      <c r="B902" s="572"/>
      <c r="C902" s="572"/>
      <c r="D902" s="572"/>
      <c r="E902" s="572"/>
      <c r="F902" s="483"/>
    </row>
    <row r="903">
      <c r="B903" s="572"/>
      <c r="C903" s="572"/>
      <c r="D903" s="572"/>
      <c r="E903" s="572"/>
      <c r="F903" s="483"/>
    </row>
    <row r="904">
      <c r="B904" s="572"/>
      <c r="C904" s="572"/>
      <c r="D904" s="572"/>
      <c r="E904" s="572"/>
      <c r="F904" s="483"/>
    </row>
    <row r="905">
      <c r="B905" s="572"/>
      <c r="C905" s="572"/>
      <c r="D905" s="572"/>
      <c r="E905" s="572"/>
      <c r="F905" s="483"/>
    </row>
    <row r="906">
      <c r="B906" s="572"/>
      <c r="C906" s="572"/>
      <c r="D906" s="572"/>
      <c r="E906" s="572"/>
      <c r="F906" s="483"/>
    </row>
    <row r="907">
      <c r="B907" s="572"/>
      <c r="C907" s="572"/>
      <c r="D907" s="572"/>
      <c r="E907" s="572"/>
      <c r="F907" s="483"/>
    </row>
    <row r="908">
      <c r="B908" s="572"/>
      <c r="C908" s="572"/>
      <c r="D908" s="572"/>
      <c r="E908" s="572"/>
      <c r="F908" s="483"/>
    </row>
    <row r="909">
      <c r="B909" s="572"/>
      <c r="C909" s="572"/>
      <c r="D909" s="572"/>
      <c r="E909" s="572"/>
      <c r="F909" s="483"/>
    </row>
    <row r="910">
      <c r="B910" s="572"/>
      <c r="C910" s="572"/>
      <c r="D910" s="572"/>
      <c r="E910" s="572"/>
      <c r="F910" s="483"/>
    </row>
    <row r="911">
      <c r="B911" s="572"/>
      <c r="C911" s="572"/>
      <c r="D911" s="572"/>
      <c r="E911" s="572"/>
      <c r="F911" s="483"/>
    </row>
    <row r="912">
      <c r="B912" s="572"/>
      <c r="C912" s="572"/>
      <c r="D912" s="572"/>
      <c r="E912" s="572"/>
      <c r="F912" s="483"/>
    </row>
    <row r="913">
      <c r="B913" s="572"/>
      <c r="C913" s="572"/>
      <c r="D913" s="572"/>
      <c r="E913" s="572"/>
      <c r="F913" s="483"/>
    </row>
    <row r="914">
      <c r="B914" s="572"/>
      <c r="C914" s="572"/>
      <c r="D914" s="572"/>
      <c r="E914" s="572"/>
      <c r="F914" s="483"/>
    </row>
    <row r="915">
      <c r="B915" s="572"/>
      <c r="C915" s="572"/>
      <c r="D915" s="572"/>
      <c r="E915" s="572"/>
      <c r="F915" s="483"/>
    </row>
    <row r="916">
      <c r="B916" s="572"/>
      <c r="C916" s="572"/>
      <c r="D916" s="572"/>
      <c r="E916" s="572"/>
      <c r="F916" s="483"/>
    </row>
    <row r="917">
      <c r="B917" s="572"/>
      <c r="C917" s="572"/>
      <c r="D917" s="572"/>
      <c r="E917" s="572"/>
      <c r="F917" s="483"/>
    </row>
    <row r="918">
      <c r="B918" s="572"/>
      <c r="C918" s="572"/>
      <c r="D918" s="572"/>
      <c r="E918" s="572"/>
      <c r="F918" s="483"/>
    </row>
    <row r="919">
      <c r="B919" s="572"/>
      <c r="C919" s="572"/>
      <c r="D919" s="572"/>
      <c r="E919" s="572"/>
      <c r="F919" s="483"/>
    </row>
    <row r="920">
      <c r="B920" s="572"/>
      <c r="C920" s="572"/>
      <c r="D920" s="572"/>
      <c r="E920" s="572"/>
      <c r="F920" s="483"/>
    </row>
    <row r="921">
      <c r="B921" s="572"/>
      <c r="C921" s="572"/>
      <c r="D921" s="572"/>
      <c r="E921" s="572"/>
      <c r="F921" s="483"/>
    </row>
    <row r="922">
      <c r="B922" s="572"/>
      <c r="C922" s="572"/>
      <c r="D922" s="572"/>
      <c r="E922" s="572"/>
      <c r="F922" s="483"/>
    </row>
    <row r="923">
      <c r="B923" s="572"/>
      <c r="C923" s="572"/>
      <c r="D923" s="572"/>
      <c r="E923" s="572"/>
      <c r="F923" s="483"/>
    </row>
    <row r="924">
      <c r="B924" s="572"/>
      <c r="C924" s="572"/>
      <c r="D924" s="572"/>
      <c r="E924" s="572"/>
      <c r="F924" s="483"/>
    </row>
    <row r="925">
      <c r="B925" s="572"/>
      <c r="C925" s="572"/>
      <c r="D925" s="572"/>
      <c r="E925" s="572"/>
      <c r="F925" s="483"/>
    </row>
    <row r="926">
      <c r="B926" s="572"/>
      <c r="C926" s="572"/>
      <c r="D926" s="572"/>
      <c r="E926" s="572"/>
      <c r="F926" s="483"/>
    </row>
    <row r="927">
      <c r="B927" s="572"/>
      <c r="C927" s="572"/>
      <c r="D927" s="572"/>
      <c r="E927" s="572"/>
      <c r="F927" s="483"/>
    </row>
    <row r="928">
      <c r="B928" s="572"/>
      <c r="C928" s="572"/>
      <c r="D928" s="572"/>
      <c r="E928" s="572"/>
      <c r="F928" s="483"/>
    </row>
    <row r="929">
      <c r="B929" s="572"/>
      <c r="C929" s="572"/>
      <c r="D929" s="572"/>
      <c r="E929" s="572"/>
      <c r="F929" s="483"/>
    </row>
    <row r="930">
      <c r="B930" s="572"/>
      <c r="C930" s="572"/>
      <c r="D930" s="572"/>
      <c r="E930" s="572"/>
      <c r="F930" s="483"/>
    </row>
    <row r="931">
      <c r="B931" s="572"/>
      <c r="C931" s="572"/>
      <c r="D931" s="572"/>
      <c r="E931" s="572"/>
      <c r="F931" s="483"/>
    </row>
    <row r="932">
      <c r="B932" s="572"/>
      <c r="C932" s="572"/>
      <c r="D932" s="572"/>
      <c r="E932" s="572"/>
      <c r="F932" s="483"/>
    </row>
    <row r="933">
      <c r="B933" s="572"/>
      <c r="C933" s="572"/>
      <c r="D933" s="572"/>
      <c r="E933" s="572"/>
      <c r="F933" s="483"/>
    </row>
    <row r="934">
      <c r="B934" s="572"/>
      <c r="C934" s="572"/>
      <c r="D934" s="572"/>
      <c r="E934" s="572"/>
      <c r="F934" s="483"/>
    </row>
    <row r="935">
      <c r="B935" s="572"/>
      <c r="C935" s="572"/>
      <c r="D935" s="572"/>
      <c r="E935" s="572"/>
      <c r="F935" s="483"/>
    </row>
    <row r="936">
      <c r="B936" s="572"/>
      <c r="C936" s="572"/>
      <c r="D936" s="572"/>
      <c r="E936" s="572"/>
      <c r="F936" s="483"/>
    </row>
    <row r="937">
      <c r="B937" s="572"/>
      <c r="C937" s="572"/>
      <c r="D937" s="572"/>
      <c r="E937" s="572"/>
      <c r="F937" s="483"/>
    </row>
    <row r="938">
      <c r="B938" s="572"/>
      <c r="C938" s="572"/>
      <c r="D938" s="572"/>
      <c r="E938" s="572"/>
      <c r="F938" s="483"/>
    </row>
    <row r="939">
      <c r="B939" s="572"/>
      <c r="C939" s="572"/>
      <c r="D939" s="572"/>
      <c r="E939" s="572"/>
      <c r="F939" s="483"/>
    </row>
    <row r="940">
      <c r="B940" s="572"/>
      <c r="C940" s="572"/>
      <c r="D940" s="572"/>
      <c r="E940" s="572"/>
      <c r="F940" s="483"/>
    </row>
    <row r="941">
      <c r="B941" s="572"/>
      <c r="C941" s="572"/>
      <c r="D941" s="572"/>
      <c r="E941" s="572"/>
      <c r="F941" s="483"/>
    </row>
    <row r="942">
      <c r="B942" s="572"/>
      <c r="C942" s="572"/>
      <c r="D942" s="572"/>
      <c r="E942" s="572"/>
      <c r="F942" s="483"/>
    </row>
    <row r="943">
      <c r="B943" s="572"/>
      <c r="C943" s="572"/>
      <c r="D943" s="572"/>
      <c r="E943" s="572"/>
      <c r="F943" s="483"/>
    </row>
    <row r="944">
      <c r="B944" s="572"/>
      <c r="C944" s="572"/>
      <c r="D944" s="572"/>
      <c r="E944" s="572"/>
      <c r="F944" s="483"/>
    </row>
    <row r="945">
      <c r="B945" s="572"/>
      <c r="C945" s="572"/>
      <c r="D945" s="572"/>
      <c r="E945" s="572"/>
      <c r="F945" s="483"/>
    </row>
    <row r="946">
      <c r="B946" s="572"/>
      <c r="C946" s="572"/>
      <c r="D946" s="572"/>
      <c r="E946" s="572"/>
      <c r="F946" s="483"/>
    </row>
    <row r="947">
      <c r="B947" s="572"/>
      <c r="C947" s="572"/>
      <c r="D947" s="572"/>
      <c r="E947" s="572"/>
      <c r="F947" s="483"/>
    </row>
    <row r="948">
      <c r="B948" s="572"/>
      <c r="C948" s="572"/>
      <c r="D948" s="572"/>
      <c r="E948" s="572"/>
      <c r="F948" s="483"/>
    </row>
    <row r="949">
      <c r="B949" s="572"/>
      <c r="C949" s="572"/>
      <c r="D949" s="572"/>
      <c r="E949" s="572"/>
      <c r="F949" s="483"/>
    </row>
    <row r="950">
      <c r="B950" s="572"/>
      <c r="C950" s="572"/>
      <c r="D950" s="572"/>
      <c r="E950" s="572"/>
      <c r="F950" s="483"/>
    </row>
    <row r="951">
      <c r="B951" s="572"/>
      <c r="C951" s="572"/>
      <c r="D951" s="572"/>
      <c r="E951" s="572"/>
      <c r="F951" s="483"/>
    </row>
    <row r="952">
      <c r="B952" s="572"/>
      <c r="C952" s="572"/>
      <c r="D952" s="572"/>
      <c r="E952" s="572"/>
      <c r="F952" s="483"/>
    </row>
    <row r="953">
      <c r="B953" s="572"/>
      <c r="C953" s="572"/>
      <c r="D953" s="572"/>
      <c r="E953" s="572"/>
      <c r="F953" s="483"/>
    </row>
    <row r="954">
      <c r="B954" s="572"/>
      <c r="C954" s="572"/>
      <c r="D954" s="572"/>
      <c r="E954" s="572"/>
      <c r="F954" s="483"/>
    </row>
    <row r="955">
      <c r="B955" s="572"/>
      <c r="C955" s="572"/>
      <c r="D955" s="572"/>
      <c r="E955" s="572"/>
      <c r="F955" s="483"/>
    </row>
    <row r="956">
      <c r="B956" s="572"/>
      <c r="C956" s="572"/>
      <c r="D956" s="572"/>
      <c r="E956" s="572"/>
      <c r="F956" s="483"/>
    </row>
    <row r="957">
      <c r="B957" s="572"/>
      <c r="C957" s="572"/>
      <c r="D957" s="572"/>
      <c r="E957" s="572"/>
      <c r="F957" s="483"/>
    </row>
    <row r="958">
      <c r="B958" s="572"/>
      <c r="C958" s="572"/>
      <c r="D958" s="572"/>
      <c r="E958" s="572"/>
      <c r="F958" s="483"/>
    </row>
    <row r="959">
      <c r="B959" s="572"/>
      <c r="C959" s="572"/>
      <c r="D959" s="572"/>
      <c r="E959" s="572"/>
      <c r="F959" s="483"/>
    </row>
    <row r="960">
      <c r="B960" s="572"/>
      <c r="C960" s="572"/>
      <c r="D960" s="572"/>
      <c r="E960" s="572"/>
      <c r="F960" s="483"/>
    </row>
    <row r="961">
      <c r="B961" s="572"/>
      <c r="C961" s="572"/>
      <c r="D961" s="572"/>
      <c r="E961" s="572"/>
      <c r="F961" s="483"/>
    </row>
    <row r="962">
      <c r="B962" s="572"/>
      <c r="C962" s="572"/>
      <c r="D962" s="572"/>
      <c r="E962" s="572"/>
      <c r="F962" s="483"/>
    </row>
    <row r="963">
      <c r="B963" s="572"/>
      <c r="C963" s="572"/>
      <c r="D963" s="572"/>
      <c r="E963" s="572"/>
      <c r="F963" s="483"/>
    </row>
    <row r="964">
      <c r="B964" s="572"/>
      <c r="C964" s="572"/>
      <c r="D964" s="572"/>
      <c r="E964" s="572"/>
      <c r="F964" s="483"/>
    </row>
    <row r="965">
      <c r="B965" s="572"/>
      <c r="C965" s="572"/>
      <c r="D965" s="572"/>
      <c r="E965" s="572"/>
      <c r="F965" s="483"/>
    </row>
    <row r="966">
      <c r="B966" s="572"/>
      <c r="C966" s="572"/>
      <c r="D966" s="572"/>
      <c r="E966" s="572"/>
      <c r="F966" s="483"/>
    </row>
    <row r="967">
      <c r="B967" s="572"/>
      <c r="C967" s="572"/>
      <c r="D967" s="572"/>
      <c r="E967" s="572"/>
      <c r="F967" s="483"/>
    </row>
    <row r="968">
      <c r="B968" s="572"/>
      <c r="C968" s="572"/>
      <c r="D968" s="572"/>
      <c r="E968" s="572"/>
      <c r="F968" s="483"/>
    </row>
    <row r="969">
      <c r="B969" s="572"/>
      <c r="C969" s="572"/>
      <c r="D969" s="572"/>
      <c r="E969" s="572"/>
      <c r="F969" s="483"/>
    </row>
    <row r="970">
      <c r="B970" s="572"/>
      <c r="C970" s="572"/>
      <c r="D970" s="572"/>
      <c r="E970" s="572"/>
      <c r="F970" s="483"/>
    </row>
    <row r="971">
      <c r="B971" s="572"/>
      <c r="C971" s="572"/>
      <c r="D971" s="572"/>
      <c r="E971" s="572"/>
      <c r="F971" s="483"/>
    </row>
    <row r="972">
      <c r="B972" s="572"/>
      <c r="C972" s="572"/>
      <c r="D972" s="572"/>
      <c r="E972" s="572"/>
      <c r="F972" s="483"/>
    </row>
    <row r="973">
      <c r="B973" s="572"/>
      <c r="C973" s="572"/>
      <c r="D973" s="572"/>
      <c r="E973" s="572"/>
      <c r="F973" s="483"/>
    </row>
    <row r="974">
      <c r="B974" s="572"/>
      <c r="C974" s="572"/>
      <c r="D974" s="572"/>
      <c r="E974" s="572"/>
      <c r="F974" s="483"/>
    </row>
    <row r="975">
      <c r="B975" s="572"/>
      <c r="C975" s="572"/>
      <c r="D975" s="572"/>
      <c r="E975" s="572"/>
      <c r="F975" s="483"/>
    </row>
    <row r="976">
      <c r="B976" s="572"/>
      <c r="C976" s="572"/>
      <c r="D976" s="572"/>
      <c r="E976" s="572"/>
      <c r="F976" s="483"/>
    </row>
    <row r="977">
      <c r="B977" s="572"/>
      <c r="C977" s="572"/>
      <c r="D977" s="572"/>
      <c r="E977" s="572"/>
      <c r="F977" s="483"/>
    </row>
    <row r="978">
      <c r="B978" s="572"/>
      <c r="C978" s="572"/>
      <c r="D978" s="572"/>
      <c r="E978" s="572"/>
      <c r="F978" s="483"/>
    </row>
    <row r="979">
      <c r="B979" s="572"/>
      <c r="C979" s="572"/>
      <c r="D979" s="572"/>
      <c r="E979" s="572"/>
      <c r="F979" s="483"/>
    </row>
    <row r="980">
      <c r="B980" s="572"/>
      <c r="C980" s="572"/>
      <c r="D980" s="572"/>
      <c r="E980" s="572"/>
      <c r="F980" s="483"/>
    </row>
    <row r="981">
      <c r="B981" s="572"/>
      <c r="C981" s="572"/>
      <c r="D981" s="572"/>
      <c r="E981" s="572"/>
      <c r="F981" s="483"/>
    </row>
    <row r="982">
      <c r="B982" s="572"/>
      <c r="C982" s="572"/>
      <c r="D982" s="572"/>
      <c r="E982" s="572"/>
      <c r="F982" s="483"/>
    </row>
    <row r="983">
      <c r="B983" s="572"/>
      <c r="C983" s="572"/>
      <c r="D983" s="572"/>
      <c r="E983" s="572"/>
      <c r="F983" s="483"/>
    </row>
    <row r="984">
      <c r="B984" s="572"/>
      <c r="C984" s="572"/>
      <c r="D984" s="572"/>
      <c r="E984" s="572"/>
      <c r="F984" s="483"/>
    </row>
    <row r="985">
      <c r="B985" s="572"/>
      <c r="C985" s="572"/>
      <c r="D985" s="572"/>
      <c r="E985" s="572"/>
      <c r="F985" s="483"/>
    </row>
    <row r="986">
      <c r="B986" s="572"/>
      <c r="C986" s="572"/>
      <c r="D986" s="572"/>
      <c r="E986" s="572"/>
      <c r="F986" s="483"/>
    </row>
    <row r="987">
      <c r="B987" s="572"/>
      <c r="C987" s="572"/>
      <c r="D987" s="572"/>
      <c r="E987" s="572"/>
      <c r="F987" s="483"/>
    </row>
    <row r="988">
      <c r="B988" s="572"/>
      <c r="C988" s="572"/>
      <c r="D988" s="572"/>
      <c r="E988" s="572"/>
      <c r="F988" s="483"/>
    </row>
    <row r="989">
      <c r="B989" s="572"/>
      <c r="C989" s="572"/>
      <c r="D989" s="572"/>
      <c r="E989" s="572"/>
      <c r="F989" s="483"/>
    </row>
    <row r="990">
      <c r="B990" s="572"/>
      <c r="C990" s="572"/>
      <c r="D990" s="572"/>
      <c r="E990" s="572"/>
      <c r="F990" s="483"/>
    </row>
    <row r="991">
      <c r="B991" s="572"/>
      <c r="C991" s="572"/>
      <c r="D991" s="572"/>
      <c r="E991" s="572"/>
      <c r="F991" s="483"/>
    </row>
    <row r="992">
      <c r="B992" s="572"/>
      <c r="C992" s="572"/>
      <c r="D992" s="572"/>
      <c r="E992" s="572"/>
      <c r="F992" s="483"/>
    </row>
    <row r="993">
      <c r="B993" s="572"/>
      <c r="C993" s="572"/>
      <c r="D993" s="572"/>
      <c r="E993" s="572"/>
      <c r="F993" s="483"/>
    </row>
    <row r="994">
      <c r="B994" s="572"/>
      <c r="C994" s="572"/>
      <c r="D994" s="572"/>
      <c r="E994" s="572"/>
      <c r="F994" s="483"/>
    </row>
    <row r="995">
      <c r="B995" s="572"/>
      <c r="C995" s="572"/>
      <c r="D995" s="572"/>
      <c r="E995" s="572"/>
      <c r="F995" s="483"/>
    </row>
    <row r="996">
      <c r="B996" s="572"/>
      <c r="C996" s="572"/>
      <c r="D996" s="572"/>
      <c r="E996" s="572"/>
      <c r="F996" s="483"/>
    </row>
    <row r="997">
      <c r="B997" s="572"/>
      <c r="C997" s="572"/>
      <c r="D997" s="572"/>
      <c r="E997" s="572"/>
      <c r="F997" s="483"/>
    </row>
    <row r="998">
      <c r="B998" s="572"/>
      <c r="C998" s="572"/>
      <c r="D998" s="572"/>
      <c r="E998" s="572"/>
      <c r="F998" s="483"/>
    </row>
    <row r="999">
      <c r="B999" s="572"/>
      <c r="C999" s="572"/>
      <c r="D999" s="572"/>
      <c r="E999" s="572"/>
      <c r="F999" s="483"/>
    </row>
  </sheetData>
  <autoFilter ref="$A$1:$Y$55">
    <sortState ref="A1:Y55">
      <sortCondition ref="A1:A55"/>
    </sortState>
  </autoFilter>
  <mergeCells count="2">
    <mergeCell ref="C57:D57"/>
    <mergeCell ref="C64:F64"/>
  </mergeCells>
  <conditionalFormatting sqref="A42">
    <cfRule type="cellIs" dxfId="4" priority="1" operator="equal">
      <formula>"Not Found"</formula>
    </cfRule>
  </conditionalFormatting>
  <hyperlinks>
    <hyperlink r:id="rId1" location="slide=id.g2edd551b383_0_767" ref="C64"/>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5.38"/>
    <col customWidth="1" min="3" max="3" width="46.13"/>
    <col customWidth="1" min="4" max="4" width="42.13"/>
    <col customWidth="1" min="5" max="5" width="12.88"/>
    <col customWidth="1" min="6" max="6" width="25.0"/>
  </cols>
  <sheetData>
    <row r="1">
      <c r="A1" s="505" t="s">
        <v>161</v>
      </c>
      <c r="B1" s="505" t="s">
        <v>495</v>
      </c>
      <c r="C1" s="504" t="s">
        <v>603</v>
      </c>
      <c r="D1" s="504" t="s">
        <v>604</v>
      </c>
      <c r="E1" s="506" t="s">
        <v>307</v>
      </c>
      <c r="F1" s="504" t="s">
        <v>203</v>
      </c>
    </row>
    <row r="2">
      <c r="A2" s="507" t="s">
        <v>207</v>
      </c>
      <c r="B2" s="511">
        <v>2021.0</v>
      </c>
      <c r="C2" s="531">
        <v>0.04</v>
      </c>
      <c r="D2" s="532" t="str">
        <f>IF(C2 &lt;0.2, "Low", IF(C2 &lt; 0.4, "Medium", "High"))</f>
        <v>Low</v>
      </c>
      <c r="E2" s="533">
        <f>IF(C2 &lt;0.2, (1/3), IF(C2 &lt;0.4, (2/3), 1))</f>
        <v>0.3333333333</v>
      </c>
      <c r="F2" s="534" t="s">
        <v>605</v>
      </c>
    </row>
    <row r="3">
      <c r="A3" s="507" t="s">
        <v>240</v>
      </c>
      <c r="B3" s="511"/>
      <c r="C3" s="535" t="s">
        <v>382</v>
      </c>
      <c r="D3" s="535" t="s">
        <v>382</v>
      </c>
      <c r="E3" s="536" t="s">
        <v>382</v>
      </c>
    </row>
    <row r="4">
      <c r="A4" s="507" t="s">
        <v>268</v>
      </c>
      <c r="B4" s="511">
        <v>2021.0</v>
      </c>
      <c r="C4" s="531">
        <v>0.11</v>
      </c>
      <c r="D4" s="537" t="str">
        <f t="shared" ref="D4:D6" si="1">IF(C4 &lt;0.2, "Low", IF(C4 &lt; 0.4, "Medium", "High"))</f>
        <v>Low</v>
      </c>
      <c r="E4" s="533">
        <f t="shared" ref="E4:E6" si="2">IF(C4 &lt;0.2, (1/3), IF(C4 &lt;0.4, (2/3), 1))</f>
        <v>0.3333333333</v>
      </c>
    </row>
    <row r="5">
      <c r="A5" s="507" t="s">
        <v>329</v>
      </c>
      <c r="B5" s="511">
        <v>2022.0</v>
      </c>
      <c r="C5" s="531">
        <v>0.11</v>
      </c>
      <c r="D5" s="537" t="str">
        <f t="shared" si="1"/>
        <v>Low</v>
      </c>
      <c r="E5" s="533">
        <f t="shared" si="2"/>
        <v>0.3333333333</v>
      </c>
    </row>
    <row r="6">
      <c r="A6" s="507" t="s">
        <v>331</v>
      </c>
      <c r="B6" s="511">
        <v>2021.0</v>
      </c>
      <c r="C6" s="531">
        <v>0.09</v>
      </c>
      <c r="D6" s="537" t="str">
        <f t="shared" si="1"/>
        <v>Low</v>
      </c>
      <c r="E6" s="533">
        <f t="shared" si="2"/>
        <v>0.3333333333</v>
      </c>
    </row>
    <row r="7">
      <c r="A7" s="507" t="s">
        <v>333</v>
      </c>
      <c r="B7" s="511">
        <v>2014.0</v>
      </c>
      <c r="C7" s="535" t="s">
        <v>382</v>
      </c>
      <c r="D7" s="535" t="s">
        <v>382</v>
      </c>
      <c r="E7" s="536" t="s">
        <v>382</v>
      </c>
    </row>
    <row r="8">
      <c r="A8" s="507" t="s">
        <v>225</v>
      </c>
      <c r="B8" s="507"/>
      <c r="C8" s="535" t="s">
        <v>382</v>
      </c>
      <c r="D8" s="535" t="s">
        <v>382</v>
      </c>
      <c r="E8" s="536" t="s">
        <v>382</v>
      </c>
    </row>
    <row r="9">
      <c r="A9" s="507" t="s">
        <v>338</v>
      </c>
      <c r="B9" s="511">
        <v>2021.0</v>
      </c>
      <c r="C9" s="531">
        <v>0.11</v>
      </c>
      <c r="D9" s="537" t="str">
        <f>IF(C9 &lt;0.2, "Low", IF(C9 &lt; 0.4, "Medium", "High"))</f>
        <v>Low</v>
      </c>
      <c r="E9" s="533">
        <f>IF(C9 &lt;0.2, (1/3), IF(C9 &lt;0.4, (2/3), 1))</f>
        <v>0.3333333333</v>
      </c>
    </row>
    <row r="10">
      <c r="A10" s="507" t="s">
        <v>340</v>
      </c>
      <c r="B10" s="511">
        <v>2017.0</v>
      </c>
      <c r="C10" s="535" t="s">
        <v>382</v>
      </c>
      <c r="D10" s="535" t="s">
        <v>382</v>
      </c>
      <c r="E10" s="536" t="s">
        <v>382</v>
      </c>
    </row>
    <row r="11">
      <c r="A11" s="507" t="s">
        <v>342</v>
      </c>
      <c r="B11" s="511">
        <v>2022.0</v>
      </c>
      <c r="C11" s="531">
        <v>0.1</v>
      </c>
      <c r="D11" s="537" t="str">
        <f t="shared" ref="D11:D14" si="3">IF(C11 &lt;0.2, "Low", IF(C11 &lt; 0.4, "Medium", "High"))</f>
        <v>Low</v>
      </c>
      <c r="E11" s="533">
        <f t="shared" ref="E11:E14" si="4">IF(C11 &lt;0.2, (1/3), IF(C11 &lt;0.4, (2/3), 1))</f>
        <v>0.3333333333</v>
      </c>
    </row>
    <row r="12">
      <c r="A12" s="507" t="s">
        <v>346</v>
      </c>
      <c r="B12" s="511">
        <v>2022.0</v>
      </c>
      <c r="C12" s="531">
        <v>0.09</v>
      </c>
      <c r="D12" s="537" t="str">
        <f t="shared" si="3"/>
        <v>Low</v>
      </c>
      <c r="E12" s="533">
        <f t="shared" si="4"/>
        <v>0.3333333333</v>
      </c>
    </row>
    <row r="13">
      <c r="A13" s="507" t="s">
        <v>351</v>
      </c>
      <c r="B13" s="511">
        <v>2021.0</v>
      </c>
      <c r="C13" s="531">
        <v>0.1</v>
      </c>
      <c r="D13" s="537" t="str">
        <f t="shared" si="3"/>
        <v>Low</v>
      </c>
      <c r="E13" s="533">
        <f t="shared" si="4"/>
        <v>0.3333333333</v>
      </c>
    </row>
    <row r="14">
      <c r="A14" s="515" t="s">
        <v>356</v>
      </c>
      <c r="B14" s="511">
        <v>2021.0</v>
      </c>
      <c r="C14" s="531">
        <v>0.08</v>
      </c>
      <c r="D14" s="537" t="str">
        <f t="shared" si="3"/>
        <v>Low</v>
      </c>
      <c r="E14" s="533">
        <f t="shared" si="4"/>
        <v>0.3333333333</v>
      </c>
    </row>
    <row r="15">
      <c r="A15" s="507" t="s">
        <v>357</v>
      </c>
      <c r="B15" s="511">
        <v>2011.0</v>
      </c>
      <c r="C15" s="535" t="s">
        <v>382</v>
      </c>
      <c r="D15" s="535" t="s">
        <v>382</v>
      </c>
      <c r="E15" s="536" t="s">
        <v>382</v>
      </c>
    </row>
    <row r="16">
      <c r="A16" s="507" t="s">
        <v>276</v>
      </c>
      <c r="B16" s="511">
        <v>2022.0</v>
      </c>
      <c r="C16" s="531">
        <v>0.05</v>
      </c>
      <c r="D16" s="537" t="str">
        <f t="shared" ref="D16:D17" si="5">IF(C16 &lt;0.2, "Low", IF(C16 &lt; 0.4, "Medium", "High"))</f>
        <v>Low</v>
      </c>
      <c r="E16" s="533">
        <f t="shared" ref="E16:E17" si="6">IF(C16 &lt;0.2, (1/3), IF(C16 &lt;0.4, (2/3), 1))</f>
        <v>0.3333333333</v>
      </c>
    </row>
    <row r="17">
      <c r="A17" s="507" t="s">
        <v>285</v>
      </c>
      <c r="B17" s="511">
        <v>2021.0</v>
      </c>
      <c r="C17" s="531">
        <v>0.08</v>
      </c>
      <c r="D17" s="537" t="str">
        <f t="shared" si="5"/>
        <v>Low</v>
      </c>
      <c r="E17" s="533">
        <f t="shared" si="6"/>
        <v>0.3333333333</v>
      </c>
    </row>
    <row r="18">
      <c r="A18" s="507" t="s">
        <v>360</v>
      </c>
      <c r="B18" s="507"/>
      <c r="C18" s="535" t="s">
        <v>382</v>
      </c>
      <c r="D18" s="535" t="s">
        <v>382</v>
      </c>
      <c r="E18" s="536" t="s">
        <v>382</v>
      </c>
    </row>
    <row r="19">
      <c r="A19" s="507" t="s">
        <v>362</v>
      </c>
      <c r="B19" s="507"/>
      <c r="C19" s="535" t="s">
        <v>382</v>
      </c>
      <c r="D19" s="535" t="s">
        <v>382</v>
      </c>
      <c r="E19" s="536" t="s">
        <v>382</v>
      </c>
    </row>
    <row r="20">
      <c r="A20" s="507" t="s">
        <v>363</v>
      </c>
      <c r="B20" s="511">
        <v>2022.0</v>
      </c>
      <c r="C20" s="531">
        <v>0.33</v>
      </c>
      <c r="D20" s="537" t="str">
        <f t="shared" ref="D20:D25" si="7">IF(C20 &lt;0.2, "Low", IF(C20 &lt; 0.4, "Medium", "High"))</f>
        <v>Medium</v>
      </c>
      <c r="E20" s="533">
        <f t="shared" ref="E20:E25" si="8">IF(C20 &lt;0.2, (1/3), IF(C20 &lt;0.4, (2/3), 1))</f>
        <v>0.6666666667</v>
      </c>
    </row>
    <row r="21">
      <c r="A21" s="507" t="s">
        <v>255</v>
      </c>
      <c r="B21" s="511">
        <v>2022.0</v>
      </c>
      <c r="C21" s="531">
        <v>0.05</v>
      </c>
      <c r="D21" s="537" t="str">
        <f t="shared" si="7"/>
        <v>Low</v>
      </c>
      <c r="E21" s="533">
        <f t="shared" si="8"/>
        <v>0.3333333333</v>
      </c>
    </row>
    <row r="22">
      <c r="A22" s="507" t="s">
        <v>374</v>
      </c>
      <c r="B22" s="511">
        <v>2021.0</v>
      </c>
      <c r="C22" s="531">
        <v>0.12</v>
      </c>
      <c r="D22" s="537" t="str">
        <f t="shared" si="7"/>
        <v>Low</v>
      </c>
      <c r="E22" s="533">
        <f t="shared" si="8"/>
        <v>0.3333333333</v>
      </c>
    </row>
    <row r="23">
      <c r="A23" s="507" t="s">
        <v>263</v>
      </c>
      <c r="B23" s="511">
        <v>2022.0</v>
      </c>
      <c r="C23" s="531">
        <v>0.06</v>
      </c>
      <c r="D23" s="537" t="str">
        <f t="shared" si="7"/>
        <v>Low</v>
      </c>
      <c r="E23" s="533">
        <f t="shared" si="8"/>
        <v>0.3333333333</v>
      </c>
    </row>
    <row r="24">
      <c r="A24" s="507" t="s">
        <v>266</v>
      </c>
      <c r="B24" s="511">
        <v>2021.0</v>
      </c>
      <c r="C24" s="531">
        <v>0.17</v>
      </c>
      <c r="D24" s="537" t="str">
        <f t="shared" si="7"/>
        <v>Low</v>
      </c>
      <c r="E24" s="533">
        <f t="shared" si="8"/>
        <v>0.3333333333</v>
      </c>
    </row>
    <row r="25">
      <c r="A25" s="507" t="s">
        <v>385</v>
      </c>
      <c r="B25" s="511">
        <v>2021.0</v>
      </c>
      <c r="C25" s="531">
        <v>0.08</v>
      </c>
      <c r="D25" s="537" t="str">
        <f t="shared" si="7"/>
        <v>Low</v>
      </c>
      <c r="E25" s="533">
        <f t="shared" si="8"/>
        <v>0.3333333333</v>
      </c>
    </row>
    <row r="26">
      <c r="A26" s="507" t="s">
        <v>386</v>
      </c>
      <c r="B26" s="507"/>
      <c r="C26" s="535" t="s">
        <v>382</v>
      </c>
      <c r="D26" s="535" t="s">
        <v>382</v>
      </c>
      <c r="E26" s="536" t="s">
        <v>382</v>
      </c>
    </row>
    <row r="27">
      <c r="A27" s="507" t="s">
        <v>280</v>
      </c>
      <c r="B27" s="511">
        <v>2021.0</v>
      </c>
      <c r="C27" s="531">
        <v>0.4</v>
      </c>
      <c r="D27" s="537" t="str">
        <f t="shared" ref="D27:D29" si="9">IF(C27 &lt;0.2, "Low", IF(C27 &lt; 0.4, "Medium", "High"))</f>
        <v>High</v>
      </c>
      <c r="E27" s="533">
        <f t="shared" ref="E27:E29" si="10">IF(C27 &lt;0.2, (1/3), IF(C27 &lt;0.4, (2/3), 1))</f>
        <v>1</v>
      </c>
    </row>
    <row r="28">
      <c r="A28" s="507" t="s">
        <v>392</v>
      </c>
      <c r="B28" s="511">
        <v>2022.0</v>
      </c>
      <c r="C28" s="531">
        <v>0.19</v>
      </c>
      <c r="D28" s="537" t="str">
        <f t="shared" si="9"/>
        <v>Low</v>
      </c>
      <c r="E28" s="533">
        <f t="shared" si="10"/>
        <v>0.3333333333</v>
      </c>
    </row>
    <row r="29">
      <c r="A29" s="507" t="s">
        <v>394</v>
      </c>
      <c r="B29" s="511">
        <v>2021.0</v>
      </c>
      <c r="C29" s="531">
        <v>0.17</v>
      </c>
      <c r="D29" s="537" t="str">
        <f t="shared" si="9"/>
        <v>Low</v>
      </c>
      <c r="E29" s="533">
        <f t="shared" si="10"/>
        <v>0.3333333333</v>
      </c>
    </row>
    <row r="30">
      <c r="A30" s="507" t="s">
        <v>396</v>
      </c>
      <c r="B30" s="511">
        <v>2017.0</v>
      </c>
      <c r="C30" s="535" t="s">
        <v>382</v>
      </c>
      <c r="D30" s="535" t="s">
        <v>382</v>
      </c>
      <c r="E30" s="536" t="s">
        <v>382</v>
      </c>
    </row>
    <row r="31">
      <c r="A31" s="507" t="s">
        <v>336</v>
      </c>
      <c r="B31" s="511">
        <v>2022.0</v>
      </c>
      <c r="C31" s="531">
        <v>0.09</v>
      </c>
      <c r="D31" s="537" t="str">
        <f t="shared" ref="D31:D40" si="11">IF(C31 &lt;0.2, "Low", IF(C31 &lt; 0.4, "Medium", "High"))</f>
        <v>Low</v>
      </c>
      <c r="E31" s="533">
        <f t="shared" ref="E31:E40" si="12">IF(C31 &lt;0.2, (1/3), IF(C31 &lt;0.4, (2/3), 1))</f>
        <v>0.3333333333</v>
      </c>
    </row>
    <row r="32">
      <c r="A32" s="507" t="s">
        <v>343</v>
      </c>
      <c r="B32" s="511">
        <v>2021.0</v>
      </c>
      <c r="C32" s="531">
        <v>0.1</v>
      </c>
      <c r="D32" s="537" t="str">
        <f t="shared" si="11"/>
        <v>Low</v>
      </c>
      <c r="E32" s="533">
        <f t="shared" si="12"/>
        <v>0.3333333333</v>
      </c>
    </row>
    <row r="33">
      <c r="A33" s="507" t="s">
        <v>399</v>
      </c>
      <c r="B33" s="511">
        <v>2021.0</v>
      </c>
      <c r="C33" s="531">
        <v>0.13</v>
      </c>
      <c r="D33" s="537" t="str">
        <f t="shared" si="11"/>
        <v>Low</v>
      </c>
      <c r="E33" s="533">
        <f t="shared" si="12"/>
        <v>0.3333333333</v>
      </c>
    </row>
    <row r="34">
      <c r="A34" s="507" t="s">
        <v>401</v>
      </c>
      <c r="B34" s="511">
        <v>2022.0</v>
      </c>
      <c r="C34" s="531">
        <v>0.12</v>
      </c>
      <c r="D34" s="537" t="str">
        <f t="shared" si="11"/>
        <v>Low</v>
      </c>
      <c r="E34" s="533">
        <f t="shared" si="12"/>
        <v>0.3333333333</v>
      </c>
    </row>
    <row r="35">
      <c r="A35" s="507" t="s">
        <v>354</v>
      </c>
      <c r="B35" s="511">
        <v>2021.0</v>
      </c>
      <c r="C35" s="531">
        <v>0.2</v>
      </c>
      <c r="D35" s="537" t="str">
        <f t="shared" si="11"/>
        <v>Medium</v>
      </c>
      <c r="E35" s="533">
        <f t="shared" si="12"/>
        <v>0.6666666667</v>
      </c>
    </row>
    <row r="36">
      <c r="A36" s="507" t="s">
        <v>290</v>
      </c>
      <c r="B36" s="511">
        <v>2021.0</v>
      </c>
      <c r="C36" s="531">
        <v>0.05</v>
      </c>
      <c r="D36" s="537" t="str">
        <f t="shared" si="11"/>
        <v>Low</v>
      </c>
      <c r="E36" s="533">
        <f t="shared" si="12"/>
        <v>0.3333333333</v>
      </c>
    </row>
    <row r="37">
      <c r="A37" s="507" t="s">
        <v>291</v>
      </c>
      <c r="B37" s="511">
        <v>2021.0</v>
      </c>
      <c r="C37" s="531">
        <v>0.15</v>
      </c>
      <c r="D37" s="537" t="str">
        <f t="shared" si="11"/>
        <v>Low</v>
      </c>
      <c r="E37" s="533">
        <f t="shared" si="12"/>
        <v>0.3333333333</v>
      </c>
    </row>
    <row r="38">
      <c r="A38" s="507" t="s">
        <v>296</v>
      </c>
      <c r="B38" s="511">
        <v>2021.0</v>
      </c>
      <c r="C38" s="531">
        <v>0.23</v>
      </c>
      <c r="D38" s="537" t="str">
        <f t="shared" si="11"/>
        <v>Medium</v>
      </c>
      <c r="E38" s="533">
        <f t="shared" si="12"/>
        <v>0.6666666667</v>
      </c>
    </row>
    <row r="39">
      <c r="A39" s="507" t="s">
        <v>407</v>
      </c>
      <c r="B39" s="511">
        <v>2022.0</v>
      </c>
      <c r="C39" s="531">
        <v>0.04</v>
      </c>
      <c r="D39" s="537" t="str">
        <f t="shared" si="11"/>
        <v>Low</v>
      </c>
      <c r="E39" s="533">
        <f t="shared" si="12"/>
        <v>0.3333333333</v>
      </c>
    </row>
    <row r="40">
      <c r="A40" s="507" t="s">
        <v>299</v>
      </c>
      <c r="B40" s="511">
        <v>2021.0</v>
      </c>
      <c r="C40" s="531">
        <v>0.07</v>
      </c>
      <c r="D40" s="537" t="str">
        <f t="shared" si="11"/>
        <v>Low</v>
      </c>
      <c r="E40" s="533">
        <f t="shared" si="12"/>
        <v>0.3333333333</v>
      </c>
    </row>
    <row r="41">
      <c r="A41" s="507" t="s">
        <v>302</v>
      </c>
      <c r="B41" s="511">
        <v>2017.0</v>
      </c>
      <c r="C41" s="535" t="s">
        <v>382</v>
      </c>
      <c r="D41" s="535" t="s">
        <v>382</v>
      </c>
      <c r="E41" s="536" t="s">
        <v>382</v>
      </c>
    </row>
    <row r="42">
      <c r="A42" s="538" t="s">
        <v>410</v>
      </c>
      <c r="B42" s="507"/>
      <c r="C42" s="535" t="s">
        <v>382</v>
      </c>
      <c r="D42" s="535" t="s">
        <v>382</v>
      </c>
      <c r="E42" s="536" t="s">
        <v>382</v>
      </c>
    </row>
    <row r="43">
      <c r="A43" s="507" t="s">
        <v>411</v>
      </c>
      <c r="B43" s="511">
        <v>2021.0</v>
      </c>
      <c r="C43" s="531">
        <v>0.13</v>
      </c>
      <c r="D43" s="537" t="str">
        <f>IF(C43 &lt;0.2, "Low", IF(C43 &lt; 0.4, "Medium", "High"))</f>
        <v>Low</v>
      </c>
      <c r="E43" s="533">
        <f>IF(C43 &lt;0.2, (1/3), IF(C43 &lt;0.4, (2/3), 1))</f>
        <v>0.3333333333</v>
      </c>
    </row>
    <row r="44">
      <c r="A44" s="507" t="s">
        <v>309</v>
      </c>
      <c r="B44" s="540"/>
      <c r="C44" s="535" t="s">
        <v>382</v>
      </c>
      <c r="D44" s="535" t="s">
        <v>382</v>
      </c>
      <c r="E44" s="536" t="s">
        <v>382</v>
      </c>
    </row>
    <row r="45">
      <c r="A45" s="507" t="s">
        <v>412</v>
      </c>
      <c r="B45" s="511">
        <v>2021.0</v>
      </c>
      <c r="C45" s="531">
        <v>0.06</v>
      </c>
      <c r="D45" s="537" t="str">
        <f>IF(C45 &lt;0.2, "Low", IF(C45 &lt; 0.4, "Medium", "High"))</f>
        <v>Low</v>
      </c>
      <c r="E45" s="533">
        <f>IF(C45 &lt;0.2, (1/3), IF(C45 &lt;0.4, (2/3), 1))</f>
        <v>0.3333333333</v>
      </c>
    </row>
    <row r="46">
      <c r="A46" s="507" t="s">
        <v>415</v>
      </c>
      <c r="B46" s="511">
        <v>2014.0</v>
      </c>
      <c r="C46" s="535" t="s">
        <v>382</v>
      </c>
      <c r="D46" s="535" t="s">
        <v>382</v>
      </c>
      <c r="E46" s="536" t="s">
        <v>382</v>
      </c>
    </row>
    <row r="47">
      <c r="A47" s="507" t="s">
        <v>313</v>
      </c>
      <c r="B47" s="511">
        <v>2021.0</v>
      </c>
      <c r="C47" s="531">
        <v>0.19</v>
      </c>
      <c r="D47" s="537" t="str">
        <f t="shared" ref="D47:D48" si="13">IF(C47 &lt;0.2, "Low", IF(C47 &lt; 0.4, "Medium", "High"))</f>
        <v>Low</v>
      </c>
      <c r="E47" s="533">
        <f t="shared" ref="E47:E48" si="14">IF(C47 &lt;0.2, (1/3), IF(C47 &lt;0.4, (2/3), 1))</f>
        <v>0.3333333333</v>
      </c>
    </row>
    <row r="48">
      <c r="A48" s="507" t="s">
        <v>416</v>
      </c>
      <c r="B48" s="511">
        <v>2021.0</v>
      </c>
      <c r="C48" s="531">
        <v>0.03</v>
      </c>
      <c r="D48" s="537" t="str">
        <f t="shared" si="13"/>
        <v>Low</v>
      </c>
      <c r="E48" s="533">
        <f t="shared" si="14"/>
        <v>0.3333333333</v>
      </c>
    </row>
    <row r="49">
      <c r="A49" s="507" t="s">
        <v>417</v>
      </c>
      <c r="B49" s="511">
        <v>2014.0</v>
      </c>
      <c r="C49" s="535" t="s">
        <v>382</v>
      </c>
      <c r="D49" s="535" t="s">
        <v>382</v>
      </c>
      <c r="E49" s="536" t="s">
        <v>382</v>
      </c>
    </row>
    <row r="50">
      <c r="A50" s="507" t="s">
        <v>418</v>
      </c>
      <c r="B50" s="511">
        <v>2021.0</v>
      </c>
      <c r="C50" s="531">
        <v>0.13</v>
      </c>
      <c r="D50" s="537" t="str">
        <f t="shared" ref="D50:D55" si="15">IF(C50 &lt;0.2, "Low", IF(C50 &lt; 0.4, "Medium", "High"))</f>
        <v>Low</v>
      </c>
      <c r="E50" s="533">
        <f t="shared" ref="E50:E55" si="16">IF(C50 &lt;0.2, (1/3), IF(C50 &lt;0.4, (2/3), 1))</f>
        <v>0.3333333333</v>
      </c>
    </row>
    <row r="51">
      <c r="A51" s="507" t="s">
        <v>398</v>
      </c>
      <c r="B51" s="511">
        <v>2021.0</v>
      </c>
      <c r="C51" s="531">
        <v>0.08</v>
      </c>
      <c r="D51" s="537" t="str">
        <f t="shared" si="15"/>
        <v>Low</v>
      </c>
      <c r="E51" s="533">
        <f t="shared" si="16"/>
        <v>0.3333333333</v>
      </c>
    </row>
    <row r="52">
      <c r="A52" s="507" t="s">
        <v>318</v>
      </c>
      <c r="B52" s="511">
        <v>2021.0</v>
      </c>
      <c r="C52" s="531">
        <v>0.1</v>
      </c>
      <c r="D52" s="537" t="str">
        <f t="shared" si="15"/>
        <v>Low</v>
      </c>
      <c r="E52" s="533">
        <f t="shared" si="16"/>
        <v>0.3333333333</v>
      </c>
    </row>
    <row r="53">
      <c r="A53" s="507" t="s">
        <v>405</v>
      </c>
      <c r="B53" s="511">
        <v>2021.0</v>
      </c>
      <c r="C53" s="531">
        <v>0.29</v>
      </c>
      <c r="D53" s="537" t="str">
        <f t="shared" si="15"/>
        <v>Medium</v>
      </c>
      <c r="E53" s="533">
        <f t="shared" si="16"/>
        <v>0.6666666667</v>
      </c>
    </row>
    <row r="54">
      <c r="A54" s="507" t="s">
        <v>408</v>
      </c>
      <c r="B54" s="511">
        <v>2021.0</v>
      </c>
      <c r="C54" s="531">
        <v>0.15</v>
      </c>
      <c r="D54" s="537" t="str">
        <f t="shared" si="15"/>
        <v>Low</v>
      </c>
      <c r="E54" s="533">
        <f t="shared" si="16"/>
        <v>0.3333333333</v>
      </c>
    </row>
    <row r="55">
      <c r="A55" s="521" t="s">
        <v>320</v>
      </c>
      <c r="B55" s="523">
        <v>2021.0</v>
      </c>
      <c r="C55" s="541">
        <v>0.15</v>
      </c>
      <c r="D55" s="542" t="str">
        <f t="shared" si="15"/>
        <v>Low</v>
      </c>
      <c r="E55" s="543">
        <f t="shared" si="16"/>
        <v>0.3333333333</v>
      </c>
    </row>
    <row r="56">
      <c r="A56" s="507"/>
      <c r="B56" s="507"/>
      <c r="C56" s="507"/>
      <c r="D56" s="544"/>
      <c r="E56" s="544"/>
    </row>
    <row r="57">
      <c r="A57" s="507"/>
      <c r="C57" s="357" t="s">
        <v>606</v>
      </c>
      <c r="D57" s="62"/>
      <c r="E57" s="418" t="s">
        <v>421</v>
      </c>
    </row>
    <row r="58">
      <c r="A58" s="507"/>
      <c r="C58" s="360" t="s">
        <v>422</v>
      </c>
      <c r="D58" s="545">
        <f>max(C2:C55)</f>
        <v>0.4</v>
      </c>
      <c r="E58" s="525" t="s">
        <v>280</v>
      </c>
    </row>
    <row r="59">
      <c r="A59" s="507"/>
      <c r="C59" s="360" t="s">
        <v>423</v>
      </c>
      <c r="D59" s="545">
        <f>min(C2:C55)</f>
        <v>0.03</v>
      </c>
      <c r="E59" s="526" t="s">
        <v>416</v>
      </c>
    </row>
    <row r="60">
      <c r="A60" s="507"/>
      <c r="C60" s="360" t="s">
        <v>424</v>
      </c>
      <c r="D60" s="545">
        <f>AVERAGE(C2:C55)</f>
        <v>0.1255</v>
      </c>
      <c r="E60" s="544"/>
    </row>
    <row r="61">
      <c r="A61" s="507"/>
      <c r="C61" s="360" t="s">
        <v>425</v>
      </c>
      <c r="D61" s="545">
        <f>MEDIAN(C2:C55)</f>
        <v>0.105</v>
      </c>
      <c r="E61" s="544"/>
    </row>
    <row r="62">
      <c r="A62" s="507"/>
      <c r="C62" s="367" t="s">
        <v>446</v>
      </c>
      <c r="D62" s="546">
        <f>STDEV(C2:C55)</f>
        <v>0.07890110655</v>
      </c>
      <c r="E62" s="544"/>
    </row>
    <row r="63">
      <c r="A63" s="507"/>
      <c r="B63" s="507"/>
      <c r="C63" s="507"/>
      <c r="D63" s="544"/>
      <c r="E63" s="544"/>
    </row>
    <row r="64">
      <c r="A64" s="507"/>
      <c r="B64" s="507"/>
      <c r="C64" s="547" t="s">
        <v>325</v>
      </c>
      <c r="G64" s="548"/>
      <c r="H64" s="548"/>
      <c r="I64" s="548"/>
    </row>
    <row r="65">
      <c r="A65" s="507"/>
      <c r="B65" s="507"/>
      <c r="C65" s="549" t="str">
        <f t="array" ref="C65:C82">{"INDICATOR INFORMATION";
  "Index Category: "&amp;CHAR(10)&amp;
  "EV Readiness Index - Measures country preparedness to adopt EVs at large scale";
  "";
  "Sub-Category: "&amp;CHAR(10)&amp;
  "EV Affordability";
  "";
  "Indicator Name: "&amp;CHAR(10)&amp;
  "Access to Finance";
  "";
  "Description: "&amp;CHAR(10)&amp;
  "Measures the percentage of adults (age 15+) who have borrowed money from a formal financial institution or using a mobile money account";
  "";
  "Scoring Categories: "&amp;CHAR(10)&amp;
  "• Low (&lt;20%) = Low Readiness (1/3)"&amp;CHAR(10)&amp;
  "• Medium (20-40%) = Medium Readiness (2/3)"&amp;CHAR(10)&amp;
  "• High (&gt;40%) = High Readiness (3/3)";
  "";
  "Summary Statistics: "&amp;CHAR(10)&amp;
  "• Maximum: 40.0% (Kenya)"&amp;CHAR(10)&amp;
  "• Minimum: 3.0% (South Sudan)"&amp;CHAR(10)&amp;
  "• Average: 12.6%"&amp;CHAR(10)&amp;
  "• Median: 10.5%"&amp;CHAR(10)&amp;
  "• Standard Deviation: 7.9%";
  "";
  "Scoring Rationale: "&amp;CHAR(10)&amp;
  "• World average: 30%"&amp;CHAR(10)&amp;
  "• High-income countries average: 56%"&amp;CHAR(10)&amp;
  "• Regional benchmarks: Middle East (11%), South Asia (12%), SSA (14%)";
  "";
  "Data Coverage: "&amp;CHAR(10)&amp;
  "• Latest available data (primarily 2021-2022)"&amp;CHAR(10)&amp;
  "• Some countries have older or no data";
  "";
  "Data Source: "&amp;CHAR(10)&amp;
  "• World Bank Global Findex Database"}</f>
        <v>INDICATOR INFORMATION</v>
      </c>
      <c r="D65" s="550"/>
      <c r="E65" s="550"/>
      <c r="F65" s="438"/>
      <c r="G65" s="552"/>
      <c r="H65" s="432"/>
      <c r="I65" s="432"/>
    </row>
    <row r="66">
      <c r="A66" s="507"/>
      <c r="B66" s="507"/>
      <c r="C66" s="553" t="s">
        <v>339</v>
      </c>
      <c r="D66" s="544"/>
      <c r="E66" s="544"/>
      <c r="G66" s="275"/>
    </row>
    <row r="67">
      <c r="A67" s="507"/>
      <c r="B67" s="507"/>
      <c r="C67" s="553" t="s">
        <v>126</v>
      </c>
      <c r="D67" s="544"/>
      <c r="E67" s="544"/>
      <c r="G67" s="275"/>
    </row>
    <row r="68">
      <c r="A68" s="507"/>
      <c r="B68" s="507"/>
      <c r="C68" s="553" t="s">
        <v>607</v>
      </c>
      <c r="D68" s="544"/>
      <c r="E68" s="544"/>
      <c r="G68" s="275"/>
    </row>
    <row r="69">
      <c r="A69" s="507"/>
      <c r="B69" s="507"/>
      <c r="C69" s="553" t="s">
        <v>126</v>
      </c>
      <c r="D69" s="544"/>
      <c r="E69" s="544"/>
      <c r="G69" s="275"/>
    </row>
    <row r="70">
      <c r="A70" s="507"/>
      <c r="B70" s="507"/>
      <c r="C70" s="553" t="s">
        <v>608</v>
      </c>
      <c r="D70" s="544"/>
      <c r="E70" s="544"/>
      <c r="G70" s="275"/>
    </row>
    <row r="71">
      <c r="A71" s="507"/>
      <c r="B71" s="507"/>
      <c r="C71" s="553" t="s">
        <v>126</v>
      </c>
      <c r="D71" s="544"/>
      <c r="E71" s="544"/>
      <c r="G71" s="275"/>
    </row>
    <row r="72">
      <c r="A72" s="507"/>
      <c r="B72" s="507"/>
      <c r="C72" s="553" t="s">
        <v>609</v>
      </c>
      <c r="D72" s="544"/>
      <c r="E72" s="544"/>
      <c r="G72" s="275"/>
    </row>
    <row r="73">
      <c r="A73" s="507"/>
      <c r="B73" s="507"/>
      <c r="C73" s="553" t="s">
        <v>126</v>
      </c>
      <c r="D73" s="544"/>
      <c r="E73" s="544"/>
      <c r="G73" s="275"/>
    </row>
    <row r="74">
      <c r="A74" s="507"/>
      <c r="B74" s="507"/>
      <c r="C74" s="553" t="s">
        <v>610</v>
      </c>
      <c r="D74" s="544"/>
      <c r="E74" s="544"/>
      <c r="G74" s="275"/>
    </row>
    <row r="75">
      <c r="A75" s="507"/>
      <c r="B75" s="507"/>
      <c r="C75" s="553" t="s">
        <v>126</v>
      </c>
      <c r="D75" s="544"/>
      <c r="E75" s="544"/>
      <c r="G75" s="275"/>
    </row>
    <row r="76">
      <c r="A76" s="507"/>
      <c r="B76" s="507"/>
      <c r="C76" s="553" t="s">
        <v>611</v>
      </c>
      <c r="D76" s="544"/>
      <c r="E76" s="544"/>
      <c r="G76" s="275"/>
    </row>
    <row r="77">
      <c r="A77" s="507"/>
      <c r="B77" s="507"/>
      <c r="C77" s="553" t="s">
        <v>126</v>
      </c>
      <c r="D77" s="544"/>
      <c r="E77" s="544"/>
      <c r="G77" s="275"/>
    </row>
    <row r="78">
      <c r="A78" s="507"/>
      <c r="B78" s="507"/>
      <c r="C78" s="553" t="s">
        <v>612</v>
      </c>
      <c r="D78" s="544"/>
      <c r="E78" s="544"/>
      <c r="G78" s="275"/>
    </row>
    <row r="79">
      <c r="A79" s="507"/>
      <c r="B79" s="507"/>
      <c r="C79" s="553" t="s">
        <v>126</v>
      </c>
      <c r="D79" s="544"/>
      <c r="E79" s="544"/>
      <c r="G79" s="275"/>
    </row>
    <row r="80">
      <c r="A80" s="507"/>
      <c r="B80" s="507"/>
      <c r="C80" s="553" t="s">
        <v>613</v>
      </c>
      <c r="D80" s="544"/>
      <c r="E80" s="544"/>
      <c r="G80" s="275"/>
    </row>
    <row r="81">
      <c r="A81" s="507"/>
      <c r="B81" s="507"/>
      <c r="C81" s="553" t="s">
        <v>126</v>
      </c>
      <c r="D81" s="544"/>
      <c r="E81" s="544"/>
      <c r="G81" s="275"/>
    </row>
    <row r="82">
      <c r="A82" s="507"/>
      <c r="B82" s="507"/>
      <c r="C82" s="553" t="s">
        <v>614</v>
      </c>
      <c r="D82" s="544"/>
      <c r="E82" s="544"/>
      <c r="G82" s="275"/>
    </row>
    <row r="83">
      <c r="A83" s="507"/>
      <c r="B83" s="507"/>
      <c r="C83" s="556"/>
      <c r="D83" s="557"/>
      <c r="E83" s="557"/>
      <c r="F83" s="283"/>
      <c r="G83" s="275"/>
    </row>
    <row r="84">
      <c r="A84" s="507"/>
      <c r="B84" s="507"/>
      <c r="C84" s="507"/>
      <c r="D84" s="544"/>
      <c r="E84" s="544"/>
    </row>
    <row r="85">
      <c r="A85" s="507"/>
      <c r="B85" s="507"/>
      <c r="C85" s="507"/>
      <c r="D85" s="544"/>
      <c r="E85" s="544"/>
    </row>
    <row r="86">
      <c r="A86" s="507"/>
      <c r="B86" s="507"/>
      <c r="C86" s="507"/>
      <c r="D86" s="544"/>
      <c r="E86" s="544"/>
    </row>
    <row r="87">
      <c r="A87" s="507"/>
      <c r="B87" s="507"/>
      <c r="C87" s="507"/>
      <c r="D87" s="544"/>
      <c r="E87" s="544"/>
    </row>
    <row r="88">
      <c r="A88" s="507"/>
      <c r="B88" s="507"/>
      <c r="C88" s="507"/>
      <c r="D88" s="544"/>
      <c r="E88" s="544"/>
    </row>
    <row r="89">
      <c r="A89" s="507"/>
      <c r="B89" s="507"/>
      <c r="C89" s="507"/>
      <c r="D89" s="544"/>
      <c r="E89" s="544"/>
    </row>
    <row r="90">
      <c r="A90" s="507"/>
      <c r="B90" s="507"/>
      <c r="C90" s="507"/>
      <c r="D90" s="544"/>
      <c r="E90" s="544"/>
    </row>
    <row r="91">
      <c r="A91" s="507"/>
      <c r="B91" s="507"/>
      <c r="C91" s="507"/>
      <c r="D91" s="544"/>
      <c r="E91" s="544"/>
    </row>
    <row r="92">
      <c r="A92" s="507"/>
      <c r="B92" s="507"/>
      <c r="C92" s="507"/>
      <c r="D92" s="544"/>
      <c r="E92" s="544"/>
    </row>
    <row r="93">
      <c r="A93" s="507"/>
      <c r="B93" s="507"/>
      <c r="C93" s="507"/>
      <c r="D93" s="544"/>
      <c r="E93" s="544"/>
    </row>
    <row r="94">
      <c r="A94" s="507"/>
      <c r="B94" s="507"/>
      <c r="C94" s="507"/>
      <c r="D94" s="544"/>
      <c r="E94" s="544"/>
    </row>
    <row r="95">
      <c r="A95" s="507"/>
      <c r="B95" s="507"/>
      <c r="C95" s="507"/>
      <c r="D95" s="544"/>
      <c r="E95" s="544"/>
    </row>
    <row r="96">
      <c r="A96" s="507"/>
      <c r="B96" s="507"/>
      <c r="C96" s="507"/>
      <c r="D96" s="544"/>
      <c r="E96" s="544"/>
    </row>
    <row r="97">
      <c r="A97" s="507"/>
      <c r="B97" s="507"/>
      <c r="C97" s="507"/>
      <c r="D97" s="544"/>
      <c r="E97" s="544"/>
    </row>
    <row r="98">
      <c r="A98" s="507"/>
      <c r="B98" s="507"/>
      <c r="C98" s="507"/>
      <c r="D98" s="544"/>
      <c r="E98" s="544"/>
    </row>
    <row r="99">
      <c r="A99" s="507"/>
      <c r="B99" s="507"/>
      <c r="C99" s="507"/>
      <c r="D99" s="544"/>
      <c r="E99" s="544"/>
    </row>
    <row r="100">
      <c r="A100" s="507"/>
      <c r="B100" s="507"/>
      <c r="C100" s="507"/>
      <c r="D100" s="544"/>
      <c r="E100" s="544"/>
    </row>
    <row r="101">
      <c r="A101" s="507"/>
      <c r="B101" s="507"/>
      <c r="C101" s="507"/>
      <c r="D101" s="544"/>
      <c r="E101" s="544"/>
    </row>
    <row r="102">
      <c r="A102" s="507"/>
      <c r="B102" s="507"/>
      <c r="C102" s="507"/>
      <c r="D102" s="544"/>
      <c r="E102" s="544"/>
    </row>
    <row r="103">
      <c r="A103" s="507"/>
      <c r="B103" s="507"/>
      <c r="C103" s="507"/>
      <c r="D103" s="544"/>
      <c r="E103" s="544"/>
    </row>
    <row r="104">
      <c r="A104" s="507"/>
      <c r="B104" s="507"/>
      <c r="C104" s="507"/>
      <c r="D104" s="544"/>
      <c r="E104" s="544"/>
    </row>
    <row r="105">
      <c r="A105" s="507"/>
      <c r="B105" s="507"/>
      <c r="C105" s="507"/>
      <c r="D105" s="544"/>
      <c r="E105" s="544"/>
    </row>
    <row r="106">
      <c r="A106" s="507"/>
      <c r="B106" s="507"/>
      <c r="C106" s="507"/>
      <c r="D106" s="544"/>
      <c r="E106" s="544"/>
    </row>
    <row r="107">
      <c r="A107" s="507"/>
      <c r="B107" s="507"/>
      <c r="C107" s="507"/>
      <c r="D107" s="544"/>
      <c r="E107" s="544"/>
    </row>
    <row r="108">
      <c r="A108" s="507"/>
      <c r="B108" s="507"/>
      <c r="C108" s="507"/>
      <c r="D108" s="544"/>
      <c r="E108" s="544"/>
    </row>
    <row r="109">
      <c r="A109" s="507"/>
      <c r="B109" s="507"/>
      <c r="C109" s="507"/>
      <c r="D109" s="544"/>
      <c r="E109" s="544"/>
    </row>
    <row r="110">
      <c r="A110" s="507"/>
      <c r="B110" s="507"/>
      <c r="C110" s="507"/>
      <c r="D110" s="544"/>
      <c r="E110" s="544"/>
    </row>
    <row r="111">
      <c r="A111" s="507"/>
      <c r="B111" s="507"/>
      <c r="C111" s="507"/>
      <c r="D111" s="544"/>
      <c r="E111" s="544"/>
    </row>
    <row r="112">
      <c r="A112" s="507"/>
      <c r="B112" s="507"/>
      <c r="C112" s="507"/>
      <c r="D112" s="544"/>
      <c r="E112" s="544"/>
    </row>
    <row r="113">
      <c r="A113" s="507"/>
      <c r="B113" s="507"/>
      <c r="C113" s="507"/>
      <c r="D113" s="544"/>
      <c r="E113" s="544"/>
    </row>
    <row r="114">
      <c r="A114" s="507"/>
      <c r="B114" s="507"/>
      <c r="C114" s="507"/>
      <c r="D114" s="544"/>
      <c r="E114" s="544"/>
    </row>
    <row r="115">
      <c r="A115" s="507"/>
      <c r="B115" s="507"/>
      <c r="C115" s="507"/>
      <c r="D115" s="544"/>
      <c r="E115" s="544"/>
    </row>
    <row r="116">
      <c r="A116" s="507"/>
      <c r="B116" s="507"/>
      <c r="C116" s="507"/>
      <c r="D116" s="544"/>
      <c r="E116" s="544"/>
    </row>
    <row r="117">
      <c r="A117" s="507"/>
      <c r="B117" s="507"/>
      <c r="C117" s="507"/>
      <c r="D117" s="544"/>
      <c r="E117" s="544"/>
    </row>
    <row r="118">
      <c r="A118" s="507"/>
      <c r="B118" s="507"/>
      <c r="C118" s="507"/>
      <c r="D118" s="544"/>
      <c r="E118" s="544"/>
    </row>
    <row r="119">
      <c r="A119" s="507"/>
      <c r="B119" s="507"/>
      <c r="C119" s="507"/>
      <c r="D119" s="544"/>
      <c r="E119" s="544"/>
    </row>
    <row r="120">
      <c r="A120" s="507"/>
      <c r="B120" s="507"/>
      <c r="C120" s="507"/>
      <c r="D120" s="544"/>
      <c r="E120" s="544"/>
    </row>
    <row r="121">
      <c r="A121" s="507"/>
      <c r="B121" s="507"/>
      <c r="C121" s="507"/>
      <c r="D121" s="544"/>
      <c r="E121" s="544"/>
    </row>
    <row r="122">
      <c r="A122" s="507"/>
      <c r="B122" s="507"/>
      <c r="C122" s="507"/>
      <c r="D122" s="544"/>
      <c r="E122" s="544"/>
    </row>
    <row r="123">
      <c r="A123" s="507"/>
      <c r="B123" s="507"/>
      <c r="C123" s="507"/>
      <c r="D123" s="544"/>
      <c r="E123" s="544"/>
    </row>
    <row r="124">
      <c r="A124" s="507"/>
      <c r="B124" s="507"/>
      <c r="C124" s="507"/>
      <c r="D124" s="544"/>
      <c r="E124" s="544"/>
    </row>
    <row r="125">
      <c r="A125" s="507"/>
      <c r="B125" s="507"/>
      <c r="C125" s="507"/>
      <c r="D125" s="544"/>
      <c r="E125" s="544"/>
    </row>
    <row r="126">
      <c r="A126" s="507"/>
      <c r="B126" s="507"/>
      <c r="C126" s="507"/>
      <c r="D126" s="544"/>
      <c r="E126" s="544"/>
    </row>
    <row r="127">
      <c r="A127" s="507"/>
      <c r="B127" s="507"/>
      <c r="C127" s="507"/>
      <c r="D127" s="544"/>
      <c r="E127" s="544"/>
    </row>
    <row r="128">
      <c r="A128" s="507"/>
      <c r="B128" s="507"/>
      <c r="C128" s="507"/>
      <c r="D128" s="544"/>
      <c r="E128" s="544"/>
    </row>
    <row r="129">
      <c r="A129" s="507"/>
      <c r="B129" s="507"/>
      <c r="C129" s="507"/>
      <c r="D129" s="544"/>
      <c r="E129" s="544"/>
    </row>
    <row r="130">
      <c r="A130" s="507"/>
      <c r="B130" s="507"/>
      <c r="C130" s="507"/>
      <c r="D130" s="544"/>
      <c r="E130" s="544"/>
    </row>
    <row r="131">
      <c r="A131" s="507"/>
      <c r="B131" s="507"/>
      <c r="C131" s="507"/>
      <c r="D131" s="544"/>
      <c r="E131" s="544"/>
    </row>
    <row r="132">
      <c r="A132" s="507"/>
      <c r="B132" s="507"/>
      <c r="C132" s="507"/>
      <c r="D132" s="544"/>
      <c r="E132" s="544"/>
    </row>
    <row r="133">
      <c r="A133" s="507"/>
      <c r="B133" s="507"/>
      <c r="C133" s="507"/>
      <c r="D133" s="544"/>
      <c r="E133" s="544"/>
    </row>
    <row r="134">
      <c r="A134" s="507"/>
      <c r="B134" s="507"/>
      <c r="C134" s="507"/>
      <c r="D134" s="544"/>
      <c r="E134" s="544"/>
    </row>
    <row r="135">
      <c r="A135" s="507"/>
      <c r="B135" s="507"/>
      <c r="C135" s="507"/>
      <c r="D135" s="544"/>
      <c r="E135" s="544"/>
    </row>
    <row r="136">
      <c r="A136" s="507"/>
      <c r="B136" s="507"/>
      <c r="C136" s="507"/>
      <c r="D136" s="544"/>
      <c r="E136" s="544"/>
    </row>
    <row r="137">
      <c r="A137" s="507"/>
      <c r="B137" s="507"/>
      <c r="C137" s="507"/>
      <c r="D137" s="544"/>
      <c r="E137" s="544"/>
    </row>
    <row r="138">
      <c r="A138" s="507"/>
      <c r="B138" s="507"/>
      <c r="C138" s="507"/>
      <c r="D138" s="544"/>
      <c r="E138" s="544"/>
    </row>
    <row r="139">
      <c r="A139" s="507"/>
      <c r="B139" s="507"/>
      <c r="C139" s="507"/>
      <c r="D139" s="544"/>
      <c r="E139" s="544"/>
    </row>
    <row r="140">
      <c r="A140" s="507"/>
      <c r="B140" s="507"/>
      <c r="C140" s="507"/>
      <c r="D140" s="544"/>
      <c r="E140" s="544"/>
    </row>
    <row r="141">
      <c r="A141" s="507"/>
      <c r="B141" s="507"/>
      <c r="C141" s="507"/>
      <c r="D141" s="544"/>
      <c r="E141" s="544"/>
    </row>
    <row r="142">
      <c r="A142" s="507"/>
      <c r="B142" s="507"/>
      <c r="C142" s="507"/>
      <c r="D142" s="544"/>
      <c r="E142" s="544"/>
    </row>
    <row r="143">
      <c r="A143" s="507"/>
      <c r="B143" s="507"/>
      <c r="C143" s="507"/>
      <c r="D143" s="544"/>
      <c r="E143" s="544"/>
    </row>
    <row r="144">
      <c r="A144" s="507"/>
      <c r="B144" s="507"/>
      <c r="C144" s="507"/>
      <c r="D144" s="544"/>
      <c r="E144" s="544"/>
    </row>
    <row r="145">
      <c r="A145" s="507"/>
      <c r="B145" s="507"/>
      <c r="C145" s="507"/>
      <c r="D145" s="544"/>
      <c r="E145" s="544"/>
    </row>
    <row r="146">
      <c r="A146" s="507"/>
      <c r="B146" s="507"/>
      <c r="C146" s="507"/>
      <c r="D146" s="544"/>
      <c r="E146" s="544"/>
    </row>
    <row r="147">
      <c r="A147" s="507"/>
      <c r="B147" s="507"/>
      <c r="C147" s="507"/>
      <c r="D147" s="544"/>
      <c r="E147" s="544"/>
    </row>
    <row r="148">
      <c r="A148" s="507"/>
      <c r="B148" s="507"/>
      <c r="C148" s="507"/>
      <c r="D148" s="544"/>
      <c r="E148" s="544"/>
    </row>
    <row r="149">
      <c r="A149" s="507"/>
      <c r="B149" s="507"/>
      <c r="C149" s="507"/>
      <c r="D149" s="544"/>
      <c r="E149" s="544"/>
    </row>
    <row r="150">
      <c r="A150" s="507"/>
      <c r="B150" s="507"/>
      <c r="C150" s="507"/>
      <c r="D150" s="544"/>
      <c r="E150" s="544"/>
    </row>
    <row r="151">
      <c r="A151" s="507"/>
      <c r="B151" s="507"/>
      <c r="C151" s="507"/>
      <c r="D151" s="544"/>
      <c r="E151" s="544"/>
    </row>
    <row r="152">
      <c r="A152" s="507"/>
      <c r="B152" s="507"/>
      <c r="C152" s="507"/>
      <c r="D152" s="544"/>
      <c r="E152" s="544"/>
    </row>
    <row r="153">
      <c r="A153" s="507"/>
      <c r="B153" s="507"/>
      <c r="C153" s="507"/>
      <c r="D153" s="544"/>
      <c r="E153" s="544"/>
    </row>
    <row r="154">
      <c r="A154" s="507"/>
      <c r="B154" s="507"/>
      <c r="C154" s="507"/>
      <c r="D154" s="544"/>
      <c r="E154" s="544"/>
    </row>
    <row r="155">
      <c r="A155" s="507"/>
      <c r="B155" s="507"/>
      <c r="C155" s="507"/>
      <c r="D155" s="544"/>
      <c r="E155" s="544"/>
    </row>
    <row r="156">
      <c r="A156" s="507"/>
      <c r="B156" s="507"/>
      <c r="C156" s="507"/>
      <c r="D156" s="544"/>
      <c r="E156" s="544"/>
    </row>
    <row r="157">
      <c r="A157" s="507"/>
      <c r="B157" s="507"/>
      <c r="C157" s="507"/>
      <c r="D157" s="544"/>
      <c r="E157" s="544"/>
    </row>
    <row r="158">
      <c r="A158" s="507"/>
      <c r="B158" s="507"/>
      <c r="C158" s="507"/>
      <c r="D158" s="544"/>
      <c r="E158" s="544"/>
    </row>
    <row r="159">
      <c r="A159" s="507"/>
      <c r="B159" s="507"/>
      <c r="C159" s="507"/>
      <c r="D159" s="544"/>
      <c r="E159" s="544"/>
    </row>
    <row r="160">
      <c r="A160" s="507"/>
      <c r="B160" s="507"/>
      <c r="C160" s="507"/>
      <c r="D160" s="544"/>
      <c r="E160" s="544"/>
    </row>
    <row r="161">
      <c r="A161" s="507"/>
      <c r="B161" s="507"/>
      <c r="C161" s="507"/>
      <c r="D161" s="544"/>
      <c r="E161" s="544"/>
    </row>
    <row r="162">
      <c r="A162" s="507"/>
      <c r="B162" s="507"/>
      <c r="C162" s="507"/>
      <c r="D162" s="544"/>
      <c r="E162" s="544"/>
    </row>
    <row r="163">
      <c r="A163" s="507"/>
      <c r="B163" s="507"/>
      <c r="C163" s="507"/>
      <c r="D163" s="544"/>
      <c r="E163" s="544"/>
    </row>
    <row r="164">
      <c r="A164" s="507"/>
      <c r="B164" s="507"/>
      <c r="C164" s="507"/>
      <c r="D164" s="544"/>
      <c r="E164" s="544"/>
    </row>
    <row r="165">
      <c r="A165" s="507"/>
      <c r="B165" s="507"/>
      <c r="C165" s="507"/>
      <c r="D165" s="544"/>
      <c r="E165" s="544"/>
    </row>
    <row r="166">
      <c r="A166" s="507"/>
      <c r="B166" s="507"/>
      <c r="C166" s="507"/>
      <c r="D166" s="544"/>
      <c r="E166" s="544"/>
    </row>
    <row r="167">
      <c r="A167" s="507"/>
      <c r="B167" s="507"/>
      <c r="C167" s="507"/>
      <c r="D167" s="544"/>
      <c r="E167" s="544"/>
    </row>
    <row r="168">
      <c r="A168" s="507"/>
      <c r="B168" s="507"/>
      <c r="C168" s="507"/>
      <c r="D168" s="544"/>
      <c r="E168" s="544"/>
    </row>
    <row r="169">
      <c r="A169" s="507"/>
      <c r="B169" s="507"/>
      <c r="C169" s="507"/>
      <c r="D169" s="544"/>
      <c r="E169" s="544"/>
    </row>
    <row r="170">
      <c r="A170" s="507"/>
      <c r="B170" s="507"/>
      <c r="C170" s="507"/>
      <c r="D170" s="544"/>
      <c r="E170" s="544"/>
    </row>
    <row r="171">
      <c r="A171" s="507"/>
      <c r="B171" s="507"/>
      <c r="C171" s="507"/>
      <c r="D171" s="544"/>
      <c r="E171" s="544"/>
    </row>
    <row r="172">
      <c r="A172" s="507"/>
      <c r="B172" s="507"/>
      <c r="C172" s="507"/>
      <c r="D172" s="544"/>
      <c r="E172" s="544"/>
    </row>
    <row r="173">
      <c r="A173" s="507"/>
      <c r="B173" s="507"/>
      <c r="C173" s="507"/>
      <c r="D173" s="544"/>
      <c r="E173" s="544"/>
    </row>
    <row r="174">
      <c r="A174" s="507"/>
      <c r="B174" s="507"/>
      <c r="C174" s="507"/>
      <c r="D174" s="544"/>
      <c r="E174" s="544"/>
    </row>
    <row r="175">
      <c r="A175" s="507"/>
      <c r="B175" s="507"/>
      <c r="C175" s="507"/>
      <c r="D175" s="544"/>
      <c r="E175" s="544"/>
    </row>
    <row r="176">
      <c r="A176" s="507"/>
      <c r="B176" s="507"/>
      <c r="C176" s="507"/>
      <c r="D176" s="544"/>
      <c r="E176" s="544"/>
    </row>
    <row r="177">
      <c r="A177" s="507"/>
      <c r="B177" s="507"/>
      <c r="C177" s="507"/>
      <c r="D177" s="544"/>
      <c r="E177" s="544"/>
    </row>
    <row r="178">
      <c r="A178" s="507"/>
      <c r="B178" s="507"/>
      <c r="C178" s="507"/>
      <c r="D178" s="544"/>
      <c r="E178" s="544"/>
    </row>
    <row r="179">
      <c r="A179" s="507"/>
      <c r="B179" s="507"/>
      <c r="C179" s="507"/>
      <c r="D179" s="544"/>
      <c r="E179" s="544"/>
    </row>
    <row r="180">
      <c r="A180" s="507"/>
      <c r="B180" s="507"/>
      <c r="C180" s="507"/>
      <c r="D180" s="544"/>
      <c r="E180" s="544"/>
    </row>
    <row r="181">
      <c r="A181" s="507"/>
      <c r="B181" s="507"/>
      <c r="C181" s="507"/>
      <c r="D181" s="544"/>
      <c r="E181" s="544"/>
    </row>
    <row r="182">
      <c r="A182" s="507"/>
      <c r="B182" s="507"/>
      <c r="C182" s="507"/>
      <c r="D182" s="544"/>
      <c r="E182" s="544"/>
    </row>
    <row r="183">
      <c r="A183" s="507"/>
      <c r="B183" s="507"/>
      <c r="C183" s="507"/>
      <c r="D183" s="544"/>
      <c r="E183" s="544"/>
    </row>
    <row r="184">
      <c r="A184" s="507"/>
      <c r="B184" s="507"/>
      <c r="C184" s="507"/>
      <c r="D184" s="544"/>
      <c r="E184" s="544"/>
    </row>
    <row r="185">
      <c r="A185" s="507"/>
      <c r="B185" s="507"/>
      <c r="C185" s="507"/>
      <c r="D185" s="544"/>
      <c r="E185" s="544"/>
    </row>
    <row r="186">
      <c r="A186" s="507"/>
      <c r="B186" s="507"/>
      <c r="C186" s="507"/>
      <c r="D186" s="544"/>
      <c r="E186" s="544"/>
    </row>
    <row r="187">
      <c r="A187" s="507"/>
      <c r="B187" s="507"/>
      <c r="C187" s="507"/>
      <c r="D187" s="544"/>
      <c r="E187" s="544"/>
    </row>
    <row r="188">
      <c r="A188" s="507"/>
      <c r="B188" s="507"/>
      <c r="C188" s="507"/>
      <c r="D188" s="544"/>
      <c r="E188" s="544"/>
    </row>
    <row r="189">
      <c r="A189" s="507"/>
      <c r="B189" s="507"/>
      <c r="C189" s="507"/>
      <c r="D189" s="544"/>
      <c r="E189" s="544"/>
    </row>
    <row r="190">
      <c r="A190" s="507"/>
      <c r="B190" s="507"/>
      <c r="C190" s="507"/>
      <c r="D190" s="544"/>
      <c r="E190" s="544"/>
    </row>
    <row r="191">
      <c r="A191" s="507"/>
      <c r="B191" s="507"/>
      <c r="C191" s="507"/>
      <c r="D191" s="544"/>
      <c r="E191" s="544"/>
    </row>
    <row r="192">
      <c r="A192" s="507"/>
      <c r="B192" s="507"/>
      <c r="C192" s="507"/>
      <c r="D192" s="544"/>
      <c r="E192" s="544"/>
    </row>
    <row r="193">
      <c r="A193" s="507"/>
      <c r="B193" s="507"/>
      <c r="C193" s="507"/>
      <c r="D193" s="544"/>
      <c r="E193" s="544"/>
    </row>
    <row r="194">
      <c r="A194" s="507"/>
      <c r="B194" s="507"/>
      <c r="C194" s="507"/>
      <c r="D194" s="544"/>
      <c r="E194" s="544"/>
    </row>
    <row r="195">
      <c r="A195" s="507"/>
      <c r="B195" s="507"/>
      <c r="C195" s="507"/>
      <c r="D195" s="544"/>
      <c r="E195" s="544"/>
    </row>
    <row r="196">
      <c r="A196" s="507"/>
      <c r="B196" s="507"/>
      <c r="C196" s="507"/>
      <c r="D196" s="544"/>
      <c r="E196" s="544"/>
    </row>
    <row r="197">
      <c r="A197" s="507"/>
      <c r="B197" s="507"/>
      <c r="C197" s="507"/>
      <c r="D197" s="544"/>
      <c r="E197" s="544"/>
    </row>
    <row r="198">
      <c r="A198" s="507"/>
      <c r="B198" s="507"/>
      <c r="C198" s="507"/>
      <c r="D198" s="544"/>
      <c r="E198" s="544"/>
    </row>
    <row r="199">
      <c r="A199" s="507"/>
      <c r="B199" s="507"/>
      <c r="C199" s="507"/>
      <c r="D199" s="544"/>
      <c r="E199" s="544"/>
    </row>
    <row r="200">
      <c r="A200" s="507"/>
      <c r="B200" s="507"/>
      <c r="C200" s="507"/>
      <c r="D200" s="544"/>
      <c r="E200" s="544"/>
    </row>
    <row r="201">
      <c r="A201" s="507"/>
      <c r="B201" s="507"/>
      <c r="C201" s="507"/>
      <c r="D201" s="544"/>
      <c r="E201" s="544"/>
    </row>
    <row r="202">
      <c r="A202" s="507"/>
      <c r="B202" s="507"/>
      <c r="C202" s="507"/>
      <c r="D202" s="544"/>
      <c r="E202" s="544"/>
    </row>
    <row r="203">
      <c r="A203" s="507"/>
      <c r="B203" s="507"/>
      <c r="C203" s="507"/>
      <c r="D203" s="544"/>
      <c r="E203" s="544"/>
    </row>
    <row r="204">
      <c r="A204" s="507"/>
      <c r="B204" s="507"/>
      <c r="C204" s="507"/>
      <c r="D204" s="544"/>
      <c r="E204" s="544"/>
    </row>
    <row r="205">
      <c r="A205" s="507"/>
      <c r="B205" s="507"/>
      <c r="C205" s="507"/>
      <c r="D205" s="544"/>
      <c r="E205" s="544"/>
    </row>
    <row r="206">
      <c r="A206" s="507"/>
      <c r="B206" s="507"/>
      <c r="C206" s="507"/>
      <c r="D206" s="544"/>
      <c r="E206" s="544"/>
    </row>
    <row r="207">
      <c r="A207" s="507"/>
      <c r="B207" s="507"/>
      <c r="C207" s="507"/>
      <c r="D207" s="544"/>
      <c r="E207" s="544"/>
    </row>
    <row r="208">
      <c r="A208" s="507"/>
      <c r="B208" s="507"/>
      <c r="C208" s="507"/>
      <c r="D208" s="544"/>
      <c r="E208" s="544"/>
    </row>
    <row r="209">
      <c r="A209" s="507"/>
      <c r="B209" s="507"/>
      <c r="C209" s="507"/>
      <c r="D209" s="544"/>
      <c r="E209" s="544"/>
    </row>
    <row r="210">
      <c r="A210" s="507"/>
      <c r="B210" s="507"/>
      <c r="C210" s="507"/>
      <c r="D210" s="544"/>
      <c r="E210" s="544"/>
    </row>
    <row r="211">
      <c r="A211" s="507"/>
      <c r="B211" s="507"/>
      <c r="C211" s="507"/>
      <c r="D211" s="544"/>
      <c r="E211" s="544"/>
    </row>
    <row r="212">
      <c r="A212" s="507"/>
      <c r="B212" s="507"/>
      <c r="C212" s="507"/>
      <c r="D212" s="544"/>
      <c r="E212" s="544"/>
    </row>
    <row r="213">
      <c r="A213" s="507"/>
      <c r="B213" s="507"/>
      <c r="C213" s="507"/>
      <c r="D213" s="544"/>
      <c r="E213" s="544"/>
    </row>
    <row r="214">
      <c r="A214" s="507"/>
      <c r="B214" s="507"/>
      <c r="C214" s="507"/>
      <c r="D214" s="544"/>
      <c r="E214" s="544"/>
    </row>
    <row r="215">
      <c r="A215" s="507"/>
      <c r="B215" s="507"/>
      <c r="C215" s="507"/>
      <c r="D215" s="544"/>
      <c r="E215" s="544"/>
    </row>
    <row r="216">
      <c r="A216" s="507"/>
      <c r="B216" s="507"/>
      <c r="C216" s="507"/>
      <c r="D216" s="544"/>
      <c r="E216" s="544"/>
    </row>
    <row r="217">
      <c r="A217" s="507"/>
      <c r="B217" s="507"/>
      <c r="C217" s="507"/>
      <c r="D217" s="544"/>
      <c r="E217" s="544"/>
    </row>
    <row r="218">
      <c r="A218" s="507"/>
      <c r="B218" s="507"/>
      <c r="C218" s="507"/>
      <c r="D218" s="544"/>
      <c r="E218" s="544"/>
    </row>
    <row r="219">
      <c r="A219" s="507"/>
      <c r="B219" s="507"/>
      <c r="C219" s="507"/>
      <c r="D219" s="544"/>
      <c r="E219" s="544"/>
    </row>
    <row r="220">
      <c r="A220" s="507"/>
      <c r="B220" s="507"/>
      <c r="C220" s="507"/>
      <c r="D220" s="544"/>
      <c r="E220" s="544"/>
    </row>
    <row r="221">
      <c r="A221" s="507"/>
      <c r="B221" s="507"/>
      <c r="C221" s="507"/>
      <c r="D221" s="544"/>
      <c r="E221" s="544"/>
    </row>
    <row r="222">
      <c r="A222" s="507"/>
      <c r="B222" s="507"/>
      <c r="C222" s="507"/>
      <c r="D222" s="544"/>
      <c r="E222" s="544"/>
    </row>
    <row r="223">
      <c r="A223" s="507"/>
      <c r="B223" s="507"/>
      <c r="C223" s="507"/>
      <c r="D223" s="544"/>
      <c r="E223" s="544"/>
    </row>
    <row r="224">
      <c r="A224" s="507"/>
      <c r="B224" s="507"/>
      <c r="C224" s="507"/>
      <c r="D224" s="544"/>
      <c r="E224" s="544"/>
    </row>
    <row r="225">
      <c r="A225" s="507"/>
      <c r="B225" s="507"/>
      <c r="C225" s="507"/>
      <c r="D225" s="544"/>
      <c r="E225" s="544"/>
    </row>
    <row r="226">
      <c r="A226" s="507"/>
      <c r="B226" s="507"/>
      <c r="C226" s="507"/>
      <c r="D226" s="544"/>
      <c r="E226" s="544"/>
    </row>
    <row r="227">
      <c r="A227" s="507"/>
      <c r="B227" s="507"/>
      <c r="C227" s="507"/>
      <c r="D227" s="544"/>
      <c r="E227" s="544"/>
    </row>
    <row r="228">
      <c r="A228" s="507"/>
      <c r="B228" s="507"/>
      <c r="C228" s="507"/>
      <c r="D228" s="544"/>
      <c r="E228" s="544"/>
    </row>
    <row r="229">
      <c r="A229" s="507"/>
      <c r="B229" s="507"/>
      <c r="C229" s="507"/>
      <c r="D229" s="544"/>
      <c r="E229" s="544"/>
    </row>
    <row r="230">
      <c r="A230" s="507"/>
      <c r="B230" s="507"/>
      <c r="C230" s="507"/>
      <c r="D230" s="544"/>
      <c r="E230" s="544"/>
    </row>
    <row r="231">
      <c r="A231" s="507"/>
      <c r="B231" s="507"/>
      <c r="C231" s="507"/>
      <c r="D231" s="544"/>
      <c r="E231" s="544"/>
    </row>
    <row r="232">
      <c r="A232" s="507"/>
      <c r="B232" s="507"/>
      <c r="C232" s="507"/>
      <c r="D232" s="544"/>
      <c r="E232" s="544"/>
    </row>
    <row r="233">
      <c r="A233" s="507"/>
      <c r="B233" s="507"/>
      <c r="C233" s="507"/>
      <c r="D233" s="544"/>
      <c r="E233" s="544"/>
    </row>
    <row r="234">
      <c r="A234" s="507"/>
      <c r="B234" s="507"/>
      <c r="C234" s="507"/>
      <c r="D234" s="544"/>
      <c r="E234" s="544"/>
    </row>
    <row r="235">
      <c r="A235" s="507"/>
      <c r="B235" s="507"/>
      <c r="C235" s="507"/>
      <c r="D235" s="544"/>
      <c r="E235" s="544"/>
    </row>
    <row r="236">
      <c r="A236" s="507"/>
      <c r="B236" s="507"/>
      <c r="C236" s="507"/>
      <c r="D236" s="544"/>
      <c r="E236" s="544"/>
    </row>
    <row r="237">
      <c r="A237" s="507"/>
      <c r="B237" s="507"/>
      <c r="C237" s="507"/>
      <c r="D237" s="544"/>
      <c r="E237" s="544"/>
    </row>
    <row r="238">
      <c r="A238" s="507"/>
      <c r="B238" s="507"/>
      <c r="C238" s="507"/>
      <c r="D238" s="544"/>
      <c r="E238" s="544"/>
    </row>
    <row r="239">
      <c r="A239" s="507"/>
      <c r="B239" s="507"/>
      <c r="C239" s="507"/>
      <c r="D239" s="544"/>
      <c r="E239" s="544"/>
    </row>
    <row r="240">
      <c r="A240" s="507"/>
      <c r="B240" s="507"/>
      <c r="C240" s="507"/>
      <c r="D240" s="544"/>
      <c r="E240" s="544"/>
    </row>
    <row r="241">
      <c r="A241" s="507"/>
      <c r="B241" s="507"/>
      <c r="C241" s="507"/>
      <c r="D241" s="544"/>
      <c r="E241" s="544"/>
    </row>
    <row r="242">
      <c r="A242" s="507"/>
      <c r="B242" s="507"/>
      <c r="C242" s="507"/>
      <c r="D242" s="544"/>
      <c r="E242" s="544"/>
    </row>
    <row r="243">
      <c r="A243" s="507"/>
      <c r="B243" s="507"/>
      <c r="C243" s="507"/>
      <c r="D243" s="544"/>
      <c r="E243" s="544"/>
    </row>
    <row r="244">
      <c r="A244" s="507"/>
      <c r="B244" s="507"/>
      <c r="C244" s="507"/>
      <c r="D244" s="544"/>
      <c r="E244" s="544"/>
    </row>
    <row r="245">
      <c r="A245" s="507"/>
      <c r="B245" s="507"/>
      <c r="C245" s="507"/>
      <c r="D245" s="544"/>
      <c r="E245" s="544"/>
    </row>
    <row r="246">
      <c r="A246" s="507"/>
      <c r="B246" s="507"/>
      <c r="C246" s="507"/>
      <c r="D246" s="544"/>
      <c r="E246" s="544"/>
    </row>
    <row r="247">
      <c r="A247" s="507"/>
      <c r="B247" s="507"/>
      <c r="C247" s="507"/>
      <c r="D247" s="544"/>
      <c r="E247" s="544"/>
    </row>
    <row r="248">
      <c r="A248" s="507"/>
      <c r="B248" s="507"/>
      <c r="C248" s="507"/>
      <c r="D248" s="544"/>
      <c r="E248" s="544"/>
    </row>
    <row r="249">
      <c r="A249" s="507"/>
      <c r="B249" s="507"/>
      <c r="C249" s="507"/>
      <c r="D249" s="544"/>
      <c r="E249" s="544"/>
    </row>
    <row r="250">
      <c r="A250" s="507"/>
      <c r="B250" s="507"/>
      <c r="C250" s="507"/>
      <c r="D250" s="544"/>
      <c r="E250" s="544"/>
    </row>
    <row r="251">
      <c r="A251" s="507"/>
      <c r="B251" s="507"/>
      <c r="C251" s="507"/>
      <c r="D251" s="544"/>
      <c r="E251" s="544"/>
    </row>
    <row r="252">
      <c r="A252" s="507"/>
      <c r="B252" s="507"/>
      <c r="C252" s="507"/>
      <c r="D252" s="544"/>
      <c r="E252" s="544"/>
    </row>
    <row r="253">
      <c r="A253" s="507"/>
      <c r="B253" s="507"/>
      <c r="C253" s="507"/>
      <c r="D253" s="544"/>
      <c r="E253" s="544"/>
    </row>
    <row r="254">
      <c r="A254" s="507"/>
      <c r="B254" s="507"/>
      <c r="C254" s="507"/>
      <c r="D254" s="544"/>
      <c r="E254" s="544"/>
    </row>
    <row r="255">
      <c r="A255" s="507"/>
      <c r="B255" s="507"/>
      <c r="C255" s="507"/>
      <c r="D255" s="544"/>
      <c r="E255" s="544"/>
    </row>
    <row r="256">
      <c r="A256" s="507"/>
      <c r="B256" s="507"/>
      <c r="C256" s="507"/>
      <c r="D256" s="544"/>
      <c r="E256" s="544"/>
    </row>
    <row r="257">
      <c r="A257" s="507"/>
      <c r="B257" s="507"/>
      <c r="C257" s="507"/>
      <c r="D257" s="544"/>
      <c r="E257" s="544"/>
    </row>
    <row r="258">
      <c r="A258" s="507"/>
      <c r="B258" s="507"/>
      <c r="C258" s="507"/>
      <c r="D258" s="544"/>
      <c r="E258" s="544"/>
    </row>
    <row r="259">
      <c r="A259" s="507"/>
      <c r="B259" s="507"/>
      <c r="C259" s="507"/>
      <c r="D259" s="544"/>
      <c r="E259" s="544"/>
    </row>
    <row r="260">
      <c r="A260" s="507"/>
      <c r="B260" s="507"/>
      <c r="C260" s="507"/>
      <c r="D260" s="544"/>
      <c r="E260" s="544"/>
    </row>
    <row r="261">
      <c r="A261" s="507"/>
      <c r="B261" s="507"/>
      <c r="C261" s="507"/>
      <c r="D261" s="544"/>
      <c r="E261" s="544"/>
    </row>
    <row r="262">
      <c r="A262" s="507"/>
      <c r="B262" s="507"/>
      <c r="C262" s="507"/>
      <c r="D262" s="544"/>
      <c r="E262" s="544"/>
    </row>
    <row r="263">
      <c r="A263" s="507"/>
      <c r="B263" s="507"/>
      <c r="C263" s="507"/>
      <c r="D263" s="544"/>
      <c r="E263" s="544"/>
    </row>
    <row r="264">
      <c r="A264" s="507"/>
      <c r="B264" s="507"/>
      <c r="C264" s="507"/>
      <c r="D264" s="544"/>
      <c r="E264" s="544"/>
    </row>
    <row r="265">
      <c r="A265" s="507"/>
      <c r="B265" s="507"/>
      <c r="C265" s="507"/>
      <c r="D265" s="544"/>
      <c r="E265" s="544"/>
    </row>
    <row r="266">
      <c r="A266" s="507"/>
      <c r="B266" s="507"/>
      <c r="C266" s="507"/>
      <c r="D266" s="544"/>
      <c r="E266" s="544"/>
    </row>
    <row r="267">
      <c r="A267" s="507"/>
      <c r="B267" s="507"/>
      <c r="C267" s="507"/>
      <c r="D267" s="544"/>
      <c r="E267" s="544"/>
    </row>
    <row r="268">
      <c r="A268" s="507"/>
      <c r="B268" s="507"/>
      <c r="C268" s="507"/>
      <c r="D268" s="544"/>
      <c r="E268" s="544"/>
    </row>
    <row r="269">
      <c r="A269" s="507"/>
      <c r="B269" s="507"/>
      <c r="C269" s="507"/>
      <c r="D269" s="544"/>
      <c r="E269" s="544"/>
    </row>
    <row r="270">
      <c r="A270" s="507"/>
      <c r="B270" s="507"/>
      <c r="C270" s="507"/>
      <c r="D270" s="544"/>
      <c r="E270" s="544"/>
    </row>
    <row r="271">
      <c r="A271" s="507"/>
      <c r="B271" s="507"/>
      <c r="C271" s="507"/>
      <c r="D271" s="544"/>
      <c r="E271" s="544"/>
    </row>
    <row r="272">
      <c r="A272" s="507"/>
      <c r="B272" s="507"/>
      <c r="C272" s="507"/>
      <c r="D272" s="544"/>
      <c r="E272" s="544"/>
    </row>
    <row r="273">
      <c r="A273" s="507"/>
      <c r="B273" s="507"/>
      <c r="C273" s="507"/>
      <c r="D273" s="544"/>
      <c r="E273" s="544"/>
    </row>
    <row r="274">
      <c r="A274" s="507"/>
      <c r="B274" s="507"/>
      <c r="C274" s="507"/>
      <c r="D274" s="544"/>
      <c r="E274" s="544"/>
    </row>
    <row r="275">
      <c r="A275" s="507"/>
      <c r="B275" s="507"/>
      <c r="C275" s="507"/>
      <c r="D275" s="544"/>
      <c r="E275" s="544"/>
    </row>
    <row r="276">
      <c r="A276" s="507"/>
      <c r="B276" s="507"/>
      <c r="C276" s="507"/>
      <c r="D276" s="544"/>
      <c r="E276" s="544"/>
    </row>
    <row r="277">
      <c r="A277" s="507"/>
      <c r="B277" s="507"/>
      <c r="C277" s="507"/>
      <c r="D277" s="544"/>
      <c r="E277" s="544"/>
    </row>
    <row r="278">
      <c r="A278" s="507"/>
      <c r="B278" s="507"/>
      <c r="C278" s="507"/>
      <c r="D278" s="544"/>
      <c r="E278" s="544"/>
    </row>
    <row r="279">
      <c r="A279" s="507"/>
      <c r="B279" s="507"/>
      <c r="C279" s="507"/>
      <c r="D279" s="544"/>
      <c r="E279" s="544"/>
    </row>
    <row r="280">
      <c r="A280" s="507"/>
      <c r="B280" s="507"/>
      <c r="C280" s="507"/>
      <c r="D280" s="544"/>
      <c r="E280" s="544"/>
    </row>
    <row r="281">
      <c r="A281" s="507"/>
      <c r="B281" s="507"/>
      <c r="C281" s="507"/>
      <c r="D281" s="544"/>
      <c r="E281" s="544"/>
    </row>
    <row r="282">
      <c r="A282" s="507"/>
      <c r="B282" s="507"/>
      <c r="C282" s="507"/>
      <c r="D282" s="544"/>
      <c r="E282" s="544"/>
    </row>
    <row r="283">
      <c r="A283" s="507"/>
      <c r="B283" s="507"/>
      <c r="C283" s="507"/>
      <c r="D283" s="544"/>
      <c r="E283" s="544"/>
    </row>
    <row r="284">
      <c r="A284" s="507"/>
      <c r="B284" s="507"/>
      <c r="C284" s="507"/>
      <c r="D284" s="544"/>
      <c r="E284" s="544"/>
    </row>
    <row r="285">
      <c r="A285" s="507"/>
      <c r="B285" s="507"/>
      <c r="C285" s="507"/>
      <c r="D285" s="544"/>
      <c r="E285" s="544"/>
    </row>
    <row r="286">
      <c r="A286" s="507"/>
      <c r="B286" s="507"/>
      <c r="C286" s="507"/>
      <c r="D286" s="544"/>
      <c r="E286" s="544"/>
    </row>
    <row r="287">
      <c r="A287" s="507"/>
      <c r="B287" s="507"/>
      <c r="C287" s="507"/>
      <c r="D287" s="544"/>
      <c r="E287" s="544"/>
    </row>
    <row r="288">
      <c r="A288" s="507"/>
      <c r="B288" s="507"/>
      <c r="C288" s="507"/>
      <c r="D288" s="544"/>
      <c r="E288" s="544"/>
    </row>
    <row r="289">
      <c r="A289" s="507"/>
      <c r="B289" s="507"/>
      <c r="C289" s="507"/>
      <c r="D289" s="544"/>
      <c r="E289" s="544"/>
    </row>
    <row r="290">
      <c r="A290" s="507"/>
      <c r="B290" s="507"/>
      <c r="C290" s="507"/>
      <c r="D290" s="544"/>
      <c r="E290" s="544"/>
    </row>
    <row r="291">
      <c r="A291" s="507"/>
      <c r="B291" s="507"/>
      <c r="C291" s="507"/>
      <c r="D291" s="544"/>
      <c r="E291" s="544"/>
    </row>
    <row r="292">
      <c r="A292" s="507"/>
      <c r="B292" s="507"/>
      <c r="C292" s="507"/>
      <c r="D292" s="544"/>
      <c r="E292" s="544"/>
    </row>
    <row r="293">
      <c r="A293" s="507"/>
      <c r="B293" s="507"/>
      <c r="C293" s="507"/>
      <c r="D293" s="544"/>
      <c r="E293" s="544"/>
    </row>
    <row r="294">
      <c r="A294" s="507"/>
      <c r="B294" s="507"/>
      <c r="C294" s="507"/>
      <c r="D294" s="544"/>
      <c r="E294" s="544"/>
    </row>
    <row r="295">
      <c r="A295" s="507"/>
      <c r="B295" s="507"/>
      <c r="C295" s="507"/>
      <c r="D295" s="544"/>
      <c r="E295" s="544"/>
    </row>
    <row r="296">
      <c r="A296" s="507"/>
      <c r="B296" s="507"/>
      <c r="C296" s="507"/>
      <c r="D296" s="544"/>
      <c r="E296" s="544"/>
    </row>
    <row r="297">
      <c r="A297" s="507"/>
      <c r="B297" s="507"/>
      <c r="C297" s="507"/>
      <c r="D297" s="544"/>
      <c r="E297" s="544"/>
    </row>
    <row r="298">
      <c r="A298" s="507"/>
      <c r="B298" s="507"/>
      <c r="C298" s="507"/>
      <c r="D298" s="544"/>
      <c r="E298" s="544"/>
    </row>
    <row r="299">
      <c r="A299" s="507"/>
      <c r="B299" s="507"/>
      <c r="C299" s="507"/>
      <c r="D299" s="544"/>
      <c r="E299" s="544"/>
    </row>
    <row r="300">
      <c r="A300" s="507"/>
      <c r="B300" s="507"/>
      <c r="C300" s="507"/>
      <c r="D300" s="544"/>
      <c r="E300" s="544"/>
    </row>
    <row r="301">
      <c r="A301" s="507"/>
      <c r="B301" s="507"/>
      <c r="C301" s="507"/>
      <c r="D301" s="544"/>
      <c r="E301" s="544"/>
    </row>
    <row r="302">
      <c r="A302" s="507"/>
      <c r="B302" s="507"/>
      <c r="C302" s="507"/>
      <c r="D302" s="544"/>
      <c r="E302" s="544"/>
    </row>
    <row r="303">
      <c r="A303" s="507"/>
      <c r="B303" s="507"/>
      <c r="C303" s="507"/>
      <c r="D303" s="544"/>
      <c r="E303" s="544"/>
    </row>
    <row r="304">
      <c r="A304" s="507"/>
      <c r="B304" s="507"/>
      <c r="C304" s="507"/>
      <c r="D304" s="544"/>
      <c r="E304" s="544"/>
    </row>
    <row r="305">
      <c r="A305" s="507"/>
      <c r="B305" s="507"/>
      <c r="C305" s="507"/>
      <c r="D305" s="544"/>
      <c r="E305" s="544"/>
    </row>
    <row r="306">
      <c r="A306" s="507"/>
      <c r="B306" s="507"/>
      <c r="C306" s="507"/>
      <c r="D306" s="544"/>
      <c r="E306" s="544"/>
    </row>
    <row r="307">
      <c r="A307" s="507"/>
      <c r="B307" s="507"/>
      <c r="C307" s="507"/>
      <c r="D307" s="544"/>
      <c r="E307" s="544"/>
    </row>
    <row r="308">
      <c r="A308" s="507"/>
      <c r="B308" s="507"/>
      <c r="C308" s="507"/>
      <c r="D308" s="544"/>
      <c r="E308" s="544"/>
    </row>
    <row r="309">
      <c r="A309" s="507"/>
      <c r="B309" s="507"/>
      <c r="C309" s="507"/>
      <c r="D309" s="544"/>
      <c r="E309" s="544"/>
    </row>
    <row r="310">
      <c r="A310" s="507"/>
      <c r="B310" s="507"/>
      <c r="C310" s="507"/>
      <c r="D310" s="544"/>
      <c r="E310" s="544"/>
    </row>
    <row r="311">
      <c r="A311" s="507"/>
      <c r="B311" s="507"/>
      <c r="C311" s="507"/>
      <c r="D311" s="544"/>
      <c r="E311" s="544"/>
    </row>
    <row r="312">
      <c r="A312" s="507"/>
      <c r="B312" s="507"/>
      <c r="C312" s="507"/>
      <c r="D312" s="544"/>
      <c r="E312" s="544"/>
    </row>
    <row r="313">
      <c r="A313" s="507"/>
      <c r="B313" s="507"/>
      <c r="C313" s="507"/>
      <c r="D313" s="544"/>
      <c r="E313" s="544"/>
    </row>
    <row r="314">
      <c r="A314" s="507"/>
      <c r="B314" s="507"/>
      <c r="C314" s="507"/>
      <c r="D314" s="544"/>
      <c r="E314" s="544"/>
    </row>
    <row r="315">
      <c r="A315" s="507"/>
      <c r="B315" s="507"/>
      <c r="C315" s="507"/>
      <c r="D315" s="544"/>
      <c r="E315" s="544"/>
    </row>
    <row r="316">
      <c r="A316" s="507"/>
      <c r="B316" s="507"/>
      <c r="C316" s="507"/>
      <c r="D316" s="544"/>
      <c r="E316" s="544"/>
    </row>
    <row r="317">
      <c r="A317" s="507"/>
      <c r="B317" s="507"/>
      <c r="C317" s="507"/>
      <c r="D317" s="544"/>
      <c r="E317" s="544"/>
    </row>
    <row r="318">
      <c r="A318" s="507"/>
      <c r="B318" s="507"/>
      <c r="C318" s="507"/>
      <c r="D318" s="544"/>
      <c r="E318" s="544"/>
    </row>
    <row r="319">
      <c r="A319" s="507"/>
      <c r="B319" s="507"/>
      <c r="C319" s="507"/>
      <c r="D319" s="544"/>
      <c r="E319" s="544"/>
    </row>
    <row r="320">
      <c r="A320" s="507"/>
      <c r="B320" s="507"/>
      <c r="C320" s="507"/>
      <c r="D320" s="544"/>
      <c r="E320" s="544"/>
    </row>
    <row r="321">
      <c r="A321" s="507"/>
      <c r="B321" s="507"/>
      <c r="C321" s="507"/>
      <c r="D321" s="544"/>
      <c r="E321" s="544"/>
    </row>
    <row r="322">
      <c r="A322" s="507"/>
      <c r="B322" s="507"/>
      <c r="C322" s="507"/>
      <c r="D322" s="544"/>
      <c r="E322" s="544"/>
    </row>
    <row r="323">
      <c r="A323" s="507"/>
      <c r="B323" s="507"/>
      <c r="C323" s="507"/>
      <c r="D323" s="544"/>
      <c r="E323" s="544"/>
    </row>
    <row r="324">
      <c r="A324" s="507"/>
      <c r="B324" s="507"/>
      <c r="C324" s="507"/>
      <c r="D324" s="544"/>
      <c r="E324" s="544"/>
    </row>
    <row r="325">
      <c r="A325" s="507"/>
      <c r="B325" s="507"/>
      <c r="C325" s="507"/>
      <c r="D325" s="544"/>
      <c r="E325" s="544"/>
    </row>
    <row r="326">
      <c r="A326" s="507"/>
      <c r="B326" s="507"/>
      <c r="C326" s="507"/>
      <c r="D326" s="544"/>
      <c r="E326" s="544"/>
    </row>
    <row r="327">
      <c r="A327" s="507"/>
      <c r="B327" s="507"/>
      <c r="C327" s="507"/>
      <c r="D327" s="544"/>
      <c r="E327" s="544"/>
    </row>
    <row r="328">
      <c r="A328" s="507"/>
      <c r="B328" s="507"/>
      <c r="C328" s="507"/>
      <c r="D328" s="544"/>
      <c r="E328" s="544"/>
    </row>
    <row r="329">
      <c r="A329" s="507"/>
      <c r="B329" s="507"/>
      <c r="C329" s="507"/>
      <c r="D329" s="544"/>
      <c r="E329" s="544"/>
    </row>
    <row r="330">
      <c r="A330" s="507"/>
      <c r="B330" s="507"/>
      <c r="C330" s="507"/>
      <c r="D330" s="544"/>
      <c r="E330" s="544"/>
    </row>
    <row r="331">
      <c r="A331" s="507"/>
      <c r="B331" s="507"/>
      <c r="C331" s="507"/>
      <c r="D331" s="544"/>
      <c r="E331" s="544"/>
    </row>
    <row r="332">
      <c r="A332" s="507"/>
      <c r="B332" s="507"/>
      <c r="C332" s="507"/>
      <c r="D332" s="544"/>
      <c r="E332" s="544"/>
    </row>
    <row r="333">
      <c r="A333" s="507"/>
      <c r="B333" s="507"/>
      <c r="C333" s="507"/>
      <c r="D333" s="544"/>
      <c r="E333" s="544"/>
    </row>
    <row r="334">
      <c r="A334" s="507"/>
      <c r="B334" s="507"/>
      <c r="C334" s="507"/>
      <c r="D334" s="544"/>
      <c r="E334" s="544"/>
    </row>
    <row r="335">
      <c r="A335" s="507"/>
      <c r="B335" s="507"/>
      <c r="C335" s="507"/>
      <c r="D335" s="544"/>
      <c r="E335" s="544"/>
    </row>
    <row r="336">
      <c r="A336" s="507"/>
      <c r="B336" s="507"/>
      <c r="C336" s="507"/>
      <c r="D336" s="544"/>
      <c r="E336" s="544"/>
    </row>
    <row r="337">
      <c r="A337" s="507"/>
      <c r="B337" s="507"/>
      <c r="C337" s="507"/>
      <c r="D337" s="544"/>
      <c r="E337" s="544"/>
    </row>
    <row r="338">
      <c r="A338" s="507"/>
      <c r="B338" s="507"/>
      <c r="C338" s="507"/>
      <c r="D338" s="544"/>
      <c r="E338" s="544"/>
    </row>
    <row r="339">
      <c r="A339" s="507"/>
      <c r="B339" s="507"/>
      <c r="C339" s="507"/>
      <c r="D339" s="544"/>
      <c r="E339" s="544"/>
    </row>
    <row r="340">
      <c r="A340" s="507"/>
      <c r="B340" s="507"/>
      <c r="C340" s="507"/>
      <c r="D340" s="544"/>
      <c r="E340" s="544"/>
    </row>
    <row r="341">
      <c r="A341" s="507"/>
      <c r="B341" s="507"/>
      <c r="C341" s="507"/>
      <c r="D341" s="544"/>
      <c r="E341" s="544"/>
    </row>
    <row r="342">
      <c r="A342" s="507"/>
      <c r="B342" s="507"/>
      <c r="C342" s="507"/>
      <c r="D342" s="544"/>
      <c r="E342" s="544"/>
    </row>
    <row r="343">
      <c r="A343" s="507"/>
      <c r="B343" s="507"/>
      <c r="C343" s="507"/>
      <c r="D343" s="544"/>
      <c r="E343" s="544"/>
    </row>
    <row r="344">
      <c r="A344" s="507"/>
      <c r="B344" s="507"/>
      <c r="C344" s="507"/>
      <c r="D344" s="544"/>
      <c r="E344" s="544"/>
    </row>
    <row r="345">
      <c r="A345" s="507"/>
      <c r="B345" s="507"/>
      <c r="C345" s="507"/>
      <c r="D345" s="544"/>
      <c r="E345" s="544"/>
    </row>
    <row r="346">
      <c r="A346" s="507"/>
      <c r="B346" s="507"/>
      <c r="C346" s="507"/>
      <c r="D346" s="544"/>
      <c r="E346" s="544"/>
    </row>
    <row r="347">
      <c r="A347" s="507"/>
      <c r="B347" s="507"/>
      <c r="C347" s="507"/>
      <c r="D347" s="544"/>
      <c r="E347" s="544"/>
    </row>
    <row r="348">
      <c r="A348" s="507"/>
      <c r="B348" s="507"/>
      <c r="C348" s="507"/>
      <c r="D348" s="544"/>
      <c r="E348" s="544"/>
    </row>
    <row r="349">
      <c r="A349" s="507"/>
      <c r="B349" s="507"/>
      <c r="C349" s="507"/>
      <c r="D349" s="544"/>
      <c r="E349" s="544"/>
    </row>
    <row r="350">
      <c r="A350" s="507"/>
      <c r="B350" s="507"/>
      <c r="C350" s="507"/>
      <c r="D350" s="544"/>
      <c r="E350" s="544"/>
    </row>
    <row r="351">
      <c r="A351" s="507"/>
      <c r="B351" s="507"/>
      <c r="C351" s="507"/>
      <c r="D351" s="544"/>
      <c r="E351" s="544"/>
    </row>
    <row r="352">
      <c r="A352" s="507"/>
      <c r="B352" s="507"/>
      <c r="C352" s="507"/>
      <c r="D352" s="544"/>
      <c r="E352" s="544"/>
    </row>
    <row r="353">
      <c r="A353" s="507"/>
      <c r="B353" s="507"/>
      <c r="C353" s="507"/>
      <c r="D353" s="544"/>
      <c r="E353" s="544"/>
    </row>
    <row r="354">
      <c r="A354" s="507"/>
      <c r="B354" s="507"/>
      <c r="C354" s="507"/>
      <c r="D354" s="544"/>
      <c r="E354" s="544"/>
    </row>
    <row r="355">
      <c r="A355" s="507"/>
      <c r="B355" s="507"/>
      <c r="C355" s="507"/>
      <c r="D355" s="544"/>
      <c r="E355" s="544"/>
    </row>
    <row r="356">
      <c r="A356" s="507"/>
      <c r="B356" s="507"/>
      <c r="C356" s="507"/>
      <c r="D356" s="544"/>
      <c r="E356" s="544"/>
    </row>
    <row r="357">
      <c r="A357" s="507"/>
      <c r="B357" s="507"/>
      <c r="C357" s="507"/>
      <c r="D357" s="544"/>
      <c r="E357" s="544"/>
    </row>
    <row r="358">
      <c r="A358" s="507"/>
      <c r="B358" s="507"/>
      <c r="C358" s="507"/>
      <c r="D358" s="544"/>
      <c r="E358" s="544"/>
    </row>
    <row r="359">
      <c r="A359" s="507"/>
      <c r="B359" s="507"/>
      <c r="C359" s="507"/>
      <c r="D359" s="544"/>
      <c r="E359" s="544"/>
    </row>
    <row r="360">
      <c r="A360" s="507"/>
      <c r="B360" s="507"/>
      <c r="C360" s="507"/>
      <c r="D360" s="544"/>
      <c r="E360" s="544"/>
    </row>
    <row r="361">
      <c r="A361" s="507"/>
      <c r="B361" s="507"/>
      <c r="C361" s="507"/>
      <c r="D361" s="544"/>
      <c r="E361" s="544"/>
    </row>
    <row r="362">
      <c r="A362" s="507"/>
      <c r="B362" s="507"/>
      <c r="C362" s="507"/>
      <c r="D362" s="544"/>
      <c r="E362" s="544"/>
    </row>
    <row r="363">
      <c r="A363" s="507"/>
      <c r="B363" s="507"/>
      <c r="C363" s="507"/>
      <c r="D363" s="544"/>
      <c r="E363" s="544"/>
    </row>
    <row r="364">
      <c r="A364" s="507"/>
      <c r="B364" s="507"/>
      <c r="C364" s="507"/>
      <c r="D364" s="544"/>
      <c r="E364" s="544"/>
    </row>
    <row r="365">
      <c r="A365" s="507"/>
      <c r="B365" s="507"/>
      <c r="C365" s="507"/>
      <c r="D365" s="544"/>
      <c r="E365" s="544"/>
    </row>
    <row r="366">
      <c r="A366" s="507"/>
      <c r="B366" s="507"/>
      <c r="C366" s="507"/>
      <c r="D366" s="544"/>
      <c r="E366" s="544"/>
    </row>
    <row r="367">
      <c r="A367" s="507"/>
      <c r="B367" s="507"/>
      <c r="C367" s="507"/>
      <c r="D367" s="544"/>
      <c r="E367" s="544"/>
    </row>
    <row r="368">
      <c r="A368" s="507"/>
      <c r="B368" s="507"/>
      <c r="C368" s="507"/>
      <c r="D368" s="544"/>
      <c r="E368" s="544"/>
    </row>
    <row r="369">
      <c r="A369" s="507"/>
      <c r="B369" s="507"/>
      <c r="C369" s="507"/>
      <c r="D369" s="544"/>
      <c r="E369" s="544"/>
    </row>
    <row r="370">
      <c r="A370" s="507"/>
      <c r="B370" s="507"/>
      <c r="C370" s="507"/>
      <c r="D370" s="544"/>
      <c r="E370" s="544"/>
    </row>
    <row r="371">
      <c r="A371" s="507"/>
      <c r="B371" s="507"/>
      <c r="C371" s="507"/>
      <c r="D371" s="544"/>
      <c r="E371" s="544"/>
    </row>
    <row r="372">
      <c r="A372" s="507"/>
      <c r="B372" s="507"/>
      <c r="C372" s="507"/>
      <c r="D372" s="544"/>
      <c r="E372" s="544"/>
    </row>
    <row r="373">
      <c r="A373" s="507"/>
      <c r="B373" s="507"/>
      <c r="C373" s="507"/>
      <c r="D373" s="544"/>
      <c r="E373" s="544"/>
    </row>
    <row r="374">
      <c r="A374" s="507"/>
      <c r="B374" s="507"/>
      <c r="C374" s="507"/>
      <c r="D374" s="544"/>
      <c r="E374" s="544"/>
    </row>
    <row r="375">
      <c r="A375" s="507"/>
      <c r="B375" s="507"/>
      <c r="C375" s="507"/>
      <c r="D375" s="544"/>
      <c r="E375" s="544"/>
    </row>
    <row r="376">
      <c r="A376" s="507"/>
      <c r="B376" s="507"/>
      <c r="C376" s="507"/>
      <c r="D376" s="544"/>
      <c r="E376" s="544"/>
    </row>
    <row r="377">
      <c r="A377" s="507"/>
      <c r="B377" s="507"/>
      <c r="C377" s="507"/>
      <c r="D377" s="544"/>
      <c r="E377" s="544"/>
    </row>
    <row r="378">
      <c r="A378" s="507"/>
      <c r="B378" s="507"/>
      <c r="C378" s="507"/>
      <c r="D378" s="544"/>
      <c r="E378" s="544"/>
    </row>
    <row r="379">
      <c r="A379" s="507"/>
      <c r="B379" s="507"/>
      <c r="C379" s="507"/>
      <c r="D379" s="544"/>
      <c r="E379" s="544"/>
    </row>
    <row r="380">
      <c r="A380" s="507"/>
      <c r="B380" s="507"/>
      <c r="C380" s="507"/>
      <c r="D380" s="544"/>
      <c r="E380" s="544"/>
    </row>
    <row r="381">
      <c r="A381" s="507"/>
      <c r="B381" s="507"/>
      <c r="C381" s="507"/>
      <c r="D381" s="544"/>
      <c r="E381" s="544"/>
    </row>
    <row r="382">
      <c r="A382" s="507"/>
      <c r="B382" s="507"/>
      <c r="C382" s="507"/>
      <c r="D382" s="544"/>
      <c r="E382" s="544"/>
    </row>
    <row r="383">
      <c r="A383" s="507"/>
      <c r="B383" s="507"/>
      <c r="C383" s="507"/>
      <c r="D383" s="544"/>
      <c r="E383" s="544"/>
    </row>
    <row r="384">
      <c r="A384" s="507"/>
      <c r="B384" s="507"/>
      <c r="C384" s="507"/>
      <c r="D384" s="544"/>
      <c r="E384" s="544"/>
    </row>
    <row r="385">
      <c r="A385" s="507"/>
      <c r="B385" s="507"/>
      <c r="C385" s="507"/>
      <c r="D385" s="544"/>
      <c r="E385" s="544"/>
    </row>
    <row r="386">
      <c r="A386" s="507"/>
      <c r="B386" s="507"/>
      <c r="C386" s="507"/>
      <c r="D386" s="544"/>
      <c r="E386" s="544"/>
    </row>
    <row r="387">
      <c r="A387" s="507"/>
      <c r="B387" s="507"/>
      <c r="C387" s="507"/>
      <c r="D387" s="544"/>
      <c r="E387" s="544"/>
    </row>
    <row r="388">
      <c r="A388" s="507"/>
      <c r="B388" s="507"/>
      <c r="C388" s="507"/>
      <c r="D388" s="544"/>
      <c r="E388" s="544"/>
    </row>
    <row r="389">
      <c r="A389" s="507"/>
      <c r="B389" s="507"/>
      <c r="C389" s="507"/>
      <c r="D389" s="544"/>
      <c r="E389" s="544"/>
    </row>
    <row r="390">
      <c r="A390" s="507"/>
      <c r="B390" s="507"/>
      <c r="C390" s="507"/>
      <c r="D390" s="544"/>
      <c r="E390" s="544"/>
    </row>
    <row r="391">
      <c r="A391" s="507"/>
      <c r="B391" s="507"/>
      <c r="C391" s="507"/>
      <c r="D391" s="544"/>
      <c r="E391" s="544"/>
    </row>
    <row r="392">
      <c r="A392" s="507"/>
      <c r="B392" s="507"/>
      <c r="C392" s="507"/>
      <c r="D392" s="544"/>
      <c r="E392" s="544"/>
    </row>
    <row r="393">
      <c r="A393" s="507"/>
      <c r="B393" s="507"/>
      <c r="C393" s="507"/>
      <c r="D393" s="544"/>
      <c r="E393" s="544"/>
    </row>
    <row r="394">
      <c r="A394" s="507"/>
      <c r="B394" s="507"/>
      <c r="C394" s="507"/>
      <c r="D394" s="544"/>
      <c r="E394" s="544"/>
    </row>
    <row r="395">
      <c r="A395" s="507"/>
      <c r="B395" s="507"/>
      <c r="C395" s="507"/>
      <c r="D395" s="544"/>
      <c r="E395" s="544"/>
    </row>
    <row r="396">
      <c r="A396" s="507"/>
      <c r="B396" s="507"/>
      <c r="C396" s="507"/>
      <c r="D396" s="544"/>
      <c r="E396" s="544"/>
    </row>
    <row r="397">
      <c r="A397" s="507"/>
      <c r="B397" s="507"/>
      <c r="C397" s="507"/>
      <c r="D397" s="544"/>
      <c r="E397" s="544"/>
    </row>
    <row r="398">
      <c r="A398" s="507"/>
      <c r="B398" s="507"/>
      <c r="C398" s="507"/>
      <c r="D398" s="544"/>
      <c r="E398" s="544"/>
    </row>
    <row r="399">
      <c r="A399" s="507"/>
      <c r="B399" s="507"/>
      <c r="C399" s="507"/>
      <c r="D399" s="544"/>
      <c r="E399" s="544"/>
    </row>
    <row r="400">
      <c r="A400" s="507"/>
      <c r="B400" s="507"/>
      <c r="C400" s="507"/>
      <c r="D400" s="544"/>
      <c r="E400" s="544"/>
    </row>
    <row r="401">
      <c r="A401" s="507"/>
      <c r="B401" s="507"/>
      <c r="C401" s="507"/>
      <c r="D401" s="544"/>
      <c r="E401" s="544"/>
    </row>
    <row r="402">
      <c r="A402" s="507"/>
      <c r="B402" s="507"/>
      <c r="C402" s="507"/>
      <c r="D402" s="544"/>
      <c r="E402" s="544"/>
    </row>
    <row r="403">
      <c r="A403" s="507"/>
      <c r="B403" s="507"/>
      <c r="C403" s="507"/>
      <c r="D403" s="544"/>
      <c r="E403" s="544"/>
    </row>
    <row r="404">
      <c r="A404" s="507"/>
      <c r="B404" s="507"/>
      <c r="C404" s="507"/>
      <c r="D404" s="544"/>
      <c r="E404" s="544"/>
    </row>
    <row r="405">
      <c r="A405" s="507"/>
      <c r="B405" s="507"/>
      <c r="C405" s="507"/>
      <c r="D405" s="544"/>
      <c r="E405" s="544"/>
    </row>
    <row r="406">
      <c r="A406" s="507"/>
      <c r="B406" s="507"/>
      <c r="C406" s="507"/>
      <c r="D406" s="544"/>
      <c r="E406" s="544"/>
    </row>
    <row r="407">
      <c r="A407" s="507"/>
      <c r="B407" s="507"/>
      <c r="C407" s="507"/>
      <c r="D407" s="544"/>
      <c r="E407" s="544"/>
    </row>
    <row r="408">
      <c r="A408" s="507"/>
      <c r="B408" s="507"/>
      <c r="C408" s="507"/>
      <c r="D408" s="544"/>
      <c r="E408" s="544"/>
    </row>
    <row r="409">
      <c r="A409" s="507"/>
      <c r="B409" s="507"/>
      <c r="C409" s="507"/>
      <c r="D409" s="544"/>
      <c r="E409" s="544"/>
    </row>
    <row r="410">
      <c r="A410" s="507"/>
      <c r="B410" s="507"/>
      <c r="C410" s="507"/>
      <c r="D410" s="544"/>
      <c r="E410" s="544"/>
    </row>
    <row r="411">
      <c r="A411" s="507"/>
      <c r="B411" s="507"/>
      <c r="C411" s="507"/>
      <c r="D411" s="544"/>
      <c r="E411" s="544"/>
    </row>
    <row r="412">
      <c r="A412" s="507"/>
      <c r="B412" s="507"/>
      <c r="C412" s="507"/>
      <c r="D412" s="544"/>
      <c r="E412" s="544"/>
    </row>
    <row r="413">
      <c r="A413" s="507"/>
      <c r="B413" s="507"/>
      <c r="C413" s="507"/>
      <c r="D413" s="544"/>
      <c r="E413" s="544"/>
    </row>
    <row r="414">
      <c r="A414" s="507"/>
      <c r="B414" s="507"/>
      <c r="C414" s="507"/>
      <c r="D414" s="544"/>
      <c r="E414" s="544"/>
    </row>
    <row r="415">
      <c r="A415" s="507"/>
      <c r="B415" s="507"/>
      <c r="C415" s="507"/>
      <c r="D415" s="544"/>
      <c r="E415" s="544"/>
    </row>
    <row r="416">
      <c r="A416" s="507"/>
      <c r="B416" s="507"/>
      <c r="C416" s="507"/>
      <c r="D416" s="544"/>
      <c r="E416" s="544"/>
    </row>
    <row r="417">
      <c r="A417" s="507"/>
      <c r="B417" s="507"/>
      <c r="C417" s="507"/>
      <c r="D417" s="544"/>
      <c r="E417" s="544"/>
    </row>
    <row r="418">
      <c r="A418" s="507"/>
      <c r="B418" s="507"/>
      <c r="C418" s="507"/>
      <c r="D418" s="544"/>
      <c r="E418" s="544"/>
    </row>
    <row r="419">
      <c r="A419" s="507"/>
      <c r="B419" s="507"/>
      <c r="C419" s="507"/>
      <c r="D419" s="544"/>
      <c r="E419" s="544"/>
    </row>
    <row r="420">
      <c r="A420" s="507"/>
      <c r="B420" s="507"/>
      <c r="C420" s="507"/>
      <c r="D420" s="544"/>
      <c r="E420" s="544"/>
    </row>
    <row r="421">
      <c r="A421" s="507"/>
      <c r="B421" s="507"/>
      <c r="C421" s="507"/>
      <c r="D421" s="544"/>
      <c r="E421" s="544"/>
    </row>
    <row r="422">
      <c r="A422" s="507"/>
      <c r="B422" s="507"/>
      <c r="C422" s="507"/>
      <c r="D422" s="544"/>
      <c r="E422" s="544"/>
    </row>
    <row r="423">
      <c r="A423" s="507"/>
      <c r="B423" s="507"/>
      <c r="C423" s="507"/>
      <c r="D423" s="544"/>
      <c r="E423" s="544"/>
    </row>
    <row r="424">
      <c r="A424" s="507"/>
      <c r="B424" s="507"/>
      <c r="C424" s="507"/>
      <c r="D424" s="544"/>
      <c r="E424" s="544"/>
    </row>
    <row r="425">
      <c r="A425" s="507"/>
      <c r="B425" s="507"/>
      <c r="C425" s="507"/>
      <c r="D425" s="544"/>
      <c r="E425" s="544"/>
    </row>
    <row r="426">
      <c r="A426" s="507"/>
      <c r="B426" s="507"/>
      <c r="C426" s="507"/>
      <c r="D426" s="544"/>
      <c r="E426" s="544"/>
    </row>
    <row r="427">
      <c r="A427" s="507"/>
      <c r="B427" s="507"/>
      <c r="C427" s="507"/>
      <c r="D427" s="544"/>
      <c r="E427" s="544"/>
    </row>
    <row r="428">
      <c r="A428" s="507"/>
      <c r="B428" s="507"/>
      <c r="C428" s="507"/>
      <c r="D428" s="544"/>
      <c r="E428" s="544"/>
    </row>
    <row r="429">
      <c r="A429" s="507"/>
      <c r="B429" s="507"/>
      <c r="C429" s="507"/>
      <c r="D429" s="544"/>
      <c r="E429" s="544"/>
    </row>
    <row r="430">
      <c r="A430" s="507"/>
      <c r="B430" s="507"/>
      <c r="C430" s="507"/>
      <c r="D430" s="544"/>
      <c r="E430" s="544"/>
    </row>
    <row r="431">
      <c r="A431" s="507"/>
      <c r="B431" s="507"/>
      <c r="C431" s="507"/>
      <c r="D431" s="544"/>
      <c r="E431" s="544"/>
    </row>
    <row r="432">
      <c r="A432" s="507"/>
      <c r="B432" s="507"/>
      <c r="C432" s="507"/>
      <c r="D432" s="544"/>
      <c r="E432" s="544"/>
    </row>
    <row r="433">
      <c r="A433" s="507"/>
      <c r="B433" s="507"/>
      <c r="C433" s="507"/>
      <c r="D433" s="544"/>
      <c r="E433" s="544"/>
    </row>
    <row r="434">
      <c r="A434" s="507"/>
      <c r="B434" s="507"/>
      <c r="C434" s="507"/>
      <c r="D434" s="544"/>
      <c r="E434" s="544"/>
    </row>
    <row r="435">
      <c r="A435" s="507"/>
      <c r="B435" s="507"/>
      <c r="C435" s="507"/>
      <c r="D435" s="544"/>
      <c r="E435" s="544"/>
    </row>
    <row r="436">
      <c r="A436" s="507"/>
      <c r="B436" s="507"/>
      <c r="C436" s="507"/>
      <c r="D436" s="544"/>
      <c r="E436" s="544"/>
    </row>
    <row r="437">
      <c r="A437" s="507"/>
      <c r="B437" s="507"/>
      <c r="C437" s="507"/>
      <c r="D437" s="544"/>
      <c r="E437" s="544"/>
    </row>
    <row r="438">
      <c r="A438" s="507"/>
      <c r="B438" s="507"/>
      <c r="C438" s="507"/>
      <c r="D438" s="544"/>
      <c r="E438" s="544"/>
    </row>
    <row r="439">
      <c r="A439" s="507"/>
      <c r="B439" s="507"/>
      <c r="C439" s="507"/>
      <c r="D439" s="544"/>
      <c r="E439" s="544"/>
    </row>
    <row r="440">
      <c r="A440" s="507"/>
      <c r="B440" s="507"/>
      <c r="C440" s="507"/>
      <c r="D440" s="544"/>
      <c r="E440" s="544"/>
    </row>
    <row r="441">
      <c r="A441" s="507"/>
      <c r="B441" s="507"/>
      <c r="C441" s="507"/>
      <c r="D441" s="544"/>
      <c r="E441" s="544"/>
    </row>
    <row r="442">
      <c r="A442" s="507"/>
      <c r="B442" s="507"/>
      <c r="C442" s="507"/>
      <c r="D442" s="544"/>
      <c r="E442" s="544"/>
    </row>
    <row r="443">
      <c r="A443" s="507"/>
      <c r="B443" s="507"/>
      <c r="C443" s="507"/>
      <c r="D443" s="544"/>
      <c r="E443" s="544"/>
    </row>
    <row r="444">
      <c r="A444" s="507"/>
      <c r="B444" s="507"/>
      <c r="C444" s="507"/>
      <c r="D444" s="544"/>
      <c r="E444" s="544"/>
    </row>
    <row r="445">
      <c r="A445" s="507"/>
      <c r="B445" s="507"/>
      <c r="C445" s="507"/>
      <c r="D445" s="544"/>
      <c r="E445" s="544"/>
    </row>
    <row r="446">
      <c r="A446" s="507"/>
      <c r="B446" s="507"/>
      <c r="C446" s="507"/>
      <c r="D446" s="544"/>
      <c r="E446" s="544"/>
    </row>
    <row r="447">
      <c r="A447" s="507"/>
      <c r="B447" s="507"/>
      <c r="C447" s="507"/>
      <c r="D447" s="544"/>
      <c r="E447" s="544"/>
    </row>
    <row r="448">
      <c r="A448" s="507"/>
      <c r="B448" s="507"/>
      <c r="C448" s="507"/>
      <c r="D448" s="544"/>
      <c r="E448" s="544"/>
    </row>
    <row r="449">
      <c r="A449" s="507"/>
      <c r="B449" s="507"/>
      <c r="C449" s="507"/>
      <c r="D449" s="544"/>
      <c r="E449" s="544"/>
    </row>
    <row r="450">
      <c r="A450" s="507"/>
      <c r="B450" s="507"/>
      <c r="C450" s="507"/>
      <c r="D450" s="544"/>
      <c r="E450" s="544"/>
    </row>
    <row r="451">
      <c r="A451" s="507"/>
      <c r="B451" s="507"/>
      <c r="C451" s="507"/>
      <c r="D451" s="544"/>
      <c r="E451" s="544"/>
    </row>
    <row r="452">
      <c r="A452" s="507"/>
      <c r="B452" s="507"/>
      <c r="C452" s="507"/>
      <c r="D452" s="544"/>
      <c r="E452" s="544"/>
    </row>
    <row r="453">
      <c r="A453" s="507"/>
      <c r="B453" s="507"/>
      <c r="C453" s="507"/>
      <c r="D453" s="544"/>
      <c r="E453" s="544"/>
    </row>
    <row r="454">
      <c r="A454" s="507"/>
      <c r="B454" s="507"/>
      <c r="C454" s="507"/>
      <c r="D454" s="544"/>
      <c r="E454" s="544"/>
    </row>
    <row r="455">
      <c r="A455" s="507"/>
      <c r="B455" s="507"/>
      <c r="C455" s="507"/>
      <c r="D455" s="544"/>
      <c r="E455" s="544"/>
    </row>
    <row r="456">
      <c r="A456" s="507"/>
      <c r="B456" s="507"/>
      <c r="C456" s="507"/>
      <c r="D456" s="544"/>
      <c r="E456" s="544"/>
    </row>
    <row r="457">
      <c r="A457" s="507"/>
      <c r="B457" s="507"/>
      <c r="C457" s="507"/>
      <c r="D457" s="544"/>
      <c r="E457" s="544"/>
    </row>
    <row r="458">
      <c r="A458" s="507"/>
      <c r="B458" s="507"/>
      <c r="C458" s="507"/>
      <c r="D458" s="544"/>
      <c r="E458" s="544"/>
    </row>
    <row r="459">
      <c r="A459" s="507"/>
      <c r="B459" s="507"/>
      <c r="C459" s="507"/>
      <c r="D459" s="544"/>
      <c r="E459" s="544"/>
    </row>
    <row r="460">
      <c r="A460" s="507"/>
      <c r="B460" s="507"/>
      <c r="C460" s="507"/>
      <c r="D460" s="544"/>
      <c r="E460" s="544"/>
    </row>
    <row r="461">
      <c r="A461" s="507"/>
      <c r="B461" s="507"/>
      <c r="C461" s="507"/>
      <c r="D461" s="544"/>
      <c r="E461" s="544"/>
    </row>
    <row r="462">
      <c r="A462" s="507"/>
      <c r="B462" s="507"/>
      <c r="C462" s="507"/>
      <c r="D462" s="544"/>
      <c r="E462" s="544"/>
    </row>
    <row r="463">
      <c r="A463" s="507"/>
      <c r="B463" s="507"/>
      <c r="C463" s="507"/>
      <c r="D463" s="544"/>
      <c r="E463" s="544"/>
    </row>
    <row r="464">
      <c r="A464" s="507"/>
      <c r="B464" s="507"/>
      <c r="C464" s="507"/>
      <c r="D464" s="544"/>
      <c r="E464" s="544"/>
    </row>
    <row r="465">
      <c r="A465" s="507"/>
      <c r="B465" s="507"/>
      <c r="C465" s="507"/>
      <c r="D465" s="544"/>
      <c r="E465" s="544"/>
    </row>
    <row r="466">
      <c r="A466" s="507"/>
      <c r="B466" s="507"/>
      <c r="C466" s="507"/>
      <c r="D466" s="544"/>
      <c r="E466" s="544"/>
    </row>
    <row r="467">
      <c r="A467" s="507"/>
      <c r="B467" s="507"/>
      <c r="C467" s="507"/>
      <c r="D467" s="544"/>
      <c r="E467" s="544"/>
    </row>
    <row r="468">
      <c r="A468" s="507"/>
      <c r="B468" s="507"/>
      <c r="C468" s="507"/>
      <c r="D468" s="544"/>
      <c r="E468" s="544"/>
    </row>
    <row r="469">
      <c r="A469" s="507"/>
      <c r="B469" s="507"/>
      <c r="C469" s="507"/>
      <c r="D469" s="544"/>
      <c r="E469" s="544"/>
    </row>
    <row r="470">
      <c r="A470" s="507"/>
      <c r="B470" s="507"/>
      <c r="C470" s="507"/>
      <c r="D470" s="544"/>
      <c r="E470" s="544"/>
    </row>
    <row r="471">
      <c r="A471" s="507"/>
      <c r="B471" s="507"/>
      <c r="C471" s="507"/>
      <c r="D471" s="544"/>
      <c r="E471" s="544"/>
    </row>
    <row r="472">
      <c r="A472" s="507"/>
      <c r="B472" s="507"/>
      <c r="C472" s="507"/>
      <c r="D472" s="544"/>
      <c r="E472" s="544"/>
    </row>
    <row r="473">
      <c r="A473" s="507"/>
      <c r="B473" s="507"/>
      <c r="C473" s="507"/>
      <c r="D473" s="544"/>
      <c r="E473" s="544"/>
    </row>
    <row r="474">
      <c r="A474" s="507"/>
      <c r="B474" s="507"/>
      <c r="C474" s="507"/>
      <c r="D474" s="544"/>
      <c r="E474" s="544"/>
    </row>
    <row r="475">
      <c r="A475" s="507"/>
      <c r="B475" s="507"/>
      <c r="C475" s="507"/>
      <c r="D475" s="544"/>
      <c r="E475" s="544"/>
    </row>
    <row r="476">
      <c r="A476" s="507"/>
      <c r="B476" s="507"/>
      <c r="C476" s="507"/>
      <c r="D476" s="544"/>
      <c r="E476" s="544"/>
    </row>
    <row r="477">
      <c r="A477" s="507"/>
      <c r="B477" s="507"/>
      <c r="C477" s="507"/>
      <c r="D477" s="544"/>
      <c r="E477" s="544"/>
    </row>
    <row r="478">
      <c r="A478" s="507"/>
      <c r="B478" s="507"/>
      <c r="C478" s="507"/>
      <c r="D478" s="544"/>
      <c r="E478" s="544"/>
    </row>
    <row r="479">
      <c r="A479" s="507"/>
      <c r="B479" s="507"/>
      <c r="C479" s="507"/>
      <c r="D479" s="544"/>
      <c r="E479" s="544"/>
    </row>
    <row r="480">
      <c r="A480" s="507"/>
      <c r="B480" s="507"/>
      <c r="C480" s="507"/>
      <c r="D480" s="544"/>
      <c r="E480" s="544"/>
    </row>
    <row r="481">
      <c r="A481" s="507"/>
      <c r="B481" s="507"/>
      <c r="C481" s="507"/>
      <c r="D481" s="544"/>
      <c r="E481" s="544"/>
    </row>
    <row r="482">
      <c r="A482" s="507"/>
      <c r="B482" s="507"/>
      <c r="C482" s="507"/>
      <c r="D482" s="544"/>
      <c r="E482" s="544"/>
    </row>
    <row r="483">
      <c r="A483" s="507"/>
      <c r="B483" s="507"/>
      <c r="C483" s="507"/>
      <c r="D483" s="544"/>
      <c r="E483" s="544"/>
    </row>
    <row r="484">
      <c r="A484" s="507"/>
      <c r="B484" s="507"/>
      <c r="C484" s="507"/>
      <c r="D484" s="544"/>
      <c r="E484" s="544"/>
    </row>
    <row r="485">
      <c r="A485" s="507"/>
      <c r="B485" s="507"/>
      <c r="C485" s="507"/>
      <c r="D485" s="544"/>
      <c r="E485" s="544"/>
    </row>
    <row r="486">
      <c r="A486" s="507"/>
      <c r="B486" s="507"/>
      <c r="C486" s="507"/>
      <c r="D486" s="544"/>
      <c r="E486" s="544"/>
    </row>
    <row r="487">
      <c r="A487" s="507"/>
      <c r="B487" s="507"/>
      <c r="C487" s="507"/>
      <c r="D487" s="544"/>
      <c r="E487" s="544"/>
    </row>
    <row r="488">
      <c r="A488" s="507"/>
      <c r="B488" s="507"/>
      <c r="C488" s="507"/>
      <c r="D488" s="544"/>
      <c r="E488" s="544"/>
    </row>
    <row r="489">
      <c r="A489" s="507"/>
      <c r="B489" s="507"/>
      <c r="C489" s="507"/>
      <c r="D489" s="544"/>
      <c r="E489" s="544"/>
    </row>
    <row r="490">
      <c r="A490" s="507"/>
      <c r="B490" s="507"/>
      <c r="C490" s="507"/>
      <c r="D490" s="544"/>
      <c r="E490" s="544"/>
    </row>
    <row r="491">
      <c r="A491" s="507"/>
      <c r="B491" s="507"/>
      <c r="C491" s="507"/>
      <c r="D491" s="544"/>
      <c r="E491" s="544"/>
    </row>
    <row r="492">
      <c r="A492" s="507"/>
      <c r="B492" s="507"/>
      <c r="C492" s="507"/>
      <c r="D492" s="544"/>
      <c r="E492" s="544"/>
    </row>
    <row r="493">
      <c r="A493" s="507"/>
      <c r="B493" s="507"/>
      <c r="C493" s="507"/>
      <c r="D493" s="544"/>
      <c r="E493" s="544"/>
    </row>
    <row r="494">
      <c r="A494" s="507"/>
      <c r="B494" s="507"/>
      <c r="C494" s="507"/>
      <c r="D494" s="544"/>
      <c r="E494" s="544"/>
    </row>
    <row r="495">
      <c r="A495" s="507"/>
      <c r="B495" s="507"/>
      <c r="C495" s="507"/>
      <c r="D495" s="544"/>
      <c r="E495" s="544"/>
    </row>
    <row r="496">
      <c r="A496" s="507"/>
      <c r="B496" s="507"/>
      <c r="C496" s="507"/>
      <c r="D496" s="544"/>
      <c r="E496" s="544"/>
    </row>
    <row r="497">
      <c r="A497" s="507"/>
      <c r="B497" s="507"/>
      <c r="C497" s="507"/>
      <c r="D497" s="544"/>
      <c r="E497" s="544"/>
    </row>
    <row r="498">
      <c r="A498" s="507"/>
      <c r="B498" s="507"/>
      <c r="C498" s="507"/>
      <c r="D498" s="544"/>
      <c r="E498" s="544"/>
    </row>
    <row r="499">
      <c r="A499" s="507"/>
      <c r="B499" s="507"/>
      <c r="C499" s="507"/>
      <c r="D499" s="544"/>
      <c r="E499" s="544"/>
    </row>
    <row r="500">
      <c r="A500" s="507"/>
      <c r="B500" s="507"/>
      <c r="C500" s="507"/>
      <c r="D500" s="544"/>
      <c r="E500" s="544"/>
    </row>
    <row r="501">
      <c r="A501" s="507"/>
      <c r="B501" s="507"/>
      <c r="C501" s="507"/>
      <c r="D501" s="544"/>
      <c r="E501" s="544"/>
    </row>
    <row r="502">
      <c r="A502" s="507"/>
      <c r="B502" s="507"/>
      <c r="C502" s="507"/>
      <c r="D502" s="544"/>
      <c r="E502" s="544"/>
    </row>
    <row r="503">
      <c r="A503" s="507"/>
      <c r="B503" s="507"/>
      <c r="C503" s="507"/>
      <c r="D503" s="544"/>
      <c r="E503" s="544"/>
    </row>
    <row r="504">
      <c r="A504" s="507"/>
      <c r="B504" s="507"/>
      <c r="C504" s="507"/>
      <c r="D504" s="544"/>
      <c r="E504" s="544"/>
    </row>
    <row r="505">
      <c r="A505" s="507"/>
      <c r="B505" s="507"/>
      <c r="C505" s="507"/>
      <c r="D505" s="544"/>
      <c r="E505" s="544"/>
    </row>
    <row r="506">
      <c r="A506" s="507"/>
      <c r="B506" s="507"/>
      <c r="C506" s="507"/>
      <c r="D506" s="544"/>
      <c r="E506" s="544"/>
    </row>
    <row r="507">
      <c r="A507" s="507"/>
      <c r="B507" s="507"/>
      <c r="C507" s="507"/>
      <c r="D507" s="544"/>
      <c r="E507" s="544"/>
    </row>
    <row r="508">
      <c r="A508" s="507"/>
      <c r="B508" s="507"/>
      <c r="C508" s="507"/>
      <c r="D508" s="544"/>
      <c r="E508" s="544"/>
    </row>
    <row r="509">
      <c r="A509" s="507"/>
      <c r="B509" s="507"/>
      <c r="C509" s="507"/>
      <c r="D509" s="544"/>
      <c r="E509" s="544"/>
    </row>
    <row r="510">
      <c r="A510" s="507"/>
      <c r="B510" s="507"/>
      <c r="C510" s="507"/>
      <c r="D510" s="544"/>
      <c r="E510" s="544"/>
    </row>
    <row r="511">
      <c r="A511" s="507"/>
      <c r="B511" s="507"/>
      <c r="C511" s="507"/>
      <c r="D511" s="544"/>
      <c r="E511" s="544"/>
    </row>
    <row r="512">
      <c r="A512" s="507"/>
      <c r="B512" s="507"/>
      <c r="C512" s="507"/>
      <c r="D512" s="544"/>
      <c r="E512" s="544"/>
    </row>
    <row r="513">
      <c r="A513" s="507"/>
      <c r="B513" s="507"/>
      <c r="C513" s="507"/>
      <c r="D513" s="544"/>
      <c r="E513" s="544"/>
    </row>
    <row r="514">
      <c r="A514" s="507"/>
      <c r="B514" s="507"/>
      <c r="C514" s="507"/>
      <c r="D514" s="544"/>
      <c r="E514" s="544"/>
    </row>
    <row r="515">
      <c r="A515" s="507"/>
      <c r="B515" s="507"/>
      <c r="C515" s="507"/>
      <c r="D515" s="544"/>
      <c r="E515" s="544"/>
    </row>
    <row r="516">
      <c r="A516" s="507"/>
      <c r="B516" s="507"/>
      <c r="C516" s="507"/>
      <c r="D516" s="544"/>
      <c r="E516" s="544"/>
    </row>
    <row r="517">
      <c r="A517" s="507"/>
      <c r="B517" s="507"/>
      <c r="C517" s="507"/>
      <c r="D517" s="544"/>
      <c r="E517" s="544"/>
    </row>
    <row r="518">
      <c r="A518" s="507"/>
      <c r="B518" s="507"/>
      <c r="C518" s="507"/>
      <c r="D518" s="544"/>
      <c r="E518" s="544"/>
    </row>
    <row r="519">
      <c r="A519" s="507"/>
      <c r="B519" s="507"/>
      <c r="C519" s="507"/>
      <c r="D519" s="544"/>
      <c r="E519" s="544"/>
    </row>
    <row r="520">
      <c r="A520" s="507"/>
      <c r="B520" s="507"/>
      <c r="C520" s="507"/>
      <c r="D520" s="544"/>
      <c r="E520" s="544"/>
    </row>
    <row r="521">
      <c r="A521" s="507"/>
      <c r="B521" s="507"/>
      <c r="C521" s="507"/>
      <c r="D521" s="544"/>
      <c r="E521" s="544"/>
    </row>
    <row r="522">
      <c r="A522" s="507"/>
      <c r="B522" s="507"/>
      <c r="C522" s="507"/>
      <c r="D522" s="544"/>
      <c r="E522" s="544"/>
    </row>
    <row r="523">
      <c r="A523" s="507"/>
      <c r="B523" s="507"/>
      <c r="C523" s="507"/>
      <c r="D523" s="544"/>
      <c r="E523" s="544"/>
    </row>
    <row r="524">
      <c r="A524" s="507"/>
      <c r="B524" s="507"/>
      <c r="C524" s="507"/>
      <c r="D524" s="544"/>
      <c r="E524" s="544"/>
    </row>
    <row r="525">
      <c r="A525" s="507"/>
      <c r="B525" s="507"/>
      <c r="C525" s="507"/>
      <c r="D525" s="544"/>
      <c r="E525" s="544"/>
    </row>
    <row r="526">
      <c r="A526" s="507"/>
      <c r="B526" s="507"/>
      <c r="C526" s="507"/>
      <c r="D526" s="544"/>
      <c r="E526" s="544"/>
    </row>
    <row r="527">
      <c r="A527" s="507"/>
      <c r="B527" s="507"/>
      <c r="C527" s="507"/>
      <c r="D527" s="544"/>
      <c r="E527" s="544"/>
    </row>
    <row r="528">
      <c r="A528" s="507"/>
      <c r="B528" s="507"/>
      <c r="C528" s="507"/>
      <c r="D528" s="544"/>
      <c r="E528" s="544"/>
    </row>
    <row r="529">
      <c r="A529" s="507"/>
      <c r="B529" s="507"/>
      <c r="C529" s="507"/>
      <c r="D529" s="544"/>
      <c r="E529" s="544"/>
    </row>
    <row r="530">
      <c r="A530" s="507"/>
      <c r="B530" s="507"/>
      <c r="C530" s="507"/>
      <c r="D530" s="544"/>
      <c r="E530" s="544"/>
    </row>
    <row r="531">
      <c r="A531" s="507"/>
      <c r="B531" s="507"/>
      <c r="C531" s="507"/>
      <c r="D531" s="544"/>
      <c r="E531" s="544"/>
    </row>
    <row r="532">
      <c r="A532" s="507"/>
      <c r="B532" s="507"/>
      <c r="C532" s="507"/>
      <c r="D532" s="544"/>
      <c r="E532" s="544"/>
    </row>
    <row r="533">
      <c r="A533" s="507"/>
      <c r="B533" s="507"/>
      <c r="C533" s="507"/>
      <c r="D533" s="544"/>
      <c r="E533" s="544"/>
    </row>
    <row r="534">
      <c r="A534" s="507"/>
      <c r="B534" s="507"/>
      <c r="C534" s="507"/>
      <c r="D534" s="544"/>
      <c r="E534" s="544"/>
    </row>
    <row r="535">
      <c r="A535" s="507"/>
      <c r="B535" s="507"/>
      <c r="C535" s="507"/>
      <c r="D535" s="544"/>
      <c r="E535" s="544"/>
    </row>
    <row r="536">
      <c r="A536" s="507"/>
      <c r="B536" s="507"/>
      <c r="C536" s="507"/>
      <c r="D536" s="544"/>
      <c r="E536" s="544"/>
    </row>
    <row r="537">
      <c r="A537" s="507"/>
      <c r="B537" s="507"/>
      <c r="C537" s="507"/>
      <c r="D537" s="544"/>
      <c r="E537" s="544"/>
    </row>
    <row r="538">
      <c r="A538" s="507"/>
      <c r="B538" s="507"/>
      <c r="C538" s="507"/>
      <c r="D538" s="544"/>
      <c r="E538" s="544"/>
    </row>
    <row r="539">
      <c r="A539" s="507"/>
      <c r="B539" s="507"/>
      <c r="C539" s="507"/>
      <c r="D539" s="544"/>
      <c r="E539" s="544"/>
    </row>
    <row r="540">
      <c r="A540" s="507"/>
      <c r="B540" s="507"/>
      <c r="C540" s="507"/>
      <c r="D540" s="544"/>
      <c r="E540" s="544"/>
    </row>
    <row r="541">
      <c r="A541" s="507"/>
      <c r="B541" s="507"/>
      <c r="C541" s="507"/>
      <c r="D541" s="544"/>
      <c r="E541" s="544"/>
    </row>
    <row r="542">
      <c r="A542" s="507"/>
      <c r="B542" s="507"/>
      <c r="C542" s="507"/>
      <c r="D542" s="544"/>
      <c r="E542" s="544"/>
    </row>
    <row r="543">
      <c r="A543" s="507"/>
      <c r="B543" s="507"/>
      <c r="C543" s="507"/>
      <c r="D543" s="544"/>
      <c r="E543" s="544"/>
    </row>
    <row r="544">
      <c r="A544" s="507"/>
      <c r="B544" s="507"/>
      <c r="C544" s="507"/>
      <c r="D544" s="544"/>
      <c r="E544" s="544"/>
    </row>
    <row r="545">
      <c r="A545" s="507"/>
      <c r="B545" s="507"/>
      <c r="C545" s="507"/>
      <c r="D545" s="544"/>
      <c r="E545" s="544"/>
    </row>
    <row r="546">
      <c r="A546" s="507"/>
      <c r="B546" s="507"/>
      <c r="C546" s="507"/>
      <c r="D546" s="544"/>
      <c r="E546" s="544"/>
    </row>
    <row r="547">
      <c r="A547" s="507"/>
      <c r="B547" s="507"/>
      <c r="C547" s="507"/>
      <c r="D547" s="544"/>
      <c r="E547" s="544"/>
    </row>
    <row r="548">
      <c r="A548" s="507"/>
      <c r="B548" s="507"/>
      <c r="C548" s="507"/>
      <c r="D548" s="544"/>
      <c r="E548" s="544"/>
    </row>
    <row r="549">
      <c r="A549" s="507"/>
      <c r="B549" s="507"/>
      <c r="C549" s="507"/>
      <c r="D549" s="544"/>
      <c r="E549" s="544"/>
    </row>
    <row r="550">
      <c r="A550" s="507"/>
      <c r="B550" s="507"/>
      <c r="C550" s="507"/>
      <c r="D550" s="544"/>
      <c r="E550" s="544"/>
    </row>
    <row r="551">
      <c r="A551" s="507"/>
      <c r="B551" s="507"/>
      <c r="C551" s="507"/>
      <c r="D551" s="544"/>
      <c r="E551" s="544"/>
    </row>
    <row r="552">
      <c r="A552" s="507"/>
      <c r="B552" s="507"/>
      <c r="C552" s="507"/>
      <c r="D552" s="544"/>
      <c r="E552" s="544"/>
    </row>
    <row r="553">
      <c r="A553" s="507"/>
      <c r="B553" s="507"/>
      <c r="C553" s="507"/>
      <c r="D553" s="544"/>
      <c r="E553" s="544"/>
    </row>
    <row r="554">
      <c r="A554" s="507"/>
      <c r="B554" s="507"/>
      <c r="C554" s="507"/>
      <c r="D554" s="544"/>
      <c r="E554" s="544"/>
    </row>
    <row r="555">
      <c r="A555" s="507"/>
      <c r="B555" s="507"/>
      <c r="C555" s="507"/>
      <c r="D555" s="544"/>
      <c r="E555" s="544"/>
    </row>
    <row r="556">
      <c r="A556" s="507"/>
      <c r="B556" s="507"/>
      <c r="C556" s="507"/>
      <c r="D556" s="544"/>
      <c r="E556" s="544"/>
    </row>
    <row r="557">
      <c r="A557" s="507"/>
      <c r="B557" s="507"/>
      <c r="C557" s="507"/>
      <c r="D557" s="544"/>
      <c r="E557" s="544"/>
    </row>
    <row r="558">
      <c r="A558" s="507"/>
      <c r="B558" s="507"/>
      <c r="C558" s="507"/>
      <c r="D558" s="544"/>
      <c r="E558" s="544"/>
    </row>
    <row r="559">
      <c r="A559" s="507"/>
      <c r="B559" s="507"/>
      <c r="C559" s="507"/>
      <c r="D559" s="544"/>
      <c r="E559" s="544"/>
    </row>
    <row r="560">
      <c r="A560" s="507"/>
      <c r="B560" s="507"/>
      <c r="C560" s="507"/>
      <c r="D560" s="544"/>
      <c r="E560" s="544"/>
    </row>
    <row r="561">
      <c r="A561" s="507"/>
      <c r="B561" s="507"/>
      <c r="C561" s="507"/>
      <c r="D561" s="544"/>
      <c r="E561" s="544"/>
    </row>
    <row r="562">
      <c r="A562" s="507"/>
      <c r="B562" s="507"/>
      <c r="C562" s="507"/>
      <c r="D562" s="544"/>
      <c r="E562" s="544"/>
    </row>
    <row r="563">
      <c r="A563" s="507"/>
      <c r="B563" s="507"/>
      <c r="C563" s="507"/>
      <c r="D563" s="544"/>
      <c r="E563" s="544"/>
    </row>
    <row r="564">
      <c r="A564" s="507"/>
      <c r="B564" s="507"/>
      <c r="C564" s="507"/>
      <c r="D564" s="544"/>
      <c r="E564" s="544"/>
    </row>
    <row r="565">
      <c r="A565" s="507"/>
      <c r="B565" s="507"/>
      <c r="C565" s="507"/>
      <c r="D565" s="544"/>
      <c r="E565" s="544"/>
    </row>
    <row r="566">
      <c r="A566" s="507"/>
      <c r="B566" s="507"/>
      <c r="C566" s="507"/>
      <c r="D566" s="544"/>
      <c r="E566" s="544"/>
    </row>
    <row r="567">
      <c r="A567" s="507"/>
      <c r="B567" s="507"/>
      <c r="C567" s="507"/>
      <c r="D567" s="544"/>
      <c r="E567" s="544"/>
    </row>
    <row r="568">
      <c r="A568" s="507"/>
      <c r="B568" s="507"/>
      <c r="C568" s="507"/>
      <c r="D568" s="544"/>
      <c r="E568" s="544"/>
    </row>
    <row r="569">
      <c r="A569" s="507"/>
      <c r="B569" s="507"/>
      <c r="C569" s="507"/>
      <c r="D569" s="544"/>
      <c r="E569" s="544"/>
    </row>
    <row r="570">
      <c r="A570" s="507"/>
      <c r="B570" s="507"/>
      <c r="C570" s="507"/>
      <c r="D570" s="544"/>
      <c r="E570" s="544"/>
    </row>
    <row r="571">
      <c r="A571" s="507"/>
      <c r="B571" s="507"/>
      <c r="C571" s="507"/>
      <c r="D571" s="544"/>
      <c r="E571" s="544"/>
    </row>
    <row r="572">
      <c r="A572" s="507"/>
      <c r="B572" s="507"/>
      <c r="C572" s="507"/>
      <c r="D572" s="544"/>
      <c r="E572" s="544"/>
    </row>
    <row r="573">
      <c r="A573" s="507"/>
      <c r="B573" s="507"/>
      <c r="C573" s="507"/>
      <c r="D573" s="544"/>
      <c r="E573" s="544"/>
    </row>
    <row r="574">
      <c r="A574" s="507"/>
      <c r="B574" s="507"/>
      <c r="C574" s="507"/>
      <c r="D574" s="544"/>
      <c r="E574" s="544"/>
    </row>
    <row r="575">
      <c r="A575" s="507"/>
      <c r="B575" s="507"/>
      <c r="C575" s="507"/>
      <c r="D575" s="544"/>
      <c r="E575" s="544"/>
    </row>
    <row r="576">
      <c r="A576" s="507"/>
      <c r="B576" s="507"/>
      <c r="C576" s="507"/>
      <c r="D576" s="544"/>
      <c r="E576" s="544"/>
    </row>
    <row r="577">
      <c r="A577" s="507"/>
      <c r="B577" s="507"/>
      <c r="C577" s="507"/>
      <c r="D577" s="544"/>
      <c r="E577" s="544"/>
    </row>
    <row r="578">
      <c r="A578" s="507"/>
      <c r="B578" s="507"/>
      <c r="C578" s="507"/>
      <c r="D578" s="544"/>
      <c r="E578" s="544"/>
    </row>
    <row r="579">
      <c r="A579" s="507"/>
      <c r="B579" s="507"/>
      <c r="C579" s="507"/>
      <c r="D579" s="544"/>
      <c r="E579" s="544"/>
    </row>
    <row r="580">
      <c r="A580" s="507"/>
      <c r="B580" s="507"/>
      <c r="C580" s="507"/>
      <c r="D580" s="544"/>
      <c r="E580" s="544"/>
    </row>
    <row r="581">
      <c r="A581" s="507"/>
      <c r="B581" s="507"/>
      <c r="C581" s="507"/>
      <c r="D581" s="544"/>
      <c r="E581" s="544"/>
    </row>
    <row r="582">
      <c r="A582" s="507"/>
      <c r="B582" s="507"/>
      <c r="C582" s="507"/>
      <c r="D582" s="544"/>
      <c r="E582" s="544"/>
    </row>
    <row r="583">
      <c r="A583" s="507"/>
      <c r="B583" s="507"/>
      <c r="C583" s="507"/>
      <c r="D583" s="544"/>
      <c r="E583" s="544"/>
    </row>
    <row r="584">
      <c r="A584" s="507"/>
      <c r="B584" s="507"/>
      <c r="C584" s="507"/>
      <c r="D584" s="544"/>
      <c r="E584" s="544"/>
    </row>
    <row r="585">
      <c r="A585" s="507"/>
      <c r="B585" s="507"/>
      <c r="C585" s="507"/>
      <c r="D585" s="544"/>
      <c r="E585" s="544"/>
    </row>
    <row r="586">
      <c r="A586" s="507"/>
      <c r="B586" s="507"/>
      <c r="C586" s="507"/>
      <c r="D586" s="544"/>
      <c r="E586" s="544"/>
    </row>
    <row r="587">
      <c r="A587" s="507"/>
      <c r="B587" s="507"/>
      <c r="C587" s="507"/>
      <c r="D587" s="544"/>
      <c r="E587" s="544"/>
    </row>
    <row r="588">
      <c r="A588" s="507"/>
      <c r="B588" s="507"/>
      <c r="C588" s="507"/>
      <c r="D588" s="544"/>
      <c r="E588" s="544"/>
    </row>
    <row r="589">
      <c r="A589" s="507"/>
      <c r="B589" s="507"/>
      <c r="C589" s="507"/>
      <c r="D589" s="544"/>
      <c r="E589" s="544"/>
    </row>
    <row r="590">
      <c r="A590" s="507"/>
      <c r="B590" s="507"/>
      <c r="C590" s="507"/>
      <c r="D590" s="544"/>
      <c r="E590" s="544"/>
    </row>
    <row r="591">
      <c r="A591" s="507"/>
      <c r="B591" s="507"/>
      <c r="C591" s="507"/>
      <c r="D591" s="544"/>
      <c r="E591" s="544"/>
    </row>
    <row r="592">
      <c r="A592" s="507"/>
      <c r="B592" s="507"/>
      <c r="C592" s="507"/>
      <c r="D592" s="544"/>
      <c r="E592" s="544"/>
    </row>
    <row r="593">
      <c r="A593" s="507"/>
      <c r="B593" s="507"/>
      <c r="C593" s="507"/>
      <c r="D593" s="544"/>
      <c r="E593" s="544"/>
    </row>
    <row r="594">
      <c r="A594" s="507"/>
      <c r="B594" s="507"/>
      <c r="C594" s="507"/>
      <c r="D594" s="544"/>
      <c r="E594" s="544"/>
    </row>
    <row r="595">
      <c r="A595" s="507"/>
      <c r="B595" s="507"/>
      <c r="C595" s="507"/>
      <c r="D595" s="544"/>
      <c r="E595" s="544"/>
    </row>
    <row r="596">
      <c r="A596" s="507"/>
      <c r="B596" s="507"/>
      <c r="C596" s="507"/>
      <c r="D596" s="544"/>
      <c r="E596" s="544"/>
    </row>
    <row r="597">
      <c r="A597" s="507"/>
      <c r="B597" s="507"/>
      <c r="C597" s="507"/>
      <c r="D597" s="544"/>
      <c r="E597" s="544"/>
    </row>
    <row r="598">
      <c r="A598" s="507"/>
      <c r="B598" s="507"/>
      <c r="C598" s="507"/>
      <c r="D598" s="544"/>
      <c r="E598" s="544"/>
    </row>
    <row r="599">
      <c r="A599" s="507"/>
      <c r="B599" s="507"/>
      <c r="C599" s="507"/>
      <c r="D599" s="544"/>
      <c r="E599" s="544"/>
    </row>
    <row r="600">
      <c r="A600" s="507"/>
      <c r="B600" s="507"/>
      <c r="C600" s="507"/>
      <c r="D600" s="544"/>
      <c r="E600" s="544"/>
    </row>
    <row r="601">
      <c r="A601" s="507"/>
      <c r="B601" s="507"/>
      <c r="C601" s="507"/>
      <c r="D601" s="544"/>
      <c r="E601" s="544"/>
    </row>
    <row r="602">
      <c r="A602" s="507"/>
      <c r="B602" s="507"/>
      <c r="C602" s="507"/>
      <c r="D602" s="544"/>
      <c r="E602" s="544"/>
    </row>
    <row r="603">
      <c r="A603" s="507"/>
      <c r="B603" s="507"/>
      <c r="C603" s="507"/>
      <c r="D603" s="544"/>
      <c r="E603" s="544"/>
    </row>
    <row r="604">
      <c r="A604" s="507"/>
      <c r="B604" s="507"/>
      <c r="C604" s="507"/>
      <c r="D604" s="544"/>
      <c r="E604" s="544"/>
    </row>
    <row r="605">
      <c r="A605" s="507"/>
      <c r="B605" s="507"/>
      <c r="C605" s="507"/>
      <c r="D605" s="544"/>
      <c r="E605" s="544"/>
    </row>
    <row r="606">
      <c r="A606" s="507"/>
      <c r="B606" s="507"/>
      <c r="C606" s="507"/>
      <c r="D606" s="544"/>
      <c r="E606" s="544"/>
    </row>
    <row r="607">
      <c r="A607" s="507"/>
      <c r="B607" s="507"/>
      <c r="C607" s="507"/>
      <c r="D607" s="544"/>
      <c r="E607" s="544"/>
    </row>
    <row r="608">
      <c r="A608" s="507"/>
      <c r="B608" s="507"/>
      <c r="C608" s="507"/>
      <c r="D608" s="544"/>
      <c r="E608" s="544"/>
    </row>
    <row r="609">
      <c r="A609" s="507"/>
      <c r="B609" s="507"/>
      <c r="C609" s="507"/>
      <c r="D609" s="544"/>
      <c r="E609" s="544"/>
    </row>
    <row r="610">
      <c r="A610" s="507"/>
      <c r="B610" s="507"/>
      <c r="C610" s="507"/>
      <c r="D610" s="544"/>
      <c r="E610" s="544"/>
    </row>
    <row r="611">
      <c r="A611" s="507"/>
      <c r="B611" s="507"/>
      <c r="C611" s="507"/>
      <c r="D611" s="544"/>
      <c r="E611" s="544"/>
    </row>
    <row r="612">
      <c r="A612" s="507"/>
      <c r="B612" s="507"/>
      <c r="C612" s="507"/>
      <c r="D612" s="544"/>
      <c r="E612" s="544"/>
    </row>
    <row r="613">
      <c r="A613" s="507"/>
      <c r="B613" s="507"/>
      <c r="C613" s="507"/>
      <c r="D613" s="544"/>
      <c r="E613" s="544"/>
    </row>
    <row r="614">
      <c r="A614" s="507"/>
      <c r="B614" s="507"/>
      <c r="C614" s="507"/>
      <c r="D614" s="544"/>
      <c r="E614" s="544"/>
    </row>
    <row r="615">
      <c r="A615" s="507"/>
      <c r="B615" s="507"/>
      <c r="C615" s="507"/>
      <c r="D615" s="544"/>
      <c r="E615" s="544"/>
    </row>
    <row r="616">
      <c r="A616" s="507"/>
      <c r="B616" s="507"/>
      <c r="C616" s="507"/>
      <c r="D616" s="544"/>
      <c r="E616" s="544"/>
    </row>
    <row r="617">
      <c r="A617" s="507"/>
      <c r="B617" s="507"/>
      <c r="C617" s="507"/>
      <c r="D617" s="544"/>
      <c r="E617" s="544"/>
    </row>
    <row r="618">
      <c r="A618" s="507"/>
      <c r="B618" s="507"/>
      <c r="C618" s="507"/>
      <c r="D618" s="544"/>
      <c r="E618" s="544"/>
    </row>
    <row r="619">
      <c r="A619" s="507"/>
      <c r="B619" s="507"/>
      <c r="C619" s="507"/>
      <c r="D619" s="544"/>
      <c r="E619" s="544"/>
    </row>
    <row r="620">
      <c r="A620" s="507"/>
      <c r="B620" s="507"/>
      <c r="C620" s="507"/>
      <c r="D620" s="544"/>
      <c r="E620" s="544"/>
    </row>
    <row r="621">
      <c r="A621" s="507"/>
      <c r="B621" s="507"/>
      <c r="C621" s="507"/>
      <c r="D621" s="544"/>
      <c r="E621" s="544"/>
    </row>
    <row r="622">
      <c r="A622" s="507"/>
      <c r="B622" s="507"/>
      <c r="C622" s="507"/>
      <c r="D622" s="544"/>
      <c r="E622" s="544"/>
    </row>
    <row r="623">
      <c r="A623" s="507"/>
      <c r="B623" s="507"/>
      <c r="C623" s="507"/>
      <c r="D623" s="544"/>
      <c r="E623" s="544"/>
    </row>
    <row r="624">
      <c r="A624" s="507"/>
      <c r="B624" s="507"/>
      <c r="C624" s="507"/>
      <c r="D624" s="544"/>
      <c r="E624" s="544"/>
    </row>
    <row r="625">
      <c r="A625" s="507"/>
      <c r="B625" s="507"/>
      <c r="C625" s="507"/>
      <c r="D625" s="544"/>
      <c r="E625" s="544"/>
    </row>
    <row r="626">
      <c r="A626" s="507"/>
      <c r="B626" s="507"/>
      <c r="C626" s="507"/>
      <c r="D626" s="544"/>
      <c r="E626" s="544"/>
    </row>
    <row r="627">
      <c r="A627" s="507"/>
      <c r="B627" s="507"/>
      <c r="C627" s="507"/>
      <c r="D627" s="544"/>
      <c r="E627" s="544"/>
    </row>
    <row r="628">
      <c r="A628" s="507"/>
      <c r="B628" s="507"/>
      <c r="C628" s="507"/>
      <c r="D628" s="544"/>
      <c r="E628" s="544"/>
    </row>
    <row r="629">
      <c r="A629" s="507"/>
      <c r="B629" s="507"/>
      <c r="C629" s="507"/>
      <c r="D629" s="544"/>
      <c r="E629" s="544"/>
    </row>
    <row r="630">
      <c r="A630" s="507"/>
      <c r="B630" s="507"/>
      <c r="C630" s="507"/>
      <c r="D630" s="544"/>
      <c r="E630" s="544"/>
    </row>
    <row r="631">
      <c r="A631" s="507"/>
      <c r="B631" s="507"/>
      <c r="C631" s="507"/>
      <c r="D631" s="544"/>
      <c r="E631" s="544"/>
    </row>
    <row r="632">
      <c r="A632" s="507"/>
      <c r="B632" s="507"/>
      <c r="C632" s="507"/>
      <c r="D632" s="544"/>
      <c r="E632" s="544"/>
    </row>
    <row r="633">
      <c r="A633" s="507"/>
      <c r="B633" s="507"/>
      <c r="C633" s="507"/>
      <c r="D633" s="544"/>
      <c r="E633" s="544"/>
    </row>
    <row r="634">
      <c r="A634" s="507"/>
      <c r="B634" s="507"/>
      <c r="C634" s="507"/>
      <c r="D634" s="544"/>
      <c r="E634" s="544"/>
    </row>
    <row r="635">
      <c r="A635" s="507"/>
      <c r="B635" s="507"/>
      <c r="C635" s="507"/>
      <c r="D635" s="544"/>
      <c r="E635" s="544"/>
    </row>
    <row r="636">
      <c r="A636" s="507"/>
      <c r="B636" s="507"/>
      <c r="C636" s="507"/>
      <c r="D636" s="544"/>
      <c r="E636" s="544"/>
    </row>
    <row r="637">
      <c r="A637" s="507"/>
      <c r="B637" s="507"/>
      <c r="C637" s="507"/>
      <c r="D637" s="544"/>
      <c r="E637" s="544"/>
    </row>
    <row r="638">
      <c r="A638" s="507"/>
      <c r="B638" s="507"/>
      <c r="C638" s="507"/>
      <c r="D638" s="544"/>
      <c r="E638" s="544"/>
    </row>
    <row r="639">
      <c r="A639" s="507"/>
      <c r="B639" s="507"/>
      <c r="C639" s="507"/>
      <c r="D639" s="544"/>
      <c r="E639" s="544"/>
    </row>
    <row r="640">
      <c r="A640" s="507"/>
      <c r="B640" s="507"/>
      <c r="C640" s="507"/>
      <c r="D640" s="544"/>
      <c r="E640" s="544"/>
    </row>
    <row r="641">
      <c r="A641" s="507"/>
      <c r="B641" s="507"/>
      <c r="C641" s="507"/>
      <c r="D641" s="544"/>
      <c r="E641" s="544"/>
    </row>
    <row r="642">
      <c r="A642" s="507"/>
      <c r="B642" s="507"/>
      <c r="C642" s="507"/>
      <c r="D642" s="544"/>
      <c r="E642" s="544"/>
    </row>
    <row r="643">
      <c r="A643" s="507"/>
      <c r="B643" s="507"/>
      <c r="C643" s="507"/>
      <c r="D643" s="544"/>
      <c r="E643" s="544"/>
    </row>
    <row r="644">
      <c r="A644" s="507"/>
      <c r="B644" s="507"/>
      <c r="C644" s="507"/>
      <c r="D644" s="544"/>
      <c r="E644" s="544"/>
    </row>
    <row r="645">
      <c r="A645" s="507"/>
      <c r="B645" s="507"/>
      <c r="C645" s="507"/>
      <c r="D645" s="544"/>
      <c r="E645" s="544"/>
    </row>
    <row r="646">
      <c r="A646" s="507"/>
      <c r="B646" s="507"/>
      <c r="C646" s="507"/>
      <c r="D646" s="544"/>
      <c r="E646" s="544"/>
    </row>
    <row r="647">
      <c r="A647" s="507"/>
      <c r="B647" s="507"/>
      <c r="C647" s="507"/>
      <c r="D647" s="544"/>
      <c r="E647" s="544"/>
    </row>
    <row r="648">
      <c r="A648" s="507"/>
      <c r="B648" s="507"/>
      <c r="C648" s="507"/>
      <c r="D648" s="544"/>
      <c r="E648" s="544"/>
    </row>
    <row r="649">
      <c r="A649" s="507"/>
      <c r="B649" s="507"/>
      <c r="C649" s="507"/>
      <c r="D649" s="544"/>
      <c r="E649" s="544"/>
    </row>
    <row r="650">
      <c r="A650" s="507"/>
      <c r="B650" s="507"/>
      <c r="C650" s="507"/>
      <c r="D650" s="544"/>
      <c r="E650" s="544"/>
    </row>
    <row r="651">
      <c r="A651" s="507"/>
      <c r="B651" s="507"/>
      <c r="C651" s="507"/>
      <c r="D651" s="544"/>
      <c r="E651" s="544"/>
    </row>
    <row r="652">
      <c r="A652" s="507"/>
      <c r="B652" s="507"/>
      <c r="C652" s="507"/>
      <c r="D652" s="544"/>
      <c r="E652" s="544"/>
    </row>
    <row r="653">
      <c r="A653" s="507"/>
      <c r="B653" s="507"/>
      <c r="C653" s="507"/>
      <c r="D653" s="544"/>
      <c r="E653" s="544"/>
    </row>
    <row r="654">
      <c r="A654" s="507"/>
      <c r="B654" s="507"/>
      <c r="C654" s="507"/>
      <c r="D654" s="544"/>
      <c r="E654" s="544"/>
    </row>
    <row r="655">
      <c r="A655" s="507"/>
      <c r="B655" s="507"/>
      <c r="C655" s="507"/>
      <c r="D655" s="544"/>
      <c r="E655" s="544"/>
    </row>
    <row r="656">
      <c r="A656" s="507"/>
      <c r="B656" s="507"/>
      <c r="C656" s="507"/>
      <c r="D656" s="544"/>
      <c r="E656" s="544"/>
    </row>
    <row r="657">
      <c r="A657" s="507"/>
      <c r="B657" s="507"/>
      <c r="C657" s="507"/>
      <c r="D657" s="544"/>
      <c r="E657" s="544"/>
    </row>
    <row r="658">
      <c r="A658" s="507"/>
      <c r="B658" s="507"/>
      <c r="C658" s="507"/>
      <c r="D658" s="544"/>
      <c r="E658" s="544"/>
    </row>
    <row r="659">
      <c r="A659" s="507"/>
      <c r="B659" s="507"/>
      <c r="C659" s="507"/>
      <c r="D659" s="544"/>
      <c r="E659" s="544"/>
    </row>
    <row r="660">
      <c r="A660" s="507"/>
      <c r="B660" s="507"/>
      <c r="C660" s="507"/>
      <c r="D660" s="544"/>
      <c r="E660" s="544"/>
    </row>
    <row r="661">
      <c r="A661" s="507"/>
      <c r="B661" s="507"/>
      <c r="C661" s="507"/>
      <c r="D661" s="544"/>
      <c r="E661" s="544"/>
    </row>
    <row r="662">
      <c r="A662" s="507"/>
      <c r="B662" s="507"/>
      <c r="C662" s="507"/>
      <c r="D662" s="544"/>
      <c r="E662" s="544"/>
    </row>
    <row r="663">
      <c r="A663" s="507"/>
      <c r="B663" s="507"/>
      <c r="C663" s="507"/>
      <c r="D663" s="544"/>
      <c r="E663" s="544"/>
    </row>
    <row r="664">
      <c r="A664" s="507"/>
      <c r="B664" s="507"/>
      <c r="C664" s="507"/>
      <c r="D664" s="544"/>
      <c r="E664" s="544"/>
    </row>
    <row r="665">
      <c r="A665" s="507"/>
      <c r="B665" s="507"/>
      <c r="C665" s="507"/>
      <c r="D665" s="544"/>
      <c r="E665" s="544"/>
    </row>
    <row r="666">
      <c r="A666" s="507"/>
      <c r="B666" s="507"/>
      <c r="C666" s="507"/>
      <c r="D666" s="544"/>
      <c r="E666" s="544"/>
    </row>
    <row r="667">
      <c r="A667" s="507"/>
      <c r="B667" s="507"/>
      <c r="C667" s="507"/>
      <c r="D667" s="544"/>
      <c r="E667" s="544"/>
    </row>
    <row r="668">
      <c r="A668" s="507"/>
      <c r="B668" s="507"/>
      <c r="C668" s="507"/>
      <c r="D668" s="544"/>
      <c r="E668" s="544"/>
    </row>
    <row r="669">
      <c r="A669" s="507"/>
      <c r="B669" s="507"/>
      <c r="C669" s="507"/>
      <c r="D669" s="544"/>
      <c r="E669" s="544"/>
    </row>
    <row r="670">
      <c r="A670" s="507"/>
      <c r="B670" s="507"/>
      <c r="C670" s="507"/>
      <c r="D670" s="544"/>
      <c r="E670" s="544"/>
    </row>
    <row r="671">
      <c r="A671" s="507"/>
      <c r="B671" s="507"/>
      <c r="C671" s="507"/>
      <c r="D671" s="544"/>
      <c r="E671" s="544"/>
    </row>
    <row r="672">
      <c r="A672" s="507"/>
      <c r="B672" s="507"/>
      <c r="C672" s="507"/>
      <c r="D672" s="544"/>
      <c r="E672" s="544"/>
    </row>
    <row r="673">
      <c r="A673" s="507"/>
      <c r="B673" s="507"/>
      <c r="C673" s="507"/>
      <c r="D673" s="544"/>
      <c r="E673" s="544"/>
    </row>
    <row r="674">
      <c r="A674" s="507"/>
      <c r="B674" s="507"/>
      <c r="C674" s="507"/>
      <c r="D674" s="544"/>
      <c r="E674" s="544"/>
    </row>
    <row r="675">
      <c r="A675" s="507"/>
      <c r="B675" s="507"/>
      <c r="C675" s="507"/>
      <c r="D675" s="544"/>
      <c r="E675" s="544"/>
    </row>
    <row r="676">
      <c r="A676" s="507"/>
      <c r="B676" s="507"/>
      <c r="C676" s="507"/>
      <c r="D676" s="544"/>
      <c r="E676" s="544"/>
    </row>
    <row r="677">
      <c r="A677" s="507"/>
      <c r="B677" s="507"/>
      <c r="C677" s="507"/>
      <c r="D677" s="544"/>
      <c r="E677" s="544"/>
    </row>
    <row r="678">
      <c r="A678" s="507"/>
      <c r="B678" s="507"/>
      <c r="C678" s="507"/>
      <c r="D678" s="544"/>
      <c r="E678" s="544"/>
    </row>
    <row r="679">
      <c r="A679" s="507"/>
      <c r="B679" s="507"/>
      <c r="C679" s="507"/>
      <c r="D679" s="544"/>
      <c r="E679" s="544"/>
    </row>
    <row r="680">
      <c r="A680" s="507"/>
      <c r="B680" s="507"/>
      <c r="C680" s="507"/>
      <c r="D680" s="544"/>
      <c r="E680" s="544"/>
    </row>
    <row r="681">
      <c r="A681" s="507"/>
      <c r="B681" s="507"/>
      <c r="C681" s="507"/>
      <c r="D681" s="544"/>
      <c r="E681" s="544"/>
    </row>
    <row r="682">
      <c r="A682" s="507"/>
      <c r="B682" s="507"/>
      <c r="C682" s="507"/>
      <c r="D682" s="544"/>
      <c r="E682" s="544"/>
    </row>
    <row r="683">
      <c r="A683" s="507"/>
      <c r="B683" s="507"/>
      <c r="C683" s="507"/>
      <c r="D683" s="544"/>
      <c r="E683" s="544"/>
    </row>
    <row r="684">
      <c r="A684" s="507"/>
      <c r="B684" s="507"/>
      <c r="C684" s="507"/>
      <c r="D684" s="544"/>
      <c r="E684" s="544"/>
    </row>
    <row r="685">
      <c r="A685" s="507"/>
      <c r="B685" s="507"/>
      <c r="C685" s="507"/>
      <c r="D685" s="544"/>
      <c r="E685" s="544"/>
    </row>
    <row r="686">
      <c r="A686" s="507"/>
      <c r="B686" s="507"/>
      <c r="C686" s="507"/>
      <c r="D686" s="544"/>
      <c r="E686" s="544"/>
    </row>
    <row r="687">
      <c r="A687" s="507"/>
      <c r="B687" s="507"/>
      <c r="C687" s="507"/>
      <c r="D687" s="544"/>
      <c r="E687" s="544"/>
    </row>
    <row r="688">
      <c r="A688" s="507"/>
      <c r="B688" s="507"/>
      <c r="C688" s="507"/>
      <c r="D688" s="544"/>
      <c r="E688" s="544"/>
    </row>
    <row r="689">
      <c r="A689" s="507"/>
      <c r="B689" s="507"/>
      <c r="C689" s="507"/>
      <c r="D689" s="544"/>
      <c r="E689" s="544"/>
    </row>
    <row r="690">
      <c r="A690" s="507"/>
      <c r="B690" s="507"/>
      <c r="C690" s="507"/>
      <c r="D690" s="544"/>
      <c r="E690" s="544"/>
    </row>
    <row r="691">
      <c r="A691" s="507"/>
      <c r="B691" s="507"/>
      <c r="C691" s="507"/>
      <c r="D691" s="544"/>
      <c r="E691" s="544"/>
    </row>
    <row r="692">
      <c r="A692" s="507"/>
      <c r="B692" s="507"/>
      <c r="C692" s="507"/>
      <c r="D692" s="544"/>
      <c r="E692" s="544"/>
    </row>
    <row r="693">
      <c r="A693" s="507"/>
      <c r="B693" s="507"/>
      <c r="C693" s="507"/>
      <c r="D693" s="544"/>
      <c r="E693" s="544"/>
    </row>
    <row r="694">
      <c r="A694" s="507"/>
      <c r="B694" s="507"/>
      <c r="C694" s="507"/>
      <c r="D694" s="544"/>
      <c r="E694" s="544"/>
    </row>
    <row r="695">
      <c r="A695" s="507"/>
      <c r="B695" s="507"/>
      <c r="C695" s="507"/>
      <c r="D695" s="544"/>
      <c r="E695" s="544"/>
    </row>
    <row r="696">
      <c r="A696" s="507"/>
      <c r="B696" s="507"/>
      <c r="C696" s="507"/>
      <c r="D696" s="544"/>
      <c r="E696" s="544"/>
    </row>
    <row r="697">
      <c r="A697" s="507"/>
      <c r="B697" s="507"/>
      <c r="C697" s="507"/>
      <c r="D697" s="544"/>
      <c r="E697" s="544"/>
    </row>
    <row r="698">
      <c r="A698" s="507"/>
      <c r="B698" s="507"/>
      <c r="C698" s="507"/>
      <c r="D698" s="544"/>
      <c r="E698" s="544"/>
    </row>
    <row r="699">
      <c r="A699" s="507"/>
      <c r="B699" s="507"/>
      <c r="C699" s="507"/>
      <c r="D699" s="544"/>
      <c r="E699" s="544"/>
    </row>
    <row r="700">
      <c r="A700" s="507"/>
      <c r="B700" s="507"/>
      <c r="C700" s="507"/>
      <c r="D700" s="544"/>
      <c r="E700" s="544"/>
    </row>
    <row r="701">
      <c r="A701" s="507"/>
      <c r="B701" s="507"/>
      <c r="C701" s="507"/>
      <c r="D701" s="544"/>
      <c r="E701" s="544"/>
    </row>
    <row r="702">
      <c r="A702" s="507"/>
      <c r="B702" s="507"/>
      <c r="C702" s="507"/>
      <c r="D702" s="544"/>
      <c r="E702" s="544"/>
    </row>
    <row r="703">
      <c r="A703" s="507"/>
      <c r="B703" s="507"/>
      <c r="C703" s="507"/>
      <c r="D703" s="544"/>
      <c r="E703" s="544"/>
    </row>
    <row r="704">
      <c r="A704" s="507"/>
      <c r="B704" s="507"/>
      <c r="C704" s="507"/>
      <c r="D704" s="544"/>
      <c r="E704" s="544"/>
    </row>
    <row r="705">
      <c r="A705" s="507"/>
      <c r="B705" s="507"/>
      <c r="C705" s="507"/>
      <c r="D705" s="544"/>
      <c r="E705" s="544"/>
    </row>
    <row r="706">
      <c r="A706" s="507"/>
      <c r="B706" s="507"/>
      <c r="C706" s="507"/>
      <c r="D706" s="544"/>
      <c r="E706" s="544"/>
    </row>
    <row r="707">
      <c r="A707" s="507"/>
      <c r="B707" s="507"/>
      <c r="C707" s="507"/>
      <c r="D707" s="544"/>
      <c r="E707" s="544"/>
    </row>
    <row r="708">
      <c r="A708" s="507"/>
      <c r="B708" s="507"/>
      <c r="C708" s="507"/>
      <c r="D708" s="544"/>
      <c r="E708" s="544"/>
    </row>
    <row r="709">
      <c r="A709" s="507"/>
      <c r="B709" s="507"/>
      <c r="C709" s="507"/>
      <c r="D709" s="544"/>
      <c r="E709" s="544"/>
    </row>
    <row r="710">
      <c r="A710" s="507"/>
      <c r="B710" s="507"/>
      <c r="C710" s="507"/>
      <c r="D710" s="544"/>
      <c r="E710" s="544"/>
    </row>
    <row r="711">
      <c r="A711" s="507"/>
      <c r="B711" s="507"/>
      <c r="C711" s="507"/>
      <c r="D711" s="544"/>
      <c r="E711" s="544"/>
    </row>
    <row r="712">
      <c r="A712" s="507"/>
      <c r="B712" s="507"/>
      <c r="C712" s="507"/>
      <c r="D712" s="544"/>
      <c r="E712" s="544"/>
    </row>
    <row r="713">
      <c r="A713" s="507"/>
      <c r="B713" s="507"/>
      <c r="C713" s="507"/>
      <c r="D713" s="544"/>
      <c r="E713" s="544"/>
    </row>
    <row r="714">
      <c r="A714" s="507"/>
      <c r="B714" s="507"/>
      <c r="C714" s="507"/>
      <c r="D714" s="544"/>
      <c r="E714" s="544"/>
    </row>
    <row r="715">
      <c r="A715" s="507"/>
      <c r="B715" s="507"/>
      <c r="C715" s="507"/>
      <c r="D715" s="544"/>
      <c r="E715" s="544"/>
    </row>
    <row r="716">
      <c r="A716" s="507"/>
      <c r="B716" s="507"/>
      <c r="C716" s="507"/>
      <c r="D716" s="544"/>
      <c r="E716" s="544"/>
    </row>
    <row r="717">
      <c r="A717" s="507"/>
      <c r="B717" s="507"/>
      <c r="C717" s="507"/>
      <c r="D717" s="544"/>
      <c r="E717" s="544"/>
    </row>
    <row r="718">
      <c r="A718" s="507"/>
      <c r="B718" s="507"/>
      <c r="C718" s="507"/>
      <c r="D718" s="544"/>
      <c r="E718" s="544"/>
    </row>
    <row r="719">
      <c r="A719" s="507"/>
      <c r="B719" s="507"/>
      <c r="C719" s="507"/>
      <c r="D719" s="544"/>
      <c r="E719" s="544"/>
    </row>
    <row r="720">
      <c r="A720" s="507"/>
      <c r="B720" s="507"/>
      <c r="C720" s="507"/>
      <c r="D720" s="544"/>
      <c r="E720" s="544"/>
    </row>
    <row r="721">
      <c r="A721" s="507"/>
      <c r="B721" s="507"/>
      <c r="C721" s="507"/>
      <c r="D721" s="544"/>
      <c r="E721" s="544"/>
    </row>
    <row r="722">
      <c r="A722" s="507"/>
      <c r="B722" s="507"/>
      <c r="C722" s="507"/>
      <c r="D722" s="544"/>
      <c r="E722" s="544"/>
    </row>
    <row r="723">
      <c r="A723" s="507"/>
      <c r="B723" s="507"/>
      <c r="C723" s="507"/>
      <c r="D723" s="544"/>
      <c r="E723" s="544"/>
    </row>
    <row r="724">
      <c r="A724" s="507"/>
      <c r="B724" s="507"/>
      <c r="C724" s="507"/>
      <c r="D724" s="544"/>
      <c r="E724" s="544"/>
    </row>
    <row r="725">
      <c r="A725" s="507"/>
      <c r="B725" s="507"/>
      <c r="C725" s="507"/>
      <c r="D725" s="544"/>
      <c r="E725" s="544"/>
    </row>
    <row r="726">
      <c r="A726" s="507"/>
      <c r="B726" s="507"/>
      <c r="C726" s="507"/>
      <c r="D726" s="544"/>
      <c r="E726" s="544"/>
    </row>
    <row r="727">
      <c r="A727" s="507"/>
      <c r="B727" s="507"/>
      <c r="C727" s="507"/>
      <c r="D727" s="544"/>
      <c r="E727" s="544"/>
    </row>
    <row r="728">
      <c r="A728" s="507"/>
      <c r="B728" s="507"/>
      <c r="C728" s="507"/>
      <c r="D728" s="544"/>
      <c r="E728" s="544"/>
    </row>
    <row r="729">
      <c r="A729" s="507"/>
      <c r="B729" s="507"/>
      <c r="C729" s="507"/>
      <c r="D729" s="544"/>
      <c r="E729" s="544"/>
    </row>
    <row r="730">
      <c r="A730" s="507"/>
      <c r="B730" s="507"/>
      <c r="C730" s="507"/>
      <c r="D730" s="544"/>
      <c r="E730" s="544"/>
    </row>
    <row r="731">
      <c r="A731" s="507"/>
      <c r="B731" s="507"/>
      <c r="C731" s="507"/>
      <c r="D731" s="544"/>
      <c r="E731" s="544"/>
    </row>
    <row r="732">
      <c r="A732" s="507"/>
      <c r="B732" s="507"/>
      <c r="C732" s="507"/>
      <c r="D732" s="544"/>
      <c r="E732" s="544"/>
    </row>
    <row r="733">
      <c r="A733" s="507"/>
      <c r="B733" s="507"/>
      <c r="C733" s="507"/>
      <c r="D733" s="544"/>
      <c r="E733" s="544"/>
    </row>
    <row r="734">
      <c r="A734" s="507"/>
      <c r="B734" s="507"/>
      <c r="C734" s="507"/>
      <c r="D734" s="544"/>
      <c r="E734" s="544"/>
    </row>
    <row r="735">
      <c r="A735" s="507"/>
      <c r="B735" s="507"/>
      <c r="C735" s="507"/>
      <c r="D735" s="544"/>
      <c r="E735" s="544"/>
    </row>
    <row r="736">
      <c r="A736" s="507"/>
      <c r="B736" s="507"/>
      <c r="C736" s="507"/>
      <c r="D736" s="544"/>
      <c r="E736" s="544"/>
    </row>
    <row r="737">
      <c r="A737" s="507"/>
      <c r="B737" s="507"/>
      <c r="C737" s="507"/>
      <c r="D737" s="544"/>
      <c r="E737" s="544"/>
    </row>
    <row r="738">
      <c r="A738" s="507"/>
      <c r="B738" s="507"/>
      <c r="C738" s="507"/>
      <c r="D738" s="544"/>
      <c r="E738" s="544"/>
    </row>
    <row r="739">
      <c r="A739" s="507"/>
      <c r="B739" s="507"/>
      <c r="C739" s="507"/>
      <c r="D739" s="544"/>
      <c r="E739" s="544"/>
    </row>
    <row r="740">
      <c r="A740" s="507"/>
      <c r="B740" s="507"/>
      <c r="C740" s="507"/>
      <c r="D740" s="544"/>
      <c r="E740" s="544"/>
    </row>
    <row r="741">
      <c r="A741" s="507"/>
      <c r="B741" s="507"/>
      <c r="C741" s="507"/>
      <c r="D741" s="544"/>
      <c r="E741" s="544"/>
    </row>
    <row r="742">
      <c r="A742" s="507"/>
      <c r="B742" s="507"/>
      <c r="C742" s="507"/>
      <c r="D742" s="544"/>
      <c r="E742" s="544"/>
    </row>
    <row r="743">
      <c r="A743" s="507"/>
      <c r="B743" s="507"/>
      <c r="C743" s="507"/>
      <c r="D743" s="544"/>
      <c r="E743" s="544"/>
    </row>
    <row r="744">
      <c r="A744" s="507"/>
      <c r="B744" s="507"/>
      <c r="C744" s="507"/>
      <c r="D744" s="544"/>
      <c r="E744" s="544"/>
    </row>
    <row r="745">
      <c r="A745" s="507"/>
      <c r="B745" s="507"/>
      <c r="C745" s="507"/>
      <c r="D745" s="544"/>
      <c r="E745" s="544"/>
    </row>
    <row r="746">
      <c r="A746" s="507"/>
      <c r="B746" s="507"/>
      <c r="C746" s="507"/>
      <c r="D746" s="544"/>
      <c r="E746" s="544"/>
    </row>
    <row r="747">
      <c r="A747" s="507"/>
      <c r="B747" s="507"/>
      <c r="C747" s="507"/>
      <c r="D747" s="544"/>
      <c r="E747" s="544"/>
    </row>
    <row r="748">
      <c r="A748" s="507"/>
      <c r="B748" s="507"/>
      <c r="C748" s="507"/>
      <c r="D748" s="544"/>
      <c r="E748" s="544"/>
    </row>
    <row r="749">
      <c r="A749" s="507"/>
      <c r="B749" s="507"/>
      <c r="C749" s="507"/>
      <c r="D749" s="544"/>
      <c r="E749" s="544"/>
    </row>
    <row r="750">
      <c r="A750" s="507"/>
      <c r="B750" s="507"/>
      <c r="C750" s="507"/>
      <c r="D750" s="544"/>
      <c r="E750" s="544"/>
    </row>
    <row r="751">
      <c r="A751" s="507"/>
      <c r="B751" s="507"/>
      <c r="C751" s="507"/>
      <c r="D751" s="544"/>
      <c r="E751" s="544"/>
    </row>
    <row r="752">
      <c r="A752" s="507"/>
      <c r="B752" s="507"/>
      <c r="C752" s="507"/>
      <c r="D752" s="544"/>
      <c r="E752" s="544"/>
    </row>
    <row r="753">
      <c r="A753" s="507"/>
      <c r="B753" s="507"/>
      <c r="C753" s="507"/>
      <c r="D753" s="544"/>
      <c r="E753" s="544"/>
    </row>
    <row r="754">
      <c r="A754" s="507"/>
      <c r="B754" s="507"/>
      <c r="C754" s="507"/>
      <c r="D754" s="544"/>
      <c r="E754" s="544"/>
    </row>
    <row r="755">
      <c r="A755" s="507"/>
      <c r="B755" s="507"/>
      <c r="C755" s="507"/>
      <c r="D755" s="544"/>
      <c r="E755" s="544"/>
    </row>
    <row r="756">
      <c r="A756" s="507"/>
      <c r="B756" s="507"/>
      <c r="C756" s="507"/>
      <c r="D756" s="544"/>
      <c r="E756" s="544"/>
    </row>
    <row r="757">
      <c r="A757" s="507"/>
      <c r="B757" s="507"/>
      <c r="C757" s="507"/>
      <c r="D757" s="544"/>
      <c r="E757" s="544"/>
    </row>
    <row r="758">
      <c r="A758" s="507"/>
      <c r="B758" s="507"/>
      <c r="C758" s="507"/>
      <c r="D758" s="544"/>
      <c r="E758" s="544"/>
    </row>
    <row r="759">
      <c r="A759" s="507"/>
      <c r="B759" s="507"/>
      <c r="C759" s="507"/>
      <c r="D759" s="544"/>
      <c r="E759" s="544"/>
    </row>
    <row r="760">
      <c r="A760" s="507"/>
      <c r="B760" s="507"/>
      <c r="C760" s="507"/>
      <c r="D760" s="544"/>
      <c r="E760" s="544"/>
    </row>
    <row r="761">
      <c r="A761" s="507"/>
      <c r="B761" s="507"/>
      <c r="C761" s="507"/>
      <c r="D761" s="544"/>
      <c r="E761" s="544"/>
    </row>
    <row r="762">
      <c r="A762" s="507"/>
      <c r="B762" s="507"/>
      <c r="C762" s="507"/>
      <c r="D762" s="544"/>
      <c r="E762" s="544"/>
    </row>
    <row r="763">
      <c r="A763" s="507"/>
      <c r="B763" s="507"/>
      <c r="C763" s="507"/>
      <c r="D763" s="544"/>
      <c r="E763" s="544"/>
    </row>
    <row r="764">
      <c r="A764" s="507"/>
      <c r="B764" s="507"/>
      <c r="C764" s="507"/>
      <c r="D764" s="544"/>
      <c r="E764" s="544"/>
    </row>
    <row r="765">
      <c r="A765" s="507"/>
      <c r="B765" s="507"/>
      <c r="C765" s="507"/>
      <c r="D765" s="544"/>
      <c r="E765" s="544"/>
    </row>
    <row r="766">
      <c r="A766" s="507"/>
      <c r="B766" s="507"/>
      <c r="C766" s="507"/>
      <c r="D766" s="544"/>
      <c r="E766" s="544"/>
    </row>
    <row r="767">
      <c r="A767" s="507"/>
      <c r="B767" s="507"/>
      <c r="C767" s="507"/>
      <c r="D767" s="544"/>
      <c r="E767" s="544"/>
    </row>
    <row r="768">
      <c r="A768" s="507"/>
      <c r="B768" s="507"/>
      <c r="C768" s="507"/>
      <c r="D768" s="544"/>
      <c r="E768" s="544"/>
    </row>
    <row r="769">
      <c r="A769" s="507"/>
      <c r="B769" s="507"/>
      <c r="C769" s="507"/>
      <c r="D769" s="544"/>
      <c r="E769" s="544"/>
    </row>
    <row r="770">
      <c r="A770" s="507"/>
      <c r="B770" s="507"/>
      <c r="C770" s="507"/>
      <c r="D770" s="544"/>
      <c r="E770" s="544"/>
    </row>
    <row r="771">
      <c r="A771" s="507"/>
      <c r="B771" s="507"/>
      <c r="C771" s="507"/>
      <c r="D771" s="544"/>
      <c r="E771" s="544"/>
    </row>
    <row r="772">
      <c r="A772" s="507"/>
      <c r="B772" s="507"/>
      <c r="C772" s="507"/>
      <c r="D772" s="544"/>
      <c r="E772" s="544"/>
    </row>
    <row r="773">
      <c r="A773" s="507"/>
      <c r="B773" s="507"/>
      <c r="C773" s="507"/>
      <c r="D773" s="544"/>
      <c r="E773" s="544"/>
    </row>
    <row r="774">
      <c r="A774" s="507"/>
      <c r="B774" s="507"/>
      <c r="C774" s="507"/>
      <c r="D774" s="544"/>
      <c r="E774" s="544"/>
    </row>
    <row r="775">
      <c r="A775" s="507"/>
      <c r="B775" s="507"/>
      <c r="C775" s="507"/>
      <c r="D775" s="544"/>
      <c r="E775" s="544"/>
    </row>
    <row r="776">
      <c r="A776" s="507"/>
      <c r="B776" s="507"/>
      <c r="C776" s="507"/>
      <c r="D776" s="544"/>
      <c r="E776" s="544"/>
    </row>
    <row r="777">
      <c r="A777" s="507"/>
      <c r="B777" s="507"/>
      <c r="C777" s="507"/>
      <c r="D777" s="544"/>
      <c r="E777" s="544"/>
    </row>
    <row r="778">
      <c r="A778" s="507"/>
      <c r="B778" s="507"/>
      <c r="C778" s="507"/>
      <c r="D778" s="544"/>
      <c r="E778" s="544"/>
    </row>
    <row r="779">
      <c r="A779" s="507"/>
      <c r="B779" s="507"/>
      <c r="C779" s="507"/>
      <c r="D779" s="544"/>
      <c r="E779" s="544"/>
    </row>
    <row r="780">
      <c r="A780" s="507"/>
      <c r="B780" s="507"/>
      <c r="C780" s="507"/>
      <c r="D780" s="544"/>
      <c r="E780" s="544"/>
    </row>
    <row r="781">
      <c r="A781" s="507"/>
      <c r="B781" s="507"/>
      <c r="C781" s="507"/>
      <c r="D781" s="544"/>
      <c r="E781" s="544"/>
    </row>
    <row r="782">
      <c r="A782" s="507"/>
      <c r="B782" s="507"/>
      <c r="C782" s="507"/>
      <c r="D782" s="544"/>
      <c r="E782" s="544"/>
    </row>
    <row r="783">
      <c r="A783" s="507"/>
      <c r="B783" s="507"/>
      <c r="C783" s="507"/>
      <c r="D783" s="544"/>
      <c r="E783" s="544"/>
    </row>
    <row r="784">
      <c r="A784" s="507"/>
      <c r="B784" s="507"/>
      <c r="C784" s="507"/>
      <c r="D784" s="544"/>
      <c r="E784" s="544"/>
    </row>
    <row r="785">
      <c r="A785" s="507"/>
      <c r="B785" s="507"/>
      <c r="C785" s="507"/>
      <c r="D785" s="544"/>
      <c r="E785" s="544"/>
    </row>
    <row r="786">
      <c r="A786" s="507"/>
      <c r="B786" s="507"/>
      <c r="C786" s="507"/>
      <c r="D786" s="544"/>
      <c r="E786" s="544"/>
    </row>
    <row r="787">
      <c r="A787" s="507"/>
      <c r="B787" s="507"/>
      <c r="C787" s="507"/>
      <c r="D787" s="544"/>
      <c r="E787" s="544"/>
    </row>
    <row r="788">
      <c r="A788" s="507"/>
      <c r="B788" s="507"/>
      <c r="C788" s="507"/>
      <c r="D788" s="544"/>
      <c r="E788" s="544"/>
    </row>
    <row r="789">
      <c r="A789" s="507"/>
      <c r="B789" s="507"/>
      <c r="C789" s="507"/>
      <c r="D789" s="544"/>
      <c r="E789" s="544"/>
    </row>
    <row r="790">
      <c r="A790" s="507"/>
      <c r="B790" s="507"/>
      <c r="C790" s="507"/>
      <c r="D790" s="544"/>
      <c r="E790" s="544"/>
    </row>
    <row r="791">
      <c r="A791" s="507"/>
      <c r="B791" s="507"/>
      <c r="C791" s="507"/>
      <c r="D791" s="544"/>
      <c r="E791" s="544"/>
    </row>
    <row r="792">
      <c r="A792" s="507"/>
      <c r="B792" s="507"/>
      <c r="C792" s="507"/>
      <c r="D792" s="544"/>
      <c r="E792" s="544"/>
    </row>
    <row r="793">
      <c r="A793" s="507"/>
      <c r="B793" s="507"/>
      <c r="C793" s="507"/>
      <c r="D793" s="544"/>
      <c r="E793" s="544"/>
    </row>
    <row r="794">
      <c r="A794" s="507"/>
      <c r="B794" s="507"/>
      <c r="C794" s="507"/>
      <c r="D794" s="544"/>
      <c r="E794" s="544"/>
    </row>
    <row r="795">
      <c r="A795" s="507"/>
      <c r="B795" s="507"/>
      <c r="C795" s="507"/>
      <c r="D795" s="544"/>
      <c r="E795" s="544"/>
    </row>
    <row r="796">
      <c r="A796" s="507"/>
      <c r="B796" s="507"/>
      <c r="C796" s="507"/>
      <c r="D796" s="544"/>
      <c r="E796" s="544"/>
    </row>
    <row r="797">
      <c r="A797" s="507"/>
      <c r="B797" s="507"/>
      <c r="C797" s="507"/>
      <c r="D797" s="544"/>
      <c r="E797" s="544"/>
    </row>
    <row r="798">
      <c r="A798" s="507"/>
      <c r="B798" s="507"/>
      <c r="C798" s="507"/>
      <c r="D798" s="544"/>
      <c r="E798" s="544"/>
    </row>
    <row r="799">
      <c r="A799" s="507"/>
      <c r="B799" s="507"/>
      <c r="C799" s="507"/>
      <c r="D799" s="544"/>
      <c r="E799" s="544"/>
    </row>
    <row r="800">
      <c r="A800" s="507"/>
      <c r="B800" s="507"/>
      <c r="C800" s="507"/>
      <c r="D800" s="544"/>
      <c r="E800" s="544"/>
    </row>
    <row r="801">
      <c r="A801" s="507"/>
      <c r="B801" s="507"/>
      <c r="C801" s="507"/>
      <c r="D801" s="544"/>
      <c r="E801" s="544"/>
    </row>
    <row r="802">
      <c r="A802" s="507"/>
      <c r="B802" s="507"/>
      <c r="C802" s="507"/>
      <c r="D802" s="544"/>
      <c r="E802" s="544"/>
    </row>
    <row r="803">
      <c r="A803" s="507"/>
      <c r="B803" s="507"/>
      <c r="C803" s="507"/>
      <c r="D803" s="544"/>
      <c r="E803" s="544"/>
    </row>
    <row r="804">
      <c r="A804" s="507"/>
      <c r="B804" s="507"/>
      <c r="C804" s="507"/>
      <c r="D804" s="544"/>
      <c r="E804" s="544"/>
    </row>
    <row r="805">
      <c r="A805" s="507"/>
      <c r="B805" s="507"/>
      <c r="C805" s="507"/>
      <c r="D805" s="544"/>
      <c r="E805" s="544"/>
    </row>
    <row r="806">
      <c r="A806" s="507"/>
      <c r="B806" s="507"/>
      <c r="C806" s="507"/>
      <c r="D806" s="544"/>
      <c r="E806" s="544"/>
    </row>
    <row r="807">
      <c r="A807" s="507"/>
      <c r="B807" s="507"/>
      <c r="C807" s="507"/>
      <c r="D807" s="544"/>
      <c r="E807" s="544"/>
    </row>
    <row r="808">
      <c r="A808" s="507"/>
      <c r="B808" s="507"/>
      <c r="C808" s="507"/>
      <c r="D808" s="544"/>
      <c r="E808" s="544"/>
    </row>
    <row r="809">
      <c r="A809" s="507"/>
      <c r="B809" s="507"/>
      <c r="C809" s="507"/>
      <c r="D809" s="544"/>
      <c r="E809" s="544"/>
    </row>
    <row r="810">
      <c r="A810" s="507"/>
      <c r="B810" s="507"/>
      <c r="C810" s="507"/>
      <c r="D810" s="544"/>
      <c r="E810" s="544"/>
    </row>
    <row r="811">
      <c r="A811" s="507"/>
      <c r="B811" s="507"/>
      <c r="C811" s="507"/>
      <c r="D811" s="544"/>
      <c r="E811" s="544"/>
    </row>
    <row r="812">
      <c r="A812" s="507"/>
      <c r="B812" s="507"/>
      <c r="C812" s="507"/>
      <c r="D812" s="544"/>
      <c r="E812" s="544"/>
    </row>
    <row r="813">
      <c r="A813" s="507"/>
      <c r="B813" s="507"/>
      <c r="C813" s="507"/>
      <c r="D813" s="544"/>
      <c r="E813" s="544"/>
    </row>
    <row r="814">
      <c r="A814" s="507"/>
      <c r="B814" s="507"/>
      <c r="C814" s="507"/>
      <c r="D814" s="544"/>
      <c r="E814" s="544"/>
    </row>
    <row r="815">
      <c r="A815" s="507"/>
      <c r="B815" s="507"/>
      <c r="C815" s="507"/>
      <c r="D815" s="544"/>
      <c r="E815" s="544"/>
    </row>
    <row r="816">
      <c r="A816" s="507"/>
      <c r="B816" s="507"/>
      <c r="C816" s="507"/>
      <c r="D816" s="544"/>
      <c r="E816" s="544"/>
    </row>
    <row r="817">
      <c r="A817" s="507"/>
      <c r="B817" s="507"/>
      <c r="C817" s="507"/>
      <c r="D817" s="544"/>
      <c r="E817" s="544"/>
    </row>
    <row r="818">
      <c r="A818" s="507"/>
      <c r="B818" s="507"/>
      <c r="C818" s="507"/>
      <c r="D818" s="544"/>
      <c r="E818" s="544"/>
    </row>
    <row r="819">
      <c r="A819" s="507"/>
      <c r="B819" s="507"/>
      <c r="C819" s="507"/>
      <c r="D819" s="544"/>
      <c r="E819" s="544"/>
    </row>
    <row r="820">
      <c r="A820" s="507"/>
      <c r="B820" s="507"/>
      <c r="C820" s="507"/>
      <c r="D820" s="544"/>
      <c r="E820" s="544"/>
    </row>
    <row r="821">
      <c r="A821" s="507"/>
      <c r="B821" s="507"/>
      <c r="C821" s="507"/>
      <c r="D821" s="544"/>
      <c r="E821" s="544"/>
    </row>
    <row r="822">
      <c r="A822" s="507"/>
      <c r="B822" s="507"/>
      <c r="C822" s="507"/>
      <c r="D822" s="544"/>
      <c r="E822" s="544"/>
    </row>
    <row r="823">
      <c r="A823" s="507"/>
      <c r="B823" s="507"/>
      <c r="C823" s="507"/>
      <c r="D823" s="544"/>
      <c r="E823" s="544"/>
    </row>
    <row r="824">
      <c r="A824" s="507"/>
      <c r="B824" s="507"/>
      <c r="C824" s="507"/>
      <c r="D824" s="544"/>
      <c r="E824" s="544"/>
    </row>
    <row r="825">
      <c r="A825" s="507"/>
      <c r="B825" s="507"/>
      <c r="C825" s="507"/>
      <c r="D825" s="544"/>
      <c r="E825" s="544"/>
    </row>
    <row r="826">
      <c r="A826" s="507"/>
      <c r="B826" s="507"/>
      <c r="C826" s="507"/>
      <c r="D826" s="544"/>
      <c r="E826" s="544"/>
    </row>
    <row r="827">
      <c r="A827" s="507"/>
      <c r="B827" s="507"/>
      <c r="C827" s="507"/>
      <c r="D827" s="544"/>
      <c r="E827" s="544"/>
    </row>
    <row r="828">
      <c r="A828" s="507"/>
      <c r="B828" s="507"/>
      <c r="C828" s="507"/>
      <c r="D828" s="544"/>
      <c r="E828" s="544"/>
    </row>
    <row r="829">
      <c r="A829" s="507"/>
      <c r="B829" s="507"/>
      <c r="C829" s="507"/>
      <c r="D829" s="544"/>
      <c r="E829" s="544"/>
    </row>
    <row r="830">
      <c r="A830" s="507"/>
      <c r="B830" s="507"/>
      <c r="C830" s="507"/>
      <c r="D830" s="544"/>
      <c r="E830" s="544"/>
    </row>
    <row r="831">
      <c r="A831" s="507"/>
      <c r="B831" s="507"/>
      <c r="C831" s="507"/>
      <c r="D831" s="544"/>
      <c r="E831" s="544"/>
    </row>
    <row r="832">
      <c r="A832" s="507"/>
      <c r="B832" s="507"/>
      <c r="C832" s="507"/>
      <c r="D832" s="544"/>
      <c r="E832" s="544"/>
    </row>
    <row r="833">
      <c r="A833" s="507"/>
      <c r="B833" s="507"/>
      <c r="C833" s="507"/>
      <c r="D833" s="544"/>
      <c r="E833" s="544"/>
    </row>
    <row r="834">
      <c r="A834" s="507"/>
      <c r="B834" s="507"/>
      <c r="C834" s="507"/>
      <c r="D834" s="544"/>
      <c r="E834" s="544"/>
    </row>
    <row r="835">
      <c r="A835" s="507"/>
      <c r="B835" s="507"/>
      <c r="C835" s="507"/>
      <c r="D835" s="544"/>
      <c r="E835" s="544"/>
    </row>
    <row r="836">
      <c r="A836" s="507"/>
      <c r="B836" s="507"/>
      <c r="C836" s="507"/>
      <c r="D836" s="544"/>
      <c r="E836" s="544"/>
    </row>
    <row r="837">
      <c r="A837" s="507"/>
      <c r="B837" s="507"/>
      <c r="C837" s="507"/>
      <c r="D837" s="544"/>
      <c r="E837" s="544"/>
    </row>
    <row r="838">
      <c r="A838" s="507"/>
      <c r="B838" s="507"/>
      <c r="C838" s="507"/>
      <c r="D838" s="544"/>
      <c r="E838" s="544"/>
    </row>
    <row r="839">
      <c r="A839" s="507"/>
      <c r="B839" s="507"/>
      <c r="C839" s="507"/>
      <c r="D839" s="544"/>
      <c r="E839" s="544"/>
    </row>
    <row r="840">
      <c r="A840" s="507"/>
      <c r="B840" s="507"/>
      <c r="C840" s="507"/>
      <c r="D840" s="544"/>
      <c r="E840" s="544"/>
    </row>
    <row r="841">
      <c r="A841" s="507"/>
      <c r="B841" s="507"/>
      <c r="C841" s="507"/>
      <c r="D841" s="544"/>
      <c r="E841" s="544"/>
    </row>
    <row r="842">
      <c r="A842" s="507"/>
      <c r="B842" s="507"/>
      <c r="C842" s="507"/>
      <c r="D842" s="544"/>
      <c r="E842" s="544"/>
    </row>
    <row r="843">
      <c r="A843" s="507"/>
      <c r="B843" s="507"/>
      <c r="C843" s="507"/>
      <c r="D843" s="544"/>
      <c r="E843" s="544"/>
    </row>
    <row r="844">
      <c r="A844" s="507"/>
      <c r="B844" s="507"/>
      <c r="C844" s="507"/>
      <c r="D844" s="544"/>
      <c r="E844" s="544"/>
    </row>
    <row r="845">
      <c r="A845" s="507"/>
      <c r="B845" s="507"/>
      <c r="C845" s="507"/>
      <c r="D845" s="544"/>
      <c r="E845" s="544"/>
    </row>
    <row r="846">
      <c r="A846" s="507"/>
      <c r="B846" s="507"/>
      <c r="C846" s="507"/>
      <c r="D846" s="544"/>
      <c r="E846" s="544"/>
    </row>
    <row r="847">
      <c r="A847" s="507"/>
      <c r="B847" s="507"/>
      <c r="C847" s="507"/>
      <c r="D847" s="544"/>
      <c r="E847" s="544"/>
    </row>
    <row r="848">
      <c r="A848" s="507"/>
      <c r="B848" s="507"/>
      <c r="C848" s="507"/>
      <c r="D848" s="544"/>
      <c r="E848" s="544"/>
    </row>
    <row r="849">
      <c r="A849" s="507"/>
      <c r="B849" s="507"/>
      <c r="C849" s="507"/>
      <c r="D849" s="544"/>
      <c r="E849" s="544"/>
    </row>
    <row r="850">
      <c r="A850" s="507"/>
      <c r="B850" s="507"/>
      <c r="C850" s="507"/>
      <c r="D850" s="544"/>
      <c r="E850" s="544"/>
    </row>
    <row r="851">
      <c r="A851" s="507"/>
      <c r="B851" s="507"/>
      <c r="C851" s="507"/>
      <c r="D851" s="544"/>
      <c r="E851" s="544"/>
    </row>
    <row r="852">
      <c r="A852" s="507"/>
      <c r="B852" s="507"/>
      <c r="C852" s="507"/>
      <c r="D852" s="544"/>
      <c r="E852" s="544"/>
    </row>
    <row r="853">
      <c r="A853" s="507"/>
      <c r="B853" s="507"/>
      <c r="C853" s="507"/>
      <c r="D853" s="544"/>
      <c r="E853" s="544"/>
    </row>
    <row r="854">
      <c r="A854" s="507"/>
      <c r="B854" s="507"/>
      <c r="C854" s="507"/>
      <c r="D854" s="544"/>
      <c r="E854" s="544"/>
    </row>
    <row r="855">
      <c r="A855" s="507"/>
      <c r="B855" s="507"/>
      <c r="C855" s="507"/>
      <c r="D855" s="544"/>
      <c r="E855" s="544"/>
    </row>
    <row r="856">
      <c r="A856" s="507"/>
      <c r="B856" s="507"/>
      <c r="C856" s="507"/>
      <c r="D856" s="544"/>
      <c r="E856" s="544"/>
    </row>
    <row r="857">
      <c r="A857" s="507"/>
      <c r="B857" s="507"/>
      <c r="C857" s="507"/>
      <c r="D857" s="544"/>
      <c r="E857" s="544"/>
    </row>
    <row r="858">
      <c r="A858" s="507"/>
      <c r="B858" s="507"/>
      <c r="C858" s="507"/>
      <c r="D858" s="544"/>
      <c r="E858" s="544"/>
    </row>
    <row r="859">
      <c r="A859" s="507"/>
      <c r="B859" s="507"/>
      <c r="C859" s="507"/>
      <c r="D859" s="544"/>
      <c r="E859" s="544"/>
    </row>
    <row r="860">
      <c r="A860" s="507"/>
      <c r="B860" s="507"/>
      <c r="C860" s="507"/>
      <c r="D860" s="544"/>
      <c r="E860" s="544"/>
    </row>
    <row r="861">
      <c r="A861" s="507"/>
      <c r="B861" s="507"/>
      <c r="C861" s="507"/>
      <c r="D861" s="544"/>
      <c r="E861" s="544"/>
    </row>
    <row r="862">
      <c r="A862" s="507"/>
      <c r="B862" s="507"/>
      <c r="C862" s="507"/>
      <c r="D862" s="544"/>
      <c r="E862" s="544"/>
    </row>
    <row r="863">
      <c r="A863" s="507"/>
      <c r="B863" s="507"/>
      <c r="C863" s="507"/>
      <c r="D863" s="544"/>
      <c r="E863" s="544"/>
    </row>
    <row r="864">
      <c r="A864" s="507"/>
      <c r="B864" s="507"/>
      <c r="C864" s="507"/>
      <c r="D864" s="544"/>
      <c r="E864" s="544"/>
    </row>
    <row r="865">
      <c r="A865" s="507"/>
      <c r="B865" s="507"/>
      <c r="C865" s="507"/>
      <c r="D865" s="544"/>
      <c r="E865" s="544"/>
    </row>
    <row r="866">
      <c r="A866" s="507"/>
      <c r="B866" s="507"/>
      <c r="C866" s="507"/>
      <c r="D866" s="544"/>
      <c r="E866" s="544"/>
    </row>
    <row r="867">
      <c r="A867" s="507"/>
      <c r="B867" s="507"/>
      <c r="C867" s="507"/>
      <c r="D867" s="544"/>
      <c r="E867" s="544"/>
    </row>
    <row r="868">
      <c r="A868" s="507"/>
      <c r="B868" s="507"/>
      <c r="C868" s="507"/>
      <c r="D868" s="544"/>
      <c r="E868" s="544"/>
    </row>
    <row r="869">
      <c r="A869" s="507"/>
      <c r="B869" s="507"/>
      <c r="C869" s="507"/>
      <c r="D869" s="544"/>
      <c r="E869" s="544"/>
    </row>
    <row r="870">
      <c r="A870" s="507"/>
      <c r="B870" s="507"/>
      <c r="C870" s="507"/>
      <c r="D870" s="544"/>
      <c r="E870" s="544"/>
    </row>
    <row r="871">
      <c r="A871" s="507"/>
      <c r="B871" s="507"/>
      <c r="C871" s="507"/>
      <c r="D871" s="544"/>
      <c r="E871" s="544"/>
    </row>
    <row r="872">
      <c r="A872" s="507"/>
      <c r="B872" s="507"/>
      <c r="C872" s="507"/>
      <c r="D872" s="544"/>
      <c r="E872" s="544"/>
    </row>
    <row r="873">
      <c r="A873" s="507"/>
      <c r="B873" s="507"/>
      <c r="C873" s="507"/>
      <c r="D873" s="544"/>
      <c r="E873" s="544"/>
    </row>
    <row r="874">
      <c r="A874" s="507"/>
      <c r="B874" s="507"/>
      <c r="C874" s="507"/>
      <c r="D874" s="544"/>
      <c r="E874" s="544"/>
    </row>
    <row r="875">
      <c r="A875" s="507"/>
      <c r="B875" s="507"/>
      <c r="C875" s="507"/>
      <c r="D875" s="544"/>
      <c r="E875" s="544"/>
    </row>
    <row r="876">
      <c r="A876" s="507"/>
      <c r="B876" s="507"/>
      <c r="C876" s="507"/>
      <c r="D876" s="544"/>
      <c r="E876" s="544"/>
    </row>
    <row r="877">
      <c r="A877" s="507"/>
      <c r="B877" s="507"/>
      <c r="C877" s="507"/>
      <c r="D877" s="544"/>
      <c r="E877" s="544"/>
    </row>
    <row r="878">
      <c r="A878" s="507"/>
      <c r="B878" s="507"/>
      <c r="C878" s="507"/>
      <c r="D878" s="544"/>
      <c r="E878" s="544"/>
    </row>
    <row r="879">
      <c r="A879" s="507"/>
      <c r="B879" s="507"/>
      <c r="C879" s="507"/>
      <c r="D879" s="544"/>
      <c r="E879" s="544"/>
    </row>
    <row r="880">
      <c r="A880" s="507"/>
      <c r="B880" s="507"/>
      <c r="C880" s="507"/>
      <c r="D880" s="544"/>
      <c r="E880" s="544"/>
    </row>
    <row r="881">
      <c r="A881" s="507"/>
      <c r="B881" s="507"/>
      <c r="C881" s="507"/>
      <c r="D881" s="544"/>
      <c r="E881" s="544"/>
    </row>
    <row r="882">
      <c r="A882" s="507"/>
      <c r="B882" s="507"/>
      <c r="C882" s="507"/>
      <c r="D882" s="544"/>
      <c r="E882" s="544"/>
    </row>
    <row r="883">
      <c r="A883" s="507"/>
      <c r="B883" s="507"/>
      <c r="C883" s="507"/>
      <c r="D883" s="544"/>
      <c r="E883" s="544"/>
    </row>
    <row r="884">
      <c r="A884" s="507"/>
      <c r="B884" s="507"/>
      <c r="C884" s="507"/>
      <c r="D884" s="544"/>
      <c r="E884" s="544"/>
    </row>
    <row r="885">
      <c r="A885" s="507"/>
      <c r="B885" s="507"/>
      <c r="C885" s="507"/>
      <c r="D885" s="544"/>
      <c r="E885" s="544"/>
    </row>
    <row r="886">
      <c r="A886" s="507"/>
      <c r="B886" s="507"/>
      <c r="C886" s="507"/>
      <c r="D886" s="544"/>
      <c r="E886" s="544"/>
    </row>
    <row r="887">
      <c r="A887" s="507"/>
      <c r="B887" s="507"/>
      <c r="C887" s="507"/>
      <c r="D887" s="544"/>
      <c r="E887" s="544"/>
    </row>
    <row r="888">
      <c r="A888" s="507"/>
      <c r="B888" s="507"/>
      <c r="C888" s="507"/>
      <c r="D888" s="544"/>
      <c r="E888" s="544"/>
    </row>
    <row r="889">
      <c r="A889" s="507"/>
      <c r="B889" s="507"/>
      <c r="C889" s="507"/>
      <c r="D889" s="544"/>
      <c r="E889" s="544"/>
    </row>
    <row r="890">
      <c r="A890" s="507"/>
      <c r="B890" s="507"/>
      <c r="C890" s="507"/>
      <c r="D890" s="544"/>
      <c r="E890" s="544"/>
    </row>
    <row r="891">
      <c r="A891" s="507"/>
      <c r="B891" s="507"/>
      <c r="C891" s="507"/>
      <c r="D891" s="544"/>
      <c r="E891" s="544"/>
    </row>
    <row r="892">
      <c r="A892" s="507"/>
      <c r="B892" s="507"/>
      <c r="C892" s="507"/>
      <c r="D892" s="544"/>
      <c r="E892" s="544"/>
    </row>
    <row r="893">
      <c r="A893" s="507"/>
      <c r="B893" s="507"/>
      <c r="C893" s="507"/>
      <c r="D893" s="544"/>
      <c r="E893" s="544"/>
    </row>
    <row r="894">
      <c r="A894" s="507"/>
      <c r="B894" s="507"/>
      <c r="C894" s="507"/>
      <c r="D894" s="544"/>
      <c r="E894" s="544"/>
    </row>
    <row r="895">
      <c r="A895" s="507"/>
      <c r="B895" s="507"/>
      <c r="C895" s="507"/>
      <c r="D895" s="544"/>
      <c r="E895" s="544"/>
    </row>
    <row r="896">
      <c r="A896" s="507"/>
      <c r="B896" s="507"/>
      <c r="C896" s="507"/>
      <c r="D896" s="544"/>
      <c r="E896" s="544"/>
    </row>
    <row r="897">
      <c r="A897" s="507"/>
      <c r="B897" s="507"/>
      <c r="C897" s="507"/>
      <c r="D897" s="544"/>
      <c r="E897" s="544"/>
    </row>
    <row r="898">
      <c r="A898" s="507"/>
      <c r="B898" s="507"/>
      <c r="C898" s="507"/>
      <c r="D898" s="544"/>
      <c r="E898" s="544"/>
    </row>
    <row r="899">
      <c r="A899" s="507"/>
      <c r="B899" s="507"/>
      <c r="C899" s="507"/>
      <c r="D899" s="544"/>
      <c r="E899" s="544"/>
    </row>
    <row r="900">
      <c r="A900" s="507"/>
      <c r="B900" s="507"/>
      <c r="C900" s="507"/>
      <c r="D900" s="544"/>
      <c r="E900" s="544"/>
    </row>
    <row r="901">
      <c r="A901" s="507"/>
      <c r="B901" s="507"/>
      <c r="C901" s="507"/>
      <c r="D901" s="544"/>
      <c r="E901" s="544"/>
    </row>
    <row r="902">
      <c r="A902" s="507"/>
      <c r="B902" s="507"/>
      <c r="C902" s="507"/>
      <c r="D902" s="544"/>
      <c r="E902" s="544"/>
    </row>
    <row r="903">
      <c r="A903" s="507"/>
      <c r="B903" s="507"/>
      <c r="C903" s="507"/>
      <c r="D903" s="544"/>
      <c r="E903" s="544"/>
    </row>
    <row r="904">
      <c r="A904" s="507"/>
      <c r="B904" s="507"/>
      <c r="C904" s="507"/>
      <c r="D904" s="544"/>
      <c r="E904" s="544"/>
    </row>
    <row r="905">
      <c r="A905" s="507"/>
      <c r="B905" s="507"/>
      <c r="C905" s="507"/>
      <c r="D905" s="544"/>
      <c r="E905" s="544"/>
    </row>
    <row r="906">
      <c r="A906" s="507"/>
      <c r="B906" s="507"/>
      <c r="C906" s="507"/>
      <c r="D906" s="544"/>
      <c r="E906" s="544"/>
    </row>
    <row r="907">
      <c r="A907" s="507"/>
      <c r="B907" s="507"/>
      <c r="C907" s="507"/>
      <c r="D907" s="544"/>
      <c r="E907" s="544"/>
    </row>
    <row r="908">
      <c r="A908" s="507"/>
      <c r="B908" s="507"/>
      <c r="C908" s="507"/>
      <c r="D908" s="544"/>
      <c r="E908" s="544"/>
    </row>
    <row r="909">
      <c r="A909" s="507"/>
      <c r="B909" s="507"/>
      <c r="C909" s="507"/>
      <c r="D909" s="544"/>
      <c r="E909" s="544"/>
    </row>
    <row r="910">
      <c r="A910" s="507"/>
      <c r="B910" s="507"/>
      <c r="C910" s="507"/>
      <c r="D910" s="544"/>
      <c r="E910" s="544"/>
    </row>
    <row r="911">
      <c r="A911" s="507"/>
      <c r="B911" s="507"/>
      <c r="C911" s="507"/>
      <c r="D911" s="544"/>
      <c r="E911" s="544"/>
    </row>
    <row r="912">
      <c r="A912" s="507"/>
      <c r="B912" s="507"/>
      <c r="C912" s="507"/>
      <c r="D912" s="544"/>
      <c r="E912" s="544"/>
    </row>
    <row r="913">
      <c r="A913" s="507"/>
      <c r="B913" s="507"/>
      <c r="C913" s="507"/>
      <c r="D913" s="544"/>
      <c r="E913" s="544"/>
    </row>
    <row r="914">
      <c r="A914" s="507"/>
      <c r="B914" s="507"/>
      <c r="C914" s="507"/>
      <c r="D914" s="544"/>
      <c r="E914" s="544"/>
    </row>
    <row r="915">
      <c r="A915" s="507"/>
      <c r="B915" s="507"/>
      <c r="C915" s="507"/>
      <c r="D915" s="544"/>
      <c r="E915" s="544"/>
    </row>
    <row r="916">
      <c r="A916" s="507"/>
      <c r="B916" s="507"/>
      <c r="C916" s="507"/>
      <c r="D916" s="544"/>
      <c r="E916" s="544"/>
    </row>
    <row r="917">
      <c r="A917" s="507"/>
      <c r="B917" s="507"/>
      <c r="C917" s="507"/>
      <c r="D917" s="544"/>
      <c r="E917" s="544"/>
    </row>
    <row r="918">
      <c r="A918" s="507"/>
      <c r="B918" s="507"/>
      <c r="C918" s="507"/>
      <c r="D918" s="544"/>
      <c r="E918" s="544"/>
    </row>
    <row r="919">
      <c r="A919" s="507"/>
      <c r="B919" s="507"/>
      <c r="C919" s="507"/>
      <c r="D919" s="544"/>
      <c r="E919" s="544"/>
    </row>
    <row r="920">
      <c r="A920" s="507"/>
      <c r="B920" s="507"/>
      <c r="C920" s="507"/>
      <c r="D920" s="544"/>
      <c r="E920" s="544"/>
    </row>
    <row r="921">
      <c r="A921" s="507"/>
      <c r="B921" s="507"/>
      <c r="C921" s="507"/>
      <c r="D921" s="544"/>
      <c r="E921" s="544"/>
    </row>
    <row r="922">
      <c r="A922" s="507"/>
      <c r="B922" s="507"/>
      <c r="C922" s="507"/>
      <c r="D922" s="544"/>
      <c r="E922" s="544"/>
    </row>
    <row r="923">
      <c r="A923" s="507"/>
      <c r="B923" s="507"/>
      <c r="C923" s="507"/>
      <c r="D923" s="544"/>
      <c r="E923" s="544"/>
    </row>
    <row r="924">
      <c r="A924" s="507"/>
      <c r="B924" s="507"/>
      <c r="C924" s="507"/>
      <c r="D924" s="544"/>
      <c r="E924" s="544"/>
    </row>
    <row r="925">
      <c r="A925" s="507"/>
      <c r="B925" s="507"/>
      <c r="C925" s="507"/>
      <c r="D925" s="544"/>
      <c r="E925" s="544"/>
    </row>
    <row r="926">
      <c r="A926" s="507"/>
      <c r="B926" s="507"/>
      <c r="C926" s="507"/>
      <c r="D926" s="544"/>
      <c r="E926" s="544"/>
    </row>
    <row r="927">
      <c r="A927" s="507"/>
      <c r="B927" s="507"/>
      <c r="C927" s="507"/>
      <c r="D927" s="544"/>
      <c r="E927" s="544"/>
    </row>
    <row r="928">
      <c r="A928" s="507"/>
      <c r="B928" s="507"/>
      <c r="C928" s="507"/>
      <c r="D928" s="544"/>
      <c r="E928" s="544"/>
    </row>
    <row r="929">
      <c r="A929" s="507"/>
      <c r="B929" s="507"/>
      <c r="C929" s="507"/>
      <c r="D929" s="544"/>
      <c r="E929" s="544"/>
    </row>
    <row r="930">
      <c r="A930" s="507"/>
      <c r="B930" s="507"/>
      <c r="C930" s="507"/>
      <c r="D930" s="544"/>
      <c r="E930" s="544"/>
    </row>
    <row r="931">
      <c r="A931" s="507"/>
      <c r="B931" s="507"/>
      <c r="C931" s="507"/>
      <c r="D931" s="544"/>
      <c r="E931" s="544"/>
    </row>
    <row r="932">
      <c r="A932" s="507"/>
      <c r="B932" s="507"/>
      <c r="C932" s="507"/>
      <c r="D932" s="544"/>
      <c r="E932" s="544"/>
    </row>
    <row r="933">
      <c r="A933" s="507"/>
      <c r="B933" s="507"/>
      <c r="C933" s="507"/>
      <c r="D933" s="544"/>
      <c r="E933" s="544"/>
    </row>
    <row r="934">
      <c r="A934" s="507"/>
      <c r="B934" s="507"/>
      <c r="C934" s="507"/>
      <c r="D934" s="544"/>
      <c r="E934" s="544"/>
    </row>
    <row r="935">
      <c r="A935" s="507"/>
      <c r="B935" s="507"/>
      <c r="C935" s="507"/>
      <c r="D935" s="544"/>
      <c r="E935" s="544"/>
    </row>
    <row r="936">
      <c r="A936" s="507"/>
      <c r="B936" s="507"/>
      <c r="C936" s="507"/>
      <c r="D936" s="544"/>
      <c r="E936" s="544"/>
    </row>
    <row r="937">
      <c r="A937" s="507"/>
      <c r="B937" s="507"/>
      <c r="C937" s="507"/>
      <c r="D937" s="544"/>
      <c r="E937" s="544"/>
    </row>
    <row r="938">
      <c r="A938" s="507"/>
      <c r="B938" s="507"/>
      <c r="C938" s="507"/>
      <c r="D938" s="544"/>
      <c r="E938" s="544"/>
    </row>
    <row r="939">
      <c r="A939" s="507"/>
      <c r="B939" s="507"/>
      <c r="C939" s="507"/>
      <c r="D939" s="544"/>
      <c r="E939" s="544"/>
    </row>
    <row r="940">
      <c r="A940" s="507"/>
      <c r="B940" s="507"/>
      <c r="C940" s="507"/>
      <c r="D940" s="544"/>
      <c r="E940" s="544"/>
    </row>
    <row r="941">
      <c r="A941" s="507"/>
      <c r="B941" s="507"/>
      <c r="C941" s="507"/>
      <c r="D941" s="544"/>
      <c r="E941" s="544"/>
    </row>
    <row r="942">
      <c r="A942" s="507"/>
      <c r="B942" s="507"/>
      <c r="C942" s="507"/>
      <c r="D942" s="544"/>
      <c r="E942" s="544"/>
    </row>
    <row r="943">
      <c r="A943" s="507"/>
      <c r="B943" s="507"/>
      <c r="C943" s="507"/>
      <c r="D943" s="544"/>
      <c r="E943" s="544"/>
    </row>
    <row r="944">
      <c r="A944" s="507"/>
      <c r="B944" s="507"/>
      <c r="C944" s="507"/>
      <c r="D944" s="544"/>
      <c r="E944" s="544"/>
    </row>
    <row r="945">
      <c r="A945" s="507"/>
      <c r="B945" s="507"/>
      <c r="C945" s="507"/>
      <c r="D945" s="544"/>
      <c r="E945" s="544"/>
    </row>
    <row r="946">
      <c r="A946" s="507"/>
      <c r="B946" s="507"/>
      <c r="C946" s="507"/>
      <c r="D946" s="544"/>
      <c r="E946" s="544"/>
    </row>
    <row r="947">
      <c r="A947" s="507"/>
      <c r="B947" s="507"/>
      <c r="C947" s="507"/>
      <c r="D947" s="544"/>
      <c r="E947" s="544"/>
    </row>
    <row r="948">
      <c r="A948" s="507"/>
      <c r="B948" s="507"/>
      <c r="C948" s="507"/>
      <c r="D948" s="544"/>
      <c r="E948" s="544"/>
    </row>
    <row r="949">
      <c r="A949" s="507"/>
      <c r="B949" s="507"/>
      <c r="C949" s="507"/>
      <c r="D949" s="544"/>
      <c r="E949" s="544"/>
    </row>
    <row r="950">
      <c r="A950" s="507"/>
      <c r="B950" s="507"/>
      <c r="C950" s="507"/>
      <c r="D950" s="544"/>
      <c r="E950" s="544"/>
    </row>
    <row r="951">
      <c r="A951" s="507"/>
      <c r="B951" s="507"/>
      <c r="C951" s="507"/>
      <c r="D951" s="544"/>
      <c r="E951" s="544"/>
    </row>
    <row r="952">
      <c r="A952" s="507"/>
      <c r="B952" s="507"/>
      <c r="C952" s="507"/>
      <c r="D952" s="544"/>
      <c r="E952" s="544"/>
    </row>
    <row r="953">
      <c r="A953" s="507"/>
      <c r="B953" s="507"/>
      <c r="C953" s="507"/>
      <c r="D953" s="544"/>
      <c r="E953" s="544"/>
    </row>
    <row r="954">
      <c r="A954" s="507"/>
      <c r="B954" s="507"/>
      <c r="C954" s="507"/>
      <c r="D954" s="544"/>
      <c r="E954" s="544"/>
    </row>
    <row r="955">
      <c r="A955" s="507"/>
      <c r="B955" s="507"/>
      <c r="C955" s="507"/>
      <c r="D955" s="544"/>
      <c r="E955" s="544"/>
    </row>
    <row r="956">
      <c r="A956" s="507"/>
      <c r="B956" s="507"/>
      <c r="C956" s="507"/>
      <c r="D956" s="544"/>
      <c r="E956" s="544"/>
    </row>
    <row r="957">
      <c r="A957" s="507"/>
      <c r="B957" s="507"/>
      <c r="C957" s="507"/>
      <c r="D957" s="544"/>
      <c r="E957" s="544"/>
    </row>
    <row r="958">
      <c r="A958" s="507"/>
      <c r="B958" s="507"/>
      <c r="C958" s="507"/>
      <c r="D958" s="544"/>
      <c r="E958" s="544"/>
    </row>
    <row r="959">
      <c r="A959" s="507"/>
      <c r="B959" s="507"/>
      <c r="C959" s="507"/>
      <c r="D959" s="544"/>
      <c r="E959" s="544"/>
    </row>
    <row r="960">
      <c r="A960" s="507"/>
      <c r="B960" s="507"/>
      <c r="C960" s="507"/>
      <c r="D960" s="544"/>
      <c r="E960" s="544"/>
    </row>
    <row r="961">
      <c r="A961" s="507"/>
      <c r="B961" s="507"/>
      <c r="C961" s="507"/>
      <c r="D961" s="544"/>
      <c r="E961" s="544"/>
    </row>
    <row r="962">
      <c r="A962" s="507"/>
      <c r="B962" s="507"/>
      <c r="C962" s="507"/>
      <c r="D962" s="544"/>
      <c r="E962" s="544"/>
    </row>
    <row r="963">
      <c r="A963" s="507"/>
      <c r="B963" s="507"/>
      <c r="C963" s="507"/>
      <c r="D963" s="544"/>
      <c r="E963" s="544"/>
    </row>
    <row r="964">
      <c r="A964" s="507"/>
      <c r="B964" s="507"/>
      <c r="C964" s="507"/>
      <c r="D964" s="544"/>
      <c r="E964" s="544"/>
    </row>
    <row r="965">
      <c r="A965" s="507"/>
      <c r="B965" s="507"/>
      <c r="C965" s="507"/>
      <c r="D965" s="544"/>
      <c r="E965" s="544"/>
    </row>
    <row r="966">
      <c r="A966" s="507"/>
      <c r="B966" s="507"/>
      <c r="C966" s="507"/>
      <c r="D966" s="544"/>
      <c r="E966" s="544"/>
    </row>
    <row r="967">
      <c r="A967" s="507"/>
      <c r="B967" s="507"/>
      <c r="C967" s="507"/>
      <c r="D967" s="544"/>
      <c r="E967" s="544"/>
    </row>
    <row r="968">
      <c r="A968" s="507"/>
      <c r="B968" s="507"/>
      <c r="C968" s="507"/>
      <c r="D968" s="544"/>
      <c r="E968" s="544"/>
    </row>
    <row r="969">
      <c r="A969" s="507"/>
      <c r="B969" s="507"/>
      <c r="C969" s="507"/>
      <c r="D969" s="544"/>
      <c r="E969" s="544"/>
    </row>
    <row r="970">
      <c r="A970" s="507"/>
      <c r="B970" s="507"/>
      <c r="C970" s="507"/>
      <c r="D970" s="544"/>
      <c r="E970" s="544"/>
    </row>
    <row r="971">
      <c r="A971" s="507"/>
      <c r="B971" s="507"/>
      <c r="C971" s="507"/>
      <c r="D971" s="544"/>
      <c r="E971" s="544"/>
    </row>
    <row r="972">
      <c r="A972" s="507"/>
      <c r="B972" s="507"/>
      <c r="C972" s="507"/>
      <c r="D972" s="544"/>
      <c r="E972" s="544"/>
    </row>
    <row r="973">
      <c r="A973" s="507"/>
      <c r="B973" s="507"/>
      <c r="C973" s="507"/>
      <c r="D973" s="544"/>
      <c r="E973" s="544"/>
    </row>
    <row r="974">
      <c r="A974" s="507"/>
      <c r="B974" s="507"/>
      <c r="C974" s="507"/>
      <c r="D974" s="544"/>
      <c r="E974" s="544"/>
    </row>
    <row r="975">
      <c r="A975" s="507"/>
      <c r="B975" s="507"/>
      <c r="C975" s="507"/>
      <c r="D975" s="544"/>
      <c r="E975" s="544"/>
    </row>
    <row r="976">
      <c r="A976" s="507"/>
      <c r="B976" s="507"/>
      <c r="C976" s="507"/>
      <c r="D976" s="544"/>
      <c r="E976" s="544"/>
    </row>
    <row r="977">
      <c r="A977" s="507"/>
      <c r="B977" s="507"/>
      <c r="C977" s="507"/>
      <c r="D977" s="544"/>
      <c r="E977" s="544"/>
    </row>
    <row r="978">
      <c r="A978" s="507"/>
      <c r="B978" s="507"/>
      <c r="C978" s="507"/>
      <c r="D978" s="544"/>
      <c r="E978" s="544"/>
    </row>
    <row r="979">
      <c r="A979" s="507"/>
      <c r="B979" s="507"/>
      <c r="C979" s="507"/>
      <c r="D979" s="544"/>
      <c r="E979" s="544"/>
    </row>
    <row r="980">
      <c r="A980" s="507"/>
      <c r="B980" s="507"/>
      <c r="C980" s="507"/>
      <c r="D980" s="544"/>
      <c r="E980" s="544"/>
    </row>
    <row r="981">
      <c r="A981" s="507"/>
      <c r="B981" s="507"/>
      <c r="C981" s="507"/>
      <c r="D981" s="544"/>
      <c r="E981" s="544"/>
    </row>
    <row r="982">
      <c r="A982" s="507"/>
      <c r="B982" s="507"/>
      <c r="C982" s="507"/>
      <c r="D982" s="544"/>
      <c r="E982" s="544"/>
    </row>
    <row r="983">
      <c r="A983" s="507"/>
      <c r="B983" s="507"/>
      <c r="C983" s="507"/>
      <c r="D983" s="544"/>
      <c r="E983" s="544"/>
    </row>
    <row r="984">
      <c r="A984" s="507"/>
      <c r="B984" s="507"/>
      <c r="C984" s="507"/>
      <c r="D984" s="544"/>
      <c r="E984" s="544"/>
    </row>
    <row r="985">
      <c r="A985" s="507"/>
      <c r="B985" s="507"/>
      <c r="C985" s="507"/>
      <c r="D985" s="544"/>
      <c r="E985" s="544"/>
    </row>
    <row r="986">
      <c r="A986" s="507"/>
      <c r="B986" s="507"/>
      <c r="C986" s="507"/>
      <c r="D986" s="544"/>
      <c r="E986" s="544"/>
    </row>
    <row r="987">
      <c r="A987" s="507"/>
      <c r="B987" s="507"/>
      <c r="C987" s="507"/>
      <c r="D987" s="544"/>
      <c r="E987" s="544"/>
    </row>
    <row r="988">
      <c r="A988" s="507"/>
      <c r="B988" s="507"/>
      <c r="C988" s="507"/>
      <c r="D988" s="544"/>
      <c r="E988" s="544"/>
    </row>
    <row r="989">
      <c r="A989" s="507"/>
      <c r="B989" s="507"/>
      <c r="C989" s="507"/>
      <c r="D989" s="544"/>
      <c r="E989" s="544"/>
    </row>
    <row r="990">
      <c r="A990" s="507"/>
      <c r="B990" s="507"/>
      <c r="C990" s="507"/>
      <c r="D990" s="544"/>
      <c r="E990" s="544"/>
    </row>
    <row r="991">
      <c r="A991" s="507"/>
      <c r="B991" s="507"/>
      <c r="C991" s="507"/>
      <c r="D991" s="544"/>
      <c r="E991" s="544"/>
    </row>
    <row r="992">
      <c r="A992" s="507"/>
      <c r="B992" s="507"/>
      <c r="C992" s="507"/>
      <c r="D992" s="544"/>
      <c r="E992" s="544"/>
    </row>
    <row r="993">
      <c r="A993" s="507"/>
      <c r="B993" s="507"/>
      <c r="C993" s="507"/>
      <c r="D993" s="544"/>
      <c r="E993" s="544"/>
    </row>
    <row r="994">
      <c r="A994" s="507"/>
      <c r="B994" s="507"/>
      <c r="C994" s="507"/>
      <c r="D994" s="544"/>
      <c r="E994" s="544"/>
    </row>
    <row r="995">
      <c r="A995" s="507"/>
      <c r="B995" s="507"/>
      <c r="C995" s="507"/>
      <c r="D995" s="544"/>
      <c r="E995" s="544"/>
    </row>
    <row r="996">
      <c r="A996" s="507"/>
      <c r="B996" s="507"/>
      <c r="C996" s="507"/>
      <c r="D996" s="544"/>
      <c r="E996" s="544"/>
    </row>
    <row r="997">
      <c r="A997" s="507"/>
      <c r="B997" s="507"/>
      <c r="C997" s="507"/>
      <c r="D997" s="544"/>
      <c r="E997" s="544"/>
    </row>
    <row r="998">
      <c r="A998" s="507"/>
      <c r="B998" s="507"/>
      <c r="C998" s="507"/>
      <c r="D998" s="544"/>
      <c r="E998" s="544"/>
    </row>
    <row r="999">
      <c r="A999" s="507"/>
      <c r="B999" s="507"/>
      <c r="C999" s="507"/>
      <c r="D999" s="544"/>
      <c r="E999" s="544"/>
    </row>
    <row r="1000">
      <c r="A1000" s="507"/>
      <c r="B1000" s="507"/>
      <c r="C1000" s="507"/>
      <c r="D1000" s="544"/>
      <c r="E1000" s="544"/>
    </row>
  </sheetData>
  <autoFilter ref="$A$1:$AB$1000"/>
  <mergeCells count="2">
    <mergeCell ref="C57:D57"/>
    <mergeCell ref="C64:F64"/>
  </mergeCells>
  <hyperlinks>
    <hyperlink r:id="rId1" location="slide=id.g2edd551b383_0_783" ref="C6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0"/>
    <col customWidth="1" min="2" max="2" width="40.0"/>
    <col customWidth="1" min="3" max="3" width="14.75"/>
    <col customWidth="1" min="4" max="5" width="15.0"/>
    <col customWidth="1" min="6" max="6" width="11.25"/>
    <col customWidth="1" min="7" max="7" width="10.38"/>
    <col customWidth="1" min="8" max="8" width="61.5"/>
    <col customWidth="1" min="9" max="9" width="9.13"/>
    <col customWidth="1" min="10" max="10" width="29.75"/>
    <col customWidth="1" min="11" max="11" width="15.25"/>
  </cols>
  <sheetData>
    <row r="1">
      <c r="A1" s="428" t="s">
        <v>161</v>
      </c>
      <c r="B1" s="587" t="s">
        <v>622</v>
      </c>
      <c r="C1" s="588" t="s">
        <v>623</v>
      </c>
      <c r="D1" s="589" t="s">
        <v>624</v>
      </c>
      <c r="E1" s="589" t="s">
        <v>625</v>
      </c>
      <c r="F1" s="590" t="s">
        <v>626</v>
      </c>
      <c r="G1" s="590" t="s">
        <v>627</v>
      </c>
      <c r="H1" s="430" t="s">
        <v>628</v>
      </c>
      <c r="I1" s="431" t="s">
        <v>307</v>
      </c>
      <c r="J1" s="430" t="s">
        <v>377</v>
      </c>
      <c r="K1" s="12"/>
      <c r="L1" s="591"/>
      <c r="M1" s="163"/>
      <c r="N1" s="163"/>
      <c r="O1" s="163"/>
      <c r="P1" s="163"/>
      <c r="Q1" s="163"/>
      <c r="R1" s="163"/>
      <c r="S1" s="163"/>
      <c r="T1" s="163"/>
      <c r="U1" s="163"/>
      <c r="V1" s="163"/>
      <c r="W1" s="163"/>
      <c r="X1" s="163"/>
      <c r="Y1" s="163"/>
      <c r="Z1" s="163"/>
      <c r="AA1" s="163"/>
    </row>
    <row r="2">
      <c r="A2" s="433" t="s">
        <v>207</v>
      </c>
      <c r="B2" s="260">
        <v>77.5307272</v>
      </c>
      <c r="C2" s="260">
        <v>0.0</v>
      </c>
      <c r="D2" s="260">
        <v>0.90686</v>
      </c>
      <c r="E2" s="260">
        <v>76.6238672</v>
      </c>
      <c r="F2" s="261">
        <f t="shared" ref="F2:F55" si="1">(C2+D2)/B2</f>
        <v>0.01169678181</v>
      </c>
      <c r="G2" s="355">
        <f t="shared" ref="G2:G55" si="2">E2/B2</f>
        <v>0.9883032182</v>
      </c>
      <c r="H2" s="16" t="str">
        <f t="shared" ref="H2:H55" si="3">IF(F2&lt;(1/3), "Low", IF(F2&lt;(2/3), "Medium", "High"))</f>
        <v>Low</v>
      </c>
      <c r="I2" s="520">
        <f t="shared" ref="I2:I55" si="4">IF(F2&lt;(1/3), (1/3), IF(F2&lt;(2/3), (2/3), 1))</f>
        <v>0.3333333333</v>
      </c>
      <c r="J2" s="592" t="s">
        <v>629</v>
      </c>
    </row>
    <row r="3">
      <c r="A3" s="433" t="s">
        <v>240</v>
      </c>
      <c r="B3" s="260">
        <v>16.429392</v>
      </c>
      <c r="C3" s="260">
        <v>0.0</v>
      </c>
      <c r="D3" s="260">
        <v>11.718</v>
      </c>
      <c r="E3" s="260">
        <v>4.711392</v>
      </c>
      <c r="F3" s="261">
        <f t="shared" si="1"/>
        <v>0.7132339407</v>
      </c>
      <c r="G3" s="355">
        <f t="shared" si="2"/>
        <v>0.2867660593</v>
      </c>
      <c r="H3" s="16" t="str">
        <f t="shared" si="3"/>
        <v>High</v>
      </c>
      <c r="I3" s="520">
        <f t="shared" si="4"/>
        <v>1</v>
      </c>
      <c r="K3" s="253"/>
    </row>
    <row r="4">
      <c r="A4" s="433" t="s">
        <v>268</v>
      </c>
      <c r="B4" s="260">
        <v>0.24109728</v>
      </c>
      <c r="C4" s="260">
        <v>0.0</v>
      </c>
      <c r="D4" s="260">
        <v>0.00806</v>
      </c>
      <c r="E4" s="260">
        <v>0.23303728</v>
      </c>
      <c r="F4" s="261">
        <f t="shared" si="1"/>
        <v>0.03343048914</v>
      </c>
      <c r="G4" s="355">
        <f t="shared" si="2"/>
        <v>0.9665695109</v>
      </c>
      <c r="H4" s="16" t="str">
        <f t="shared" si="3"/>
        <v>Low</v>
      </c>
      <c r="I4" s="520">
        <f t="shared" si="4"/>
        <v>0.3333333333</v>
      </c>
    </row>
    <row r="5">
      <c r="A5" s="433" t="s">
        <v>329</v>
      </c>
      <c r="B5" s="260">
        <v>2.18234816</v>
      </c>
      <c r="C5" s="260">
        <v>0.0</v>
      </c>
      <c r="D5" s="260">
        <v>0.006</v>
      </c>
      <c r="E5" s="260">
        <v>2.17634816</v>
      </c>
      <c r="F5" s="261">
        <f t="shared" si="1"/>
        <v>0.002749332169</v>
      </c>
      <c r="G5" s="355">
        <f t="shared" si="2"/>
        <v>0.9972506678</v>
      </c>
      <c r="H5" s="16" t="str">
        <f t="shared" si="3"/>
        <v>Low</v>
      </c>
      <c r="I5" s="520">
        <f t="shared" si="4"/>
        <v>0.3333333333</v>
      </c>
    </row>
    <row r="6">
      <c r="A6" s="433" t="s">
        <v>331</v>
      </c>
      <c r="B6" s="260">
        <v>1.76120967</v>
      </c>
      <c r="C6" s="260">
        <v>0.0</v>
      </c>
      <c r="D6" s="260">
        <v>0.23422797</v>
      </c>
      <c r="E6" s="260">
        <v>1.5269817</v>
      </c>
      <c r="F6" s="261">
        <f t="shared" si="1"/>
        <v>0.1329926663</v>
      </c>
      <c r="G6" s="355">
        <f t="shared" si="2"/>
        <v>0.8670073337</v>
      </c>
      <c r="H6" s="16" t="str">
        <f t="shared" si="3"/>
        <v>Low</v>
      </c>
      <c r="I6" s="520">
        <f t="shared" si="4"/>
        <v>0.3333333333</v>
      </c>
    </row>
    <row r="7">
      <c r="A7" s="433" t="s">
        <v>333</v>
      </c>
      <c r="B7" s="260">
        <v>0.35799164</v>
      </c>
      <c r="C7" s="260">
        <v>0.0</v>
      </c>
      <c r="D7" s="260">
        <v>0.233788</v>
      </c>
      <c r="E7" s="260">
        <v>0.12420364</v>
      </c>
      <c r="F7" s="261">
        <f t="shared" si="1"/>
        <v>0.6530543562</v>
      </c>
      <c r="G7" s="355">
        <f t="shared" si="2"/>
        <v>0.3469456438</v>
      </c>
      <c r="H7" s="16" t="str">
        <f t="shared" si="3"/>
        <v>Medium</v>
      </c>
      <c r="I7" s="520">
        <f t="shared" si="4"/>
        <v>0.6666666667</v>
      </c>
    </row>
    <row r="8">
      <c r="A8" s="433" t="s">
        <v>225</v>
      </c>
      <c r="B8" s="260">
        <v>0.45688711</v>
      </c>
      <c r="C8" s="260">
        <v>0.0</v>
      </c>
      <c r="D8" s="260">
        <v>0.073</v>
      </c>
      <c r="E8" s="260">
        <v>0.38388711</v>
      </c>
      <c r="F8" s="261">
        <f t="shared" si="1"/>
        <v>0.1597768867</v>
      </c>
      <c r="G8" s="355">
        <f t="shared" si="2"/>
        <v>0.8402231133</v>
      </c>
      <c r="H8" s="16" t="str">
        <f t="shared" si="3"/>
        <v>Low</v>
      </c>
      <c r="I8" s="520">
        <f t="shared" si="4"/>
        <v>0.3333333333</v>
      </c>
    </row>
    <row r="9">
      <c r="A9" s="433" t="s">
        <v>338</v>
      </c>
      <c r="B9" s="260">
        <v>8.04547493</v>
      </c>
      <c r="C9" s="260">
        <v>0.0</v>
      </c>
      <c r="D9" s="260">
        <v>5.02</v>
      </c>
      <c r="E9" s="260">
        <v>3.02547493</v>
      </c>
      <c r="F9" s="261">
        <f t="shared" si="1"/>
        <v>0.6239532214</v>
      </c>
      <c r="G9" s="355">
        <f t="shared" si="2"/>
        <v>0.3760467786</v>
      </c>
      <c r="H9" s="16" t="str">
        <f t="shared" si="3"/>
        <v>Medium</v>
      </c>
      <c r="I9" s="520">
        <f t="shared" si="4"/>
        <v>0.6666666667</v>
      </c>
    </row>
    <row r="10">
      <c r="A10" s="433" t="s">
        <v>340</v>
      </c>
      <c r="B10" s="260">
        <v>0.151064</v>
      </c>
      <c r="C10" s="260">
        <v>0.0</v>
      </c>
      <c r="D10" s="260">
        <v>0.15</v>
      </c>
      <c r="E10" s="260">
        <v>0.001064</v>
      </c>
      <c r="F10" s="261">
        <f t="shared" si="1"/>
        <v>0.9929566277</v>
      </c>
      <c r="G10" s="355">
        <f t="shared" si="2"/>
        <v>0.007043372345</v>
      </c>
      <c r="H10" s="16" t="str">
        <f t="shared" si="3"/>
        <v>High</v>
      </c>
      <c r="I10" s="520">
        <f t="shared" si="4"/>
        <v>1</v>
      </c>
    </row>
    <row r="11">
      <c r="A11" s="433" t="s">
        <v>342</v>
      </c>
      <c r="B11" s="260">
        <v>0.31243118</v>
      </c>
      <c r="C11" s="260">
        <v>0.0</v>
      </c>
      <c r="D11" s="260">
        <v>0.019</v>
      </c>
      <c r="E11" s="260">
        <v>0.29343118</v>
      </c>
      <c r="F11" s="261">
        <f t="shared" si="1"/>
        <v>0.06081339257</v>
      </c>
      <c r="G11" s="355">
        <f t="shared" si="2"/>
        <v>0.9391866074</v>
      </c>
      <c r="H11" s="16" t="str">
        <f t="shared" si="3"/>
        <v>Low</v>
      </c>
      <c r="I11" s="520">
        <f t="shared" si="4"/>
        <v>0.3333333333</v>
      </c>
    </row>
    <row r="12">
      <c r="A12" s="433" t="s">
        <v>346</v>
      </c>
      <c r="B12" s="260">
        <v>0.13832</v>
      </c>
      <c r="C12" s="260">
        <v>0.0</v>
      </c>
      <c r="D12" s="260">
        <v>0.0</v>
      </c>
      <c r="E12" s="260">
        <v>0.13832</v>
      </c>
      <c r="F12" s="261">
        <f t="shared" si="1"/>
        <v>0</v>
      </c>
      <c r="G12" s="355">
        <f t="shared" si="2"/>
        <v>1</v>
      </c>
      <c r="H12" s="16" t="str">
        <f t="shared" si="3"/>
        <v>Low</v>
      </c>
      <c r="I12" s="520">
        <f t="shared" si="4"/>
        <v>0.3333333333</v>
      </c>
    </row>
    <row r="13">
      <c r="A13" s="433" t="s">
        <v>351</v>
      </c>
      <c r="B13" s="260">
        <v>4.02026152</v>
      </c>
      <c r="C13" s="260">
        <v>0.0</v>
      </c>
      <c r="D13" s="260">
        <v>0.90122</v>
      </c>
      <c r="E13" s="260">
        <v>3.11904152</v>
      </c>
      <c r="F13" s="261">
        <f t="shared" si="1"/>
        <v>0.2241694963</v>
      </c>
      <c r="G13" s="355">
        <f t="shared" si="2"/>
        <v>0.7758305037</v>
      </c>
      <c r="H13" s="16" t="str">
        <f t="shared" si="3"/>
        <v>Low</v>
      </c>
      <c r="I13" s="520">
        <f t="shared" si="4"/>
        <v>0.3333333333</v>
      </c>
    </row>
    <row r="14">
      <c r="A14" s="433" t="s">
        <v>356</v>
      </c>
      <c r="B14" s="260">
        <v>10.9822272</v>
      </c>
      <c r="C14" s="260">
        <v>0.0</v>
      </c>
      <c r="D14" s="260">
        <v>3.311</v>
      </c>
      <c r="E14" s="260">
        <v>7.6712272</v>
      </c>
      <c r="F14" s="261">
        <f t="shared" si="1"/>
        <v>0.3014871155</v>
      </c>
      <c r="G14" s="355">
        <f t="shared" si="2"/>
        <v>0.6985128845</v>
      </c>
      <c r="H14" s="16" t="str">
        <f t="shared" si="3"/>
        <v>Low</v>
      </c>
      <c r="I14" s="520">
        <f t="shared" si="4"/>
        <v>0.3333333333</v>
      </c>
    </row>
    <row r="15">
      <c r="A15" s="433" t="s">
        <v>357</v>
      </c>
      <c r="B15" s="260">
        <v>0.05819693</v>
      </c>
      <c r="C15" s="260">
        <v>0.0</v>
      </c>
      <c r="D15" s="260">
        <v>0.00122</v>
      </c>
      <c r="E15" s="260">
        <v>0.05697693</v>
      </c>
      <c r="F15" s="261">
        <f t="shared" si="1"/>
        <v>0.02096330511</v>
      </c>
      <c r="G15" s="355">
        <f t="shared" si="2"/>
        <v>0.9790366949</v>
      </c>
      <c r="H15" s="16" t="str">
        <f t="shared" si="3"/>
        <v>Low</v>
      </c>
      <c r="I15" s="520">
        <f t="shared" si="4"/>
        <v>0.3333333333</v>
      </c>
    </row>
    <row r="16">
      <c r="A16" s="433" t="s">
        <v>276</v>
      </c>
      <c r="B16" s="260">
        <v>11.0396413</v>
      </c>
      <c r="C16" s="260">
        <v>0.0</v>
      </c>
      <c r="D16" s="260">
        <v>11.034</v>
      </c>
      <c r="E16" s="260">
        <v>0.00564133</v>
      </c>
      <c r="F16" s="261">
        <f t="shared" si="1"/>
        <v>0.9994889961</v>
      </c>
      <c r="G16" s="355">
        <f t="shared" si="2"/>
        <v>0.0005110066393</v>
      </c>
      <c r="H16" s="16" t="str">
        <f t="shared" si="3"/>
        <v>High</v>
      </c>
      <c r="I16" s="520">
        <f t="shared" si="4"/>
        <v>1</v>
      </c>
    </row>
    <row r="17">
      <c r="A17" s="433" t="s">
        <v>285</v>
      </c>
      <c r="B17" s="260">
        <v>202.255318</v>
      </c>
      <c r="C17" s="260">
        <v>0.0</v>
      </c>
      <c r="D17" s="260">
        <v>23.3636139</v>
      </c>
      <c r="E17" s="260">
        <v>178.891704</v>
      </c>
      <c r="F17" s="261">
        <f t="shared" si="1"/>
        <v>0.1155154491</v>
      </c>
      <c r="G17" s="355">
        <f t="shared" si="2"/>
        <v>0.8844845504</v>
      </c>
      <c r="H17" s="16" t="str">
        <f t="shared" si="3"/>
        <v>Low</v>
      </c>
      <c r="I17" s="520">
        <f t="shared" si="4"/>
        <v>0.3333333333</v>
      </c>
    </row>
    <row r="18">
      <c r="A18" s="433" t="s">
        <v>360</v>
      </c>
      <c r="B18" s="260">
        <v>1.41812456</v>
      </c>
      <c r="C18" s="260">
        <v>0.0</v>
      </c>
      <c r="D18" s="260">
        <v>0.44</v>
      </c>
      <c r="E18" s="260">
        <v>0.97812456</v>
      </c>
      <c r="F18" s="261">
        <f t="shared" si="1"/>
        <v>0.3102689372</v>
      </c>
      <c r="G18" s="355">
        <f t="shared" si="2"/>
        <v>0.6897310628</v>
      </c>
      <c r="H18" s="16" t="str">
        <f t="shared" si="3"/>
        <v>Low</v>
      </c>
      <c r="I18" s="520">
        <f t="shared" si="4"/>
        <v>0.3333333333</v>
      </c>
    </row>
    <row r="19">
      <c r="A19" s="433" t="s">
        <v>362</v>
      </c>
      <c r="B19" s="260">
        <v>0.45287351</v>
      </c>
      <c r="C19" s="260">
        <v>0.0</v>
      </c>
      <c r="D19" s="260">
        <v>0.017</v>
      </c>
      <c r="E19" s="260">
        <v>0.43587351</v>
      </c>
      <c r="F19" s="261">
        <f t="shared" si="1"/>
        <v>0.03753807548</v>
      </c>
      <c r="G19" s="355">
        <f t="shared" si="2"/>
        <v>0.9624619245</v>
      </c>
      <c r="H19" s="16" t="str">
        <f t="shared" si="3"/>
        <v>Low</v>
      </c>
      <c r="I19" s="520">
        <f t="shared" si="4"/>
        <v>0.3333333333</v>
      </c>
    </row>
    <row r="20">
      <c r="A20" s="433" t="s">
        <v>363</v>
      </c>
      <c r="B20" s="260">
        <v>0.74479498</v>
      </c>
      <c r="C20" s="260">
        <v>0.0</v>
      </c>
      <c r="D20" s="260">
        <v>0.44172621</v>
      </c>
      <c r="E20" s="260">
        <v>0.30306877</v>
      </c>
      <c r="F20" s="261">
        <f t="shared" si="1"/>
        <v>0.5930843009</v>
      </c>
      <c r="G20" s="355">
        <f t="shared" si="2"/>
        <v>0.4069156991</v>
      </c>
      <c r="H20" s="16" t="str">
        <f t="shared" si="3"/>
        <v>Medium</v>
      </c>
      <c r="I20" s="520">
        <f t="shared" si="4"/>
        <v>0.6666666667</v>
      </c>
    </row>
    <row r="21">
      <c r="A21" s="433" t="s">
        <v>255</v>
      </c>
      <c r="B21" s="260">
        <v>14.6781511</v>
      </c>
      <c r="C21" s="260">
        <v>0.0</v>
      </c>
      <c r="D21" s="260">
        <v>14.6731</v>
      </c>
      <c r="E21" s="260">
        <v>0.00505115</v>
      </c>
      <c r="F21" s="261">
        <f t="shared" si="1"/>
        <v>0.9996558763</v>
      </c>
      <c r="G21" s="355">
        <f t="shared" si="2"/>
        <v>0.0003441271292</v>
      </c>
      <c r="H21" s="16" t="str">
        <f t="shared" si="3"/>
        <v>High</v>
      </c>
      <c r="I21" s="520">
        <f t="shared" si="4"/>
        <v>1</v>
      </c>
    </row>
    <row r="22">
      <c r="A22" s="433" t="s">
        <v>374</v>
      </c>
      <c r="B22" s="260">
        <v>2.28632884</v>
      </c>
      <c r="C22" s="260">
        <v>0.0</v>
      </c>
      <c r="D22" s="260">
        <v>1.01344</v>
      </c>
      <c r="E22" s="260">
        <v>1.27288884</v>
      </c>
      <c r="F22" s="261">
        <f t="shared" si="1"/>
        <v>0.4432608216</v>
      </c>
      <c r="G22" s="355">
        <f t="shared" si="2"/>
        <v>0.5567391784</v>
      </c>
      <c r="H22" s="16" t="str">
        <f t="shared" si="3"/>
        <v>Medium</v>
      </c>
      <c r="I22" s="520">
        <f t="shared" si="4"/>
        <v>0.6666666667</v>
      </c>
    </row>
    <row r="23">
      <c r="A23" s="433" t="s">
        <v>263</v>
      </c>
      <c r="B23" s="260">
        <v>0.30792182</v>
      </c>
      <c r="C23" s="260">
        <v>0.0</v>
      </c>
      <c r="D23" s="260">
        <v>0.0031</v>
      </c>
      <c r="E23" s="260">
        <v>0.30482182</v>
      </c>
      <c r="F23" s="261">
        <f t="shared" si="1"/>
        <v>0.01006749051</v>
      </c>
      <c r="G23" s="355">
        <f t="shared" si="2"/>
        <v>0.9899325095</v>
      </c>
      <c r="H23" s="16" t="str">
        <f t="shared" si="3"/>
        <v>Low</v>
      </c>
      <c r="I23" s="520">
        <f t="shared" si="4"/>
        <v>0.3333333333</v>
      </c>
    </row>
    <row r="24">
      <c r="A24" s="433" t="s">
        <v>266</v>
      </c>
      <c r="B24" s="260">
        <v>20.9306928</v>
      </c>
      <c r="C24" s="260">
        <v>0.0</v>
      </c>
      <c r="D24" s="260">
        <v>7.29</v>
      </c>
      <c r="E24" s="260">
        <v>13.6406928</v>
      </c>
      <c r="F24" s="261">
        <f t="shared" si="1"/>
        <v>0.3482923413</v>
      </c>
      <c r="G24" s="355">
        <f t="shared" si="2"/>
        <v>0.6517076587</v>
      </c>
      <c r="H24" s="16" t="str">
        <f t="shared" si="3"/>
        <v>Medium</v>
      </c>
      <c r="I24" s="520">
        <f t="shared" si="4"/>
        <v>0.6666666667</v>
      </c>
    </row>
    <row r="25">
      <c r="A25" s="433" t="s">
        <v>385</v>
      </c>
      <c r="B25" s="260">
        <v>2.77867193</v>
      </c>
      <c r="C25" s="260">
        <v>0.0</v>
      </c>
      <c r="D25" s="260">
        <v>2.021</v>
      </c>
      <c r="E25" s="260">
        <v>0.75767193</v>
      </c>
      <c r="F25" s="261">
        <f t="shared" si="1"/>
        <v>0.7273258776</v>
      </c>
      <c r="G25" s="355">
        <f t="shared" si="2"/>
        <v>0.2726741224</v>
      </c>
      <c r="H25" s="16" t="str">
        <f t="shared" si="3"/>
        <v>High</v>
      </c>
      <c r="I25" s="520">
        <f t="shared" si="4"/>
        <v>1</v>
      </c>
    </row>
    <row r="26">
      <c r="A26" s="433" t="s">
        <v>386</v>
      </c>
      <c r="B26" s="260">
        <v>0.082458</v>
      </c>
      <c r="C26" s="260">
        <v>0.0</v>
      </c>
      <c r="D26" s="260">
        <v>0.002</v>
      </c>
      <c r="E26" s="260">
        <v>0.080458</v>
      </c>
      <c r="F26" s="261">
        <f t="shared" si="1"/>
        <v>0.02425477213</v>
      </c>
      <c r="G26" s="355">
        <f t="shared" si="2"/>
        <v>0.9757452279</v>
      </c>
      <c r="H26" s="16" t="str">
        <f t="shared" si="3"/>
        <v>Low</v>
      </c>
      <c r="I26" s="520">
        <f t="shared" si="4"/>
        <v>0.3333333333</v>
      </c>
    </row>
    <row r="27">
      <c r="A27" s="433" t="s">
        <v>280</v>
      </c>
      <c r="B27" s="260">
        <v>11.8325139</v>
      </c>
      <c r="C27" s="260">
        <v>0.0</v>
      </c>
      <c r="D27" s="260">
        <v>10.8841707</v>
      </c>
      <c r="E27" s="260">
        <v>0.9483432</v>
      </c>
      <c r="F27" s="261">
        <f t="shared" si="1"/>
        <v>0.9198527711</v>
      </c>
      <c r="G27" s="355">
        <f t="shared" si="2"/>
        <v>0.0801472289</v>
      </c>
      <c r="H27" s="16" t="str">
        <f t="shared" si="3"/>
        <v>High</v>
      </c>
      <c r="I27" s="520">
        <f t="shared" si="4"/>
        <v>1</v>
      </c>
    </row>
    <row r="28">
      <c r="A28" s="433" t="s">
        <v>392</v>
      </c>
      <c r="B28" s="260">
        <v>0.50122</v>
      </c>
      <c r="C28" s="260">
        <v>0.0</v>
      </c>
      <c r="D28" s="260">
        <v>0.50122</v>
      </c>
      <c r="E28" s="260">
        <v>0.0</v>
      </c>
      <c r="F28" s="261">
        <f t="shared" si="1"/>
        <v>1</v>
      </c>
      <c r="G28" s="355">
        <f t="shared" si="2"/>
        <v>0</v>
      </c>
      <c r="H28" s="16" t="str">
        <f t="shared" si="3"/>
        <v>High</v>
      </c>
      <c r="I28" s="520">
        <f t="shared" si="4"/>
        <v>1</v>
      </c>
    </row>
    <row r="29">
      <c r="A29" s="433" t="s">
        <v>394</v>
      </c>
      <c r="B29" s="260">
        <v>0.920232</v>
      </c>
      <c r="C29" s="260">
        <v>0.0</v>
      </c>
      <c r="D29" s="260">
        <v>0.534</v>
      </c>
      <c r="E29" s="260">
        <v>0.386232</v>
      </c>
      <c r="F29" s="261">
        <f t="shared" si="1"/>
        <v>0.580288449</v>
      </c>
      <c r="G29" s="355">
        <f t="shared" si="2"/>
        <v>0.419711551</v>
      </c>
      <c r="H29" s="16" t="str">
        <f t="shared" si="3"/>
        <v>Medium</v>
      </c>
      <c r="I29" s="520">
        <f t="shared" si="4"/>
        <v>0.6666666667</v>
      </c>
    </row>
    <row r="30">
      <c r="A30" s="433" t="s">
        <v>396</v>
      </c>
      <c r="B30" s="260">
        <v>32.0204876</v>
      </c>
      <c r="C30" s="260">
        <v>0.0</v>
      </c>
      <c r="D30" s="260">
        <v>0.008</v>
      </c>
      <c r="E30" s="260">
        <v>32.0124876</v>
      </c>
      <c r="F30" s="261">
        <f t="shared" si="1"/>
        <v>0.000249840043</v>
      </c>
      <c r="G30" s="355">
        <f t="shared" si="2"/>
        <v>0.99975016</v>
      </c>
      <c r="H30" s="16" t="str">
        <f t="shared" si="3"/>
        <v>Low</v>
      </c>
      <c r="I30" s="520">
        <f t="shared" si="4"/>
        <v>0.3333333333</v>
      </c>
    </row>
    <row r="31">
      <c r="A31" s="433" t="s">
        <v>336</v>
      </c>
      <c r="B31" s="260">
        <v>2.09312846</v>
      </c>
      <c r="C31" s="260">
        <v>0.0</v>
      </c>
      <c r="D31" s="260">
        <v>0.74347</v>
      </c>
      <c r="E31" s="260">
        <v>1.34965846</v>
      </c>
      <c r="F31" s="261">
        <f t="shared" si="1"/>
        <v>0.3551955908</v>
      </c>
      <c r="G31" s="355">
        <f t="shared" si="2"/>
        <v>0.6448044092</v>
      </c>
      <c r="H31" s="16" t="str">
        <f t="shared" si="3"/>
        <v>Medium</v>
      </c>
      <c r="I31" s="520">
        <f t="shared" si="4"/>
        <v>0.6666666667</v>
      </c>
    </row>
    <row r="32">
      <c r="A32" s="433" t="s">
        <v>343</v>
      </c>
      <c r="B32" s="260">
        <v>1.42446235</v>
      </c>
      <c r="C32" s="260">
        <v>0.0</v>
      </c>
      <c r="D32" s="260">
        <v>1.22443035</v>
      </c>
      <c r="E32" s="260">
        <v>0.200032</v>
      </c>
      <c r="F32" s="261">
        <f t="shared" si="1"/>
        <v>0.8595736841</v>
      </c>
      <c r="G32" s="355">
        <f t="shared" si="2"/>
        <v>0.1404263159</v>
      </c>
      <c r="H32" s="16" t="str">
        <f t="shared" si="3"/>
        <v>High</v>
      </c>
      <c r="I32" s="520">
        <f t="shared" si="4"/>
        <v>1</v>
      </c>
    </row>
    <row r="33">
      <c r="A33" s="433" t="s">
        <v>399</v>
      </c>
      <c r="B33" s="260">
        <v>3.38822062</v>
      </c>
      <c r="C33" s="260">
        <v>0.0</v>
      </c>
      <c r="D33" s="260">
        <v>1.093</v>
      </c>
      <c r="E33" s="260">
        <v>2.29522062</v>
      </c>
      <c r="F33" s="261">
        <f t="shared" si="1"/>
        <v>0.3225882027</v>
      </c>
      <c r="G33" s="355">
        <f t="shared" si="2"/>
        <v>0.6774117973</v>
      </c>
      <c r="H33" s="16" t="str">
        <f t="shared" si="3"/>
        <v>Low</v>
      </c>
      <c r="I33" s="520">
        <f t="shared" si="4"/>
        <v>0.3333333333</v>
      </c>
    </row>
    <row r="34">
      <c r="A34" s="433" t="s">
        <v>401</v>
      </c>
      <c r="B34" s="260">
        <v>1.87585522</v>
      </c>
      <c r="C34" s="260">
        <v>0.0</v>
      </c>
      <c r="D34" s="260">
        <v>0.49891277</v>
      </c>
      <c r="E34" s="260">
        <v>1.37694245</v>
      </c>
      <c r="F34" s="261">
        <f t="shared" si="1"/>
        <v>0.2659654992</v>
      </c>
      <c r="G34" s="355">
        <f t="shared" si="2"/>
        <v>0.7340345008</v>
      </c>
      <c r="H34" s="16" t="str">
        <f t="shared" si="3"/>
        <v>Low</v>
      </c>
      <c r="I34" s="520">
        <f t="shared" si="4"/>
        <v>0.3333333333</v>
      </c>
    </row>
    <row r="35">
      <c r="A35" s="433" t="s">
        <v>354</v>
      </c>
      <c r="B35" s="260">
        <v>2.88561067</v>
      </c>
      <c r="C35" s="260">
        <v>0.0</v>
      </c>
      <c r="D35" s="260">
        <v>0.69025947</v>
      </c>
      <c r="E35" s="260">
        <v>2.1953512</v>
      </c>
      <c r="F35" s="261">
        <f t="shared" si="1"/>
        <v>0.2392074153</v>
      </c>
      <c r="G35" s="355">
        <f t="shared" si="2"/>
        <v>0.7607925847</v>
      </c>
      <c r="H35" s="16" t="str">
        <f t="shared" si="3"/>
        <v>Low</v>
      </c>
      <c r="I35" s="520">
        <f t="shared" si="4"/>
        <v>0.3333333333</v>
      </c>
    </row>
    <row r="36">
      <c r="A36" s="433" t="s">
        <v>290</v>
      </c>
      <c r="B36" s="260">
        <v>41.150914</v>
      </c>
      <c r="C36" s="260">
        <v>0.0</v>
      </c>
      <c r="D36" s="260">
        <v>8.180652</v>
      </c>
      <c r="E36" s="260">
        <v>33.120262</v>
      </c>
      <c r="F36" s="261">
        <f t="shared" si="1"/>
        <v>0.1987963621</v>
      </c>
      <c r="G36" s="355">
        <f t="shared" si="2"/>
        <v>0.8048487574</v>
      </c>
      <c r="H36" s="16" t="str">
        <f t="shared" si="3"/>
        <v>Low</v>
      </c>
      <c r="I36" s="520">
        <f t="shared" si="4"/>
        <v>0.3333333333</v>
      </c>
    </row>
    <row r="37">
      <c r="A37" s="433" t="s">
        <v>291</v>
      </c>
      <c r="B37" s="260">
        <v>19.9077446</v>
      </c>
      <c r="C37" s="260">
        <v>0.0</v>
      </c>
      <c r="D37" s="260">
        <v>16.19</v>
      </c>
      <c r="E37" s="260">
        <v>3.71774462</v>
      </c>
      <c r="F37" s="261">
        <f t="shared" si="1"/>
        <v>0.8132513414</v>
      </c>
      <c r="G37" s="355">
        <f t="shared" si="2"/>
        <v>0.1867486596</v>
      </c>
      <c r="H37" s="16" t="str">
        <f t="shared" si="3"/>
        <v>High</v>
      </c>
      <c r="I37" s="520">
        <f t="shared" si="4"/>
        <v>1</v>
      </c>
    </row>
    <row r="38">
      <c r="A38" s="433" t="s">
        <v>296</v>
      </c>
      <c r="B38" s="260">
        <v>1.56716</v>
      </c>
      <c r="C38" s="260">
        <v>0.0</v>
      </c>
      <c r="D38" s="260">
        <v>1.498</v>
      </c>
      <c r="E38" s="260">
        <v>0.06916</v>
      </c>
      <c r="F38" s="261">
        <f t="shared" si="1"/>
        <v>0.9558692157</v>
      </c>
      <c r="G38" s="355">
        <f t="shared" si="2"/>
        <v>0.04413078435</v>
      </c>
      <c r="H38" s="16" t="str">
        <f t="shared" si="3"/>
        <v>High</v>
      </c>
      <c r="I38" s="520">
        <f t="shared" si="4"/>
        <v>1</v>
      </c>
    </row>
    <row r="39">
      <c r="A39" s="433" t="s">
        <v>407</v>
      </c>
      <c r="B39" s="260">
        <v>0.450852</v>
      </c>
      <c r="C39" s="260">
        <v>0.0</v>
      </c>
      <c r="D39" s="260">
        <v>0.046</v>
      </c>
      <c r="E39" s="260">
        <v>0.404852</v>
      </c>
      <c r="F39" s="261">
        <f t="shared" si="1"/>
        <v>0.1020290472</v>
      </c>
      <c r="G39" s="355">
        <f t="shared" si="2"/>
        <v>0.8979709528</v>
      </c>
      <c r="H39" s="16" t="str">
        <f t="shared" si="3"/>
        <v>Low</v>
      </c>
      <c r="I39" s="520">
        <f t="shared" si="4"/>
        <v>0.3333333333</v>
      </c>
    </row>
    <row r="40">
      <c r="A40" s="433" t="s">
        <v>299</v>
      </c>
      <c r="B40" s="260">
        <v>31.4578782</v>
      </c>
      <c r="C40" s="260">
        <v>0.0</v>
      </c>
      <c r="D40" s="260">
        <v>8.066</v>
      </c>
      <c r="E40" s="260">
        <v>23.3918782</v>
      </c>
      <c r="F40" s="261">
        <f t="shared" si="1"/>
        <v>0.2564063586</v>
      </c>
      <c r="G40" s="355">
        <f t="shared" si="2"/>
        <v>0.7435936414</v>
      </c>
      <c r="H40" s="16" t="str">
        <f t="shared" si="3"/>
        <v>Low</v>
      </c>
      <c r="I40" s="520">
        <f t="shared" si="4"/>
        <v>0.3333333333</v>
      </c>
    </row>
    <row r="41">
      <c r="A41" s="433" t="s">
        <v>302</v>
      </c>
      <c r="B41" s="260">
        <v>0.8546512</v>
      </c>
      <c r="C41" s="260">
        <v>0.0</v>
      </c>
      <c r="D41" s="260">
        <v>0.508</v>
      </c>
      <c r="E41" s="260">
        <v>0.3466512</v>
      </c>
      <c r="F41" s="261">
        <f t="shared" si="1"/>
        <v>0.5943945319</v>
      </c>
      <c r="G41" s="355">
        <f t="shared" si="2"/>
        <v>0.4056054681</v>
      </c>
      <c r="H41" s="16" t="str">
        <f t="shared" si="3"/>
        <v>Medium</v>
      </c>
      <c r="I41" s="520">
        <f t="shared" si="4"/>
        <v>0.6666666667</v>
      </c>
    </row>
    <row r="42">
      <c r="A42" s="433" t="s">
        <v>410</v>
      </c>
      <c r="B42" s="260">
        <v>0.1005464</v>
      </c>
      <c r="C42" s="260">
        <v>0.0</v>
      </c>
      <c r="D42" s="260">
        <v>0.01</v>
      </c>
      <c r="E42" s="260">
        <v>0.0905464</v>
      </c>
      <c r="F42" s="261">
        <f t="shared" si="1"/>
        <v>0.09945656931</v>
      </c>
      <c r="G42" s="355">
        <f t="shared" si="2"/>
        <v>0.9005434307</v>
      </c>
      <c r="H42" s="16" t="str">
        <f t="shared" si="3"/>
        <v>Low</v>
      </c>
      <c r="I42" s="520">
        <f t="shared" si="4"/>
        <v>0.3333333333</v>
      </c>
    </row>
    <row r="43">
      <c r="A43" s="433" t="s">
        <v>411</v>
      </c>
      <c r="B43" s="260">
        <v>5.61570853</v>
      </c>
      <c r="C43" s="260">
        <v>0.0</v>
      </c>
      <c r="D43" s="260">
        <v>1.13637229</v>
      </c>
      <c r="E43" s="260">
        <v>4.47933623</v>
      </c>
      <c r="F43" s="261">
        <f t="shared" si="1"/>
        <v>0.2023559955</v>
      </c>
      <c r="G43" s="355">
        <f t="shared" si="2"/>
        <v>0.7976440027</v>
      </c>
      <c r="H43" s="16" t="str">
        <f t="shared" si="3"/>
        <v>Low</v>
      </c>
      <c r="I43" s="520">
        <f t="shared" si="4"/>
        <v>0.3333333333</v>
      </c>
    </row>
    <row r="44">
      <c r="A44" s="433" t="s">
        <v>309</v>
      </c>
      <c r="B44" s="260">
        <v>0.6431768</v>
      </c>
      <c r="C44" s="260">
        <v>0.0</v>
      </c>
      <c r="D44" s="260">
        <v>0.07798</v>
      </c>
      <c r="E44" s="260">
        <v>0.5651968</v>
      </c>
      <c r="F44" s="261">
        <f t="shared" si="1"/>
        <v>0.1212419353</v>
      </c>
      <c r="G44" s="355">
        <f t="shared" si="2"/>
        <v>0.8787580647</v>
      </c>
      <c r="H44" s="16" t="str">
        <f t="shared" si="3"/>
        <v>Low</v>
      </c>
      <c r="I44" s="520">
        <f t="shared" si="4"/>
        <v>0.3333333333</v>
      </c>
    </row>
    <row r="45">
      <c r="A45" s="433" t="s">
        <v>412</v>
      </c>
      <c r="B45" s="260">
        <v>0.20788973</v>
      </c>
      <c r="C45" s="260">
        <v>0.0</v>
      </c>
      <c r="D45" s="260">
        <v>0.189942</v>
      </c>
      <c r="E45" s="260">
        <v>0.01794773</v>
      </c>
      <c r="F45" s="261">
        <f t="shared" si="1"/>
        <v>0.9136670676</v>
      </c>
      <c r="G45" s="355">
        <f t="shared" si="2"/>
        <v>0.08633293237</v>
      </c>
      <c r="H45" s="16" t="str">
        <f t="shared" si="3"/>
        <v>High</v>
      </c>
      <c r="I45" s="520">
        <f t="shared" si="4"/>
        <v>1</v>
      </c>
    </row>
    <row r="46">
      <c r="A46" s="433" t="s">
        <v>415</v>
      </c>
      <c r="B46" s="260">
        <v>0.40788</v>
      </c>
      <c r="C46" s="260">
        <v>0.0</v>
      </c>
      <c r="D46" s="260">
        <v>0.03548</v>
      </c>
      <c r="E46" s="260">
        <v>0.3724</v>
      </c>
      <c r="F46" s="261">
        <f t="shared" si="1"/>
        <v>0.08698636854</v>
      </c>
      <c r="G46" s="355">
        <f t="shared" si="2"/>
        <v>0.9130136315</v>
      </c>
      <c r="H46" s="16" t="str">
        <f t="shared" si="3"/>
        <v>Low</v>
      </c>
      <c r="I46" s="520">
        <f t="shared" si="4"/>
        <v>0.3333333333</v>
      </c>
    </row>
    <row r="47">
      <c r="A47" s="433" t="s">
        <v>313</v>
      </c>
      <c r="B47" s="260">
        <v>221.499545</v>
      </c>
      <c r="C47" s="260">
        <v>12.153</v>
      </c>
      <c r="D47" s="260">
        <v>16.832325</v>
      </c>
      <c r="E47" s="260">
        <v>194.21422</v>
      </c>
      <c r="F47" s="261">
        <f t="shared" si="1"/>
        <v>0.1308595239</v>
      </c>
      <c r="G47" s="355">
        <f t="shared" si="2"/>
        <v>0.8768154354</v>
      </c>
      <c r="H47" s="16" t="str">
        <f t="shared" si="3"/>
        <v>Low</v>
      </c>
      <c r="I47" s="520">
        <f t="shared" si="4"/>
        <v>0.3333333333</v>
      </c>
    </row>
    <row r="48">
      <c r="A48" s="433" t="s">
        <v>416</v>
      </c>
      <c r="B48" s="260">
        <v>0.56932352</v>
      </c>
      <c r="C48" s="260">
        <v>0.0</v>
      </c>
      <c r="D48" s="260">
        <v>0.01</v>
      </c>
      <c r="E48" s="260">
        <v>0.55932352</v>
      </c>
      <c r="F48" s="261">
        <f t="shared" si="1"/>
        <v>0.01756470556</v>
      </c>
      <c r="G48" s="355">
        <f t="shared" si="2"/>
        <v>0.9824352944</v>
      </c>
      <c r="H48" s="16" t="str">
        <f t="shared" si="3"/>
        <v>Low</v>
      </c>
      <c r="I48" s="520">
        <f t="shared" si="4"/>
        <v>0.3333333333</v>
      </c>
    </row>
    <row r="49">
      <c r="A49" s="433" t="s">
        <v>417</v>
      </c>
      <c r="B49" s="260">
        <v>16.5954245</v>
      </c>
      <c r="C49" s="260">
        <v>0.0</v>
      </c>
      <c r="D49" s="260">
        <v>10.1389888</v>
      </c>
      <c r="E49" s="260">
        <v>6.45643567</v>
      </c>
      <c r="F49" s="261">
        <f t="shared" si="1"/>
        <v>0.6109508558</v>
      </c>
      <c r="G49" s="355">
        <f t="shared" si="2"/>
        <v>0.3890491424</v>
      </c>
      <c r="H49" s="16" t="str">
        <f t="shared" si="3"/>
        <v>Medium</v>
      </c>
      <c r="I49" s="520">
        <f t="shared" si="4"/>
        <v>0.6666666667</v>
      </c>
    </row>
    <row r="50">
      <c r="A50" s="433" t="s">
        <v>418</v>
      </c>
      <c r="B50" s="260">
        <v>8.16869051</v>
      </c>
      <c r="C50" s="260">
        <v>0.0</v>
      </c>
      <c r="D50" s="260">
        <v>3.206</v>
      </c>
      <c r="E50" s="260">
        <v>4.96269051</v>
      </c>
      <c r="F50" s="261">
        <f t="shared" si="1"/>
        <v>0.3924741666</v>
      </c>
      <c r="G50" s="355">
        <f t="shared" si="2"/>
        <v>0.6075258334</v>
      </c>
      <c r="H50" s="16" t="str">
        <f t="shared" si="3"/>
        <v>Medium</v>
      </c>
      <c r="I50" s="520">
        <f t="shared" si="4"/>
        <v>0.6666666667</v>
      </c>
    </row>
    <row r="51">
      <c r="A51" s="433" t="s">
        <v>398</v>
      </c>
      <c r="B51" s="260">
        <v>0.62506505</v>
      </c>
      <c r="C51" s="260">
        <v>0.0</v>
      </c>
      <c r="D51" s="260">
        <v>0.1683</v>
      </c>
      <c r="E51" s="260">
        <v>0.45676505</v>
      </c>
      <c r="F51" s="261">
        <f t="shared" si="1"/>
        <v>0.2692519763</v>
      </c>
      <c r="G51" s="355">
        <f t="shared" si="2"/>
        <v>0.7307480237</v>
      </c>
      <c r="H51" s="16" t="str">
        <f t="shared" si="3"/>
        <v>Low</v>
      </c>
      <c r="I51" s="520">
        <f t="shared" si="4"/>
        <v>0.3333333333</v>
      </c>
    </row>
    <row r="52">
      <c r="A52" s="433" t="s">
        <v>318</v>
      </c>
      <c r="B52" s="260">
        <v>20.923474</v>
      </c>
      <c r="C52" s="260">
        <v>0.0</v>
      </c>
      <c r="D52" s="260">
        <v>0.99484349</v>
      </c>
      <c r="E52" s="260">
        <v>19.9286305</v>
      </c>
      <c r="F52" s="261">
        <f t="shared" si="1"/>
        <v>0.04754676446</v>
      </c>
      <c r="G52" s="355">
        <f t="shared" si="2"/>
        <v>0.9524532351</v>
      </c>
      <c r="H52" s="16" t="str">
        <f t="shared" si="3"/>
        <v>Low</v>
      </c>
      <c r="I52" s="520">
        <f t="shared" si="4"/>
        <v>0.3333333333</v>
      </c>
    </row>
    <row r="53">
      <c r="A53" s="433" t="s">
        <v>405</v>
      </c>
      <c r="B53" s="260">
        <v>4.40101286</v>
      </c>
      <c r="C53" s="260">
        <v>0.0</v>
      </c>
      <c r="D53" s="260">
        <v>4.33833824</v>
      </c>
      <c r="E53" s="260">
        <v>0.06267462</v>
      </c>
      <c r="F53" s="261">
        <f t="shared" si="1"/>
        <v>0.9857590464</v>
      </c>
      <c r="G53" s="355">
        <f t="shared" si="2"/>
        <v>0.01424095362</v>
      </c>
      <c r="H53" s="16" t="str">
        <f t="shared" si="3"/>
        <v>High</v>
      </c>
      <c r="I53" s="520">
        <f t="shared" si="4"/>
        <v>1</v>
      </c>
    </row>
    <row r="54">
      <c r="A54" s="433" t="s">
        <v>408</v>
      </c>
      <c r="B54" s="260">
        <v>17.714251</v>
      </c>
      <c r="C54" s="260">
        <v>0.0</v>
      </c>
      <c r="D54" s="260">
        <v>16.298988</v>
      </c>
      <c r="E54" s="260">
        <v>1.415263</v>
      </c>
      <c r="F54" s="261">
        <f t="shared" si="1"/>
        <v>0.9201059644</v>
      </c>
      <c r="G54" s="355">
        <f t="shared" si="2"/>
        <v>0.0798940356</v>
      </c>
      <c r="H54" s="16" t="str">
        <f t="shared" si="3"/>
        <v>High</v>
      </c>
      <c r="I54" s="520">
        <f t="shared" si="4"/>
        <v>1</v>
      </c>
    </row>
    <row r="55">
      <c r="A55" s="444" t="s">
        <v>320</v>
      </c>
      <c r="B55" s="343">
        <v>8.03089399</v>
      </c>
      <c r="C55" s="343">
        <v>0.0</v>
      </c>
      <c r="D55" s="343">
        <v>4.14126897</v>
      </c>
      <c r="E55" s="343">
        <v>3.88962502</v>
      </c>
      <c r="F55" s="345">
        <f t="shared" si="1"/>
        <v>0.5156672439</v>
      </c>
      <c r="G55" s="593">
        <f t="shared" si="2"/>
        <v>0.4843327561</v>
      </c>
      <c r="H55" s="594" t="str">
        <f t="shared" si="3"/>
        <v>Medium</v>
      </c>
      <c r="I55" s="571">
        <f t="shared" si="4"/>
        <v>0.6666666667</v>
      </c>
    </row>
    <row r="56">
      <c r="A56" s="433"/>
      <c r="B56" s="595"/>
      <c r="C56" s="595"/>
      <c r="D56" s="595"/>
      <c r="E56" s="595"/>
      <c r="F56" s="261"/>
      <c r="G56" s="261"/>
      <c r="H56" s="16"/>
    </row>
    <row r="57">
      <c r="A57" s="433"/>
      <c r="C57" s="596" t="s">
        <v>630</v>
      </c>
      <c r="D57" s="62"/>
      <c r="E57" s="597" t="s">
        <v>421</v>
      </c>
      <c r="F57" s="261"/>
      <c r="G57" s="261"/>
    </row>
    <row r="58">
      <c r="A58" s="433"/>
      <c r="C58" s="598" t="s">
        <v>422</v>
      </c>
      <c r="D58" s="599">
        <f>max(F2:F55)</f>
        <v>1</v>
      </c>
      <c r="E58" s="600" t="s">
        <v>392</v>
      </c>
      <c r="F58" s="261"/>
      <c r="G58" s="261"/>
    </row>
    <row r="59">
      <c r="A59" s="433"/>
      <c r="C59" s="598" t="s">
        <v>423</v>
      </c>
      <c r="D59" s="599">
        <f>min(F2:F55)</f>
        <v>0</v>
      </c>
      <c r="E59" s="601" t="s">
        <v>329</v>
      </c>
      <c r="F59" s="261"/>
      <c r="G59" s="261"/>
    </row>
    <row r="60">
      <c r="A60" s="433"/>
      <c r="C60" s="598" t="s">
        <v>424</v>
      </c>
      <c r="D60" s="545">
        <f>AVERAGE(F2:F55)</f>
        <v>0.3947701304</v>
      </c>
      <c r="E60" s="595"/>
      <c r="F60" s="261"/>
      <c r="G60" s="261"/>
    </row>
    <row r="61">
      <c r="A61" s="433"/>
      <c r="C61" s="598" t="s">
        <v>425</v>
      </c>
      <c r="D61" s="545">
        <f>median(F2:F55)</f>
        <v>0.2853695459</v>
      </c>
      <c r="E61" s="595"/>
      <c r="F61" s="261"/>
      <c r="G61" s="261"/>
    </row>
    <row r="62">
      <c r="A62" s="433"/>
      <c r="C62" s="602" t="s">
        <v>446</v>
      </c>
      <c r="D62" s="546">
        <f>stdev(F2:F55)</f>
        <v>0.3455590153</v>
      </c>
      <c r="E62" s="595"/>
      <c r="F62" s="261"/>
      <c r="G62" s="261"/>
    </row>
    <row r="63">
      <c r="A63" s="433"/>
      <c r="B63" s="595"/>
      <c r="C63" s="595"/>
      <c r="D63" s="595"/>
      <c r="E63" s="595"/>
      <c r="F63" s="261"/>
      <c r="G63" s="261"/>
      <c r="H63" s="16"/>
    </row>
    <row r="64">
      <c r="A64" s="433"/>
      <c r="B64" s="595"/>
      <c r="C64" s="603" t="s">
        <v>325</v>
      </c>
    </row>
    <row r="65">
      <c r="A65" s="433"/>
      <c r="B65" s="604"/>
      <c r="C65" s="605" t="str">
        <f t="array" ref="C65:C82">{"INDICATOR INFORMATION";
  "Index Category: "&amp;CHAR(10)&amp;
  "EV Impact Index - Measures broader benefits of EV adoption";
  "";
  "Sub-Category: "&amp;CHAR(10)&amp;
  "Climate";
  "";
  "Indicator Name: "&amp;CHAR(10)&amp;
  "Electricity Generated from Clean Energy";
  "";
  "Description: "&amp;CHAR(10)&amp;
  "Measures the percentage of total electricity generation from clean energy sources (nuclear and renewables) across African countries";
  "";
  "Calculation Method: "&amp;CHAR(10)&amp;
  "Clean Energy % = (Nuclear + Renewables Generation) ÷ Total Electricity Generation × 100";
  "";
  "Scoring Categories: "&amp;CHAR(10)&amp;
  "• Low (&lt;33.33%) = Low Impact (1/3)"&amp;CHAR(10)&amp;
  "• Medium (33.33-66.67%) = Medium Impact (2/3)"&amp;CHAR(10)&amp;
  "• High (&gt;66.67%) = High Impact (3/3)";
  "";
  "Summary Statistics: "&amp;CHAR(10)&amp;
  "• Maximum: 100.0% (Lesotho)"&amp;CHAR(10)&amp;
  "• Minimum: 0.0% (Botswana)"&amp;CHAR(10)&amp;
  "• Average: 39.5%"&amp;CHAR(10)&amp;
  "• Median: 28.5%"&amp;CHAR(10)&amp;
  "• Standard Deviation: 34.6%";
  "";
  "Scoring Rationale: "&amp;CHAR(10)&amp;
  "• Equal thirds distribution chosen over global benchmarks"&amp;CHAR(10)&amp;
  "• Global benchmarks (2021 IRENA data):"&amp;CHAR(10)&amp;
  "  - 33rd percentile: 12.67%"&amp;CHAR(10)&amp;
  "  - 66th percentile: 42.51%";
  "";
  "Data Source: "&amp;CHAR(10)&amp;
  "• U.S. Energy Information Administration (EIA)"}</f>
        <v>INDICATOR INFORMATION</v>
      </c>
      <c r="D65" s="606"/>
      <c r="E65" s="606"/>
      <c r="F65" s="607"/>
      <c r="G65" s="607"/>
      <c r="H65" s="608"/>
      <c r="I65" s="552"/>
      <c r="J65" s="432"/>
      <c r="K65" s="432"/>
    </row>
    <row r="66">
      <c r="A66" s="433"/>
      <c r="B66" s="604"/>
      <c r="C66" s="609" t="s">
        <v>631</v>
      </c>
      <c r="D66" s="595"/>
      <c r="E66" s="595"/>
      <c r="F66" s="261"/>
      <c r="G66" s="261"/>
      <c r="H66" s="16"/>
      <c r="I66" s="275"/>
    </row>
    <row r="67">
      <c r="A67" s="433"/>
      <c r="B67" s="604"/>
      <c r="C67" s="609" t="s">
        <v>126</v>
      </c>
      <c r="D67" s="595"/>
      <c r="E67" s="595"/>
      <c r="F67" s="261"/>
      <c r="G67" s="261"/>
      <c r="H67" s="16"/>
      <c r="I67" s="275"/>
    </row>
    <row r="68">
      <c r="A68" s="433"/>
      <c r="B68" s="604"/>
      <c r="C68" s="609" t="s">
        <v>632</v>
      </c>
      <c r="D68" s="595"/>
      <c r="E68" s="595"/>
      <c r="F68" s="261"/>
      <c r="G68" s="261"/>
      <c r="H68" s="16"/>
      <c r="I68" s="275"/>
    </row>
    <row r="69">
      <c r="A69" s="433"/>
      <c r="B69" s="604"/>
      <c r="C69" s="609" t="s">
        <v>126</v>
      </c>
      <c r="D69" s="595"/>
      <c r="E69" s="595"/>
      <c r="F69" s="261"/>
      <c r="G69" s="261"/>
      <c r="H69" s="16"/>
      <c r="I69" s="275"/>
    </row>
    <row r="70">
      <c r="A70" s="433"/>
      <c r="B70" s="604"/>
      <c r="C70" s="609" t="s">
        <v>633</v>
      </c>
      <c r="D70" s="595"/>
      <c r="E70" s="595"/>
      <c r="F70" s="261"/>
      <c r="G70" s="261"/>
      <c r="H70" s="16"/>
      <c r="I70" s="275"/>
    </row>
    <row r="71">
      <c r="A71" s="433"/>
      <c r="B71" s="604"/>
      <c r="C71" s="609" t="s">
        <v>126</v>
      </c>
      <c r="D71" s="595"/>
      <c r="E71" s="595"/>
      <c r="F71" s="261"/>
      <c r="G71" s="261"/>
      <c r="H71" s="16"/>
      <c r="I71" s="275"/>
    </row>
    <row r="72">
      <c r="A72" s="433"/>
      <c r="B72" s="604"/>
      <c r="C72" s="609" t="s">
        <v>634</v>
      </c>
      <c r="D72" s="595"/>
      <c r="E72" s="595"/>
      <c r="F72" s="261"/>
      <c r="G72" s="261"/>
      <c r="H72" s="16"/>
      <c r="I72" s="275"/>
    </row>
    <row r="73">
      <c r="A73" s="433"/>
      <c r="B73" s="604"/>
      <c r="C73" s="609" t="s">
        <v>126</v>
      </c>
      <c r="D73" s="595"/>
      <c r="E73" s="595"/>
      <c r="F73" s="261"/>
      <c r="G73" s="261"/>
      <c r="H73" s="16"/>
      <c r="I73" s="275"/>
    </row>
    <row r="74">
      <c r="A74" s="433"/>
      <c r="B74" s="604"/>
      <c r="C74" s="609" t="s">
        <v>635</v>
      </c>
      <c r="D74" s="595"/>
      <c r="E74" s="595"/>
      <c r="F74" s="261"/>
      <c r="G74" s="261"/>
      <c r="H74" s="16"/>
      <c r="I74" s="275"/>
    </row>
    <row r="75">
      <c r="A75" s="433"/>
      <c r="B75" s="604"/>
      <c r="C75" s="609" t="s">
        <v>126</v>
      </c>
      <c r="D75" s="595"/>
      <c r="E75" s="595"/>
      <c r="F75" s="261"/>
      <c r="G75" s="261"/>
      <c r="H75" s="16"/>
      <c r="I75" s="275"/>
    </row>
    <row r="76">
      <c r="A76" s="433"/>
      <c r="B76" s="604"/>
      <c r="C76" s="609" t="s">
        <v>636</v>
      </c>
      <c r="D76" s="595"/>
      <c r="E76" s="595"/>
      <c r="F76" s="261"/>
      <c r="G76" s="261"/>
      <c r="H76" s="16"/>
      <c r="I76" s="275"/>
    </row>
    <row r="77">
      <c r="A77" s="433"/>
      <c r="B77" s="604"/>
      <c r="C77" s="609" t="s">
        <v>126</v>
      </c>
      <c r="D77" s="595"/>
      <c r="E77" s="595"/>
      <c r="F77" s="261"/>
      <c r="G77" s="261"/>
      <c r="H77" s="16"/>
      <c r="I77" s="275"/>
    </row>
    <row r="78">
      <c r="A78" s="433"/>
      <c r="B78" s="604"/>
      <c r="C78" s="609" t="s">
        <v>637</v>
      </c>
      <c r="D78" s="595"/>
      <c r="E78" s="595"/>
      <c r="F78" s="261"/>
      <c r="G78" s="261"/>
      <c r="H78" s="16"/>
      <c r="I78" s="275"/>
    </row>
    <row r="79">
      <c r="A79" s="433"/>
      <c r="B79" s="604"/>
      <c r="C79" s="609" t="s">
        <v>126</v>
      </c>
      <c r="D79" s="595"/>
      <c r="E79" s="595"/>
      <c r="F79" s="261"/>
      <c r="G79" s="261"/>
      <c r="H79" s="16"/>
      <c r="I79" s="275"/>
    </row>
    <row r="80">
      <c r="A80" s="433"/>
      <c r="B80" s="604"/>
      <c r="C80" s="609" t="s">
        <v>638</v>
      </c>
      <c r="D80" s="595"/>
      <c r="E80" s="595"/>
      <c r="F80" s="261"/>
      <c r="G80" s="261"/>
      <c r="H80" s="16"/>
      <c r="I80" s="275"/>
    </row>
    <row r="81">
      <c r="A81" s="433"/>
      <c r="B81" s="604"/>
      <c r="C81" s="609" t="s">
        <v>126</v>
      </c>
      <c r="D81" s="595"/>
      <c r="E81" s="595"/>
      <c r="F81" s="261"/>
      <c r="G81" s="261"/>
      <c r="H81" s="16"/>
      <c r="I81" s="275"/>
    </row>
    <row r="82">
      <c r="A82" s="433"/>
      <c r="B82" s="604"/>
      <c r="C82" s="609" t="s">
        <v>639</v>
      </c>
      <c r="D82" s="595"/>
      <c r="E82" s="595"/>
      <c r="F82" s="261"/>
      <c r="G82" s="261"/>
      <c r="H82" s="16"/>
      <c r="I82" s="275"/>
    </row>
    <row r="83">
      <c r="A83" s="433"/>
      <c r="B83" s="604"/>
      <c r="C83" s="610"/>
      <c r="D83" s="611"/>
      <c r="E83" s="611"/>
      <c r="F83" s="612"/>
      <c r="G83" s="612"/>
      <c r="H83" s="613"/>
      <c r="I83" s="275"/>
    </row>
    <row r="84">
      <c r="A84" s="433"/>
      <c r="B84" s="604"/>
      <c r="C84" s="604"/>
      <c r="D84" s="595"/>
      <c r="E84" s="595"/>
      <c r="F84" s="261"/>
      <c r="G84" s="261"/>
      <c r="H84" s="16"/>
    </row>
    <row r="85">
      <c r="A85" s="433"/>
      <c r="B85" s="595"/>
      <c r="C85" s="595"/>
      <c r="D85" s="595"/>
      <c r="E85" s="595"/>
      <c r="F85" s="261"/>
      <c r="G85" s="261"/>
      <c r="H85" s="16"/>
    </row>
    <row r="86">
      <c r="A86" s="433"/>
      <c r="B86" s="595"/>
      <c r="C86" s="595"/>
      <c r="D86" s="595"/>
      <c r="E86" s="595"/>
      <c r="F86" s="261"/>
      <c r="G86" s="261"/>
      <c r="H86" s="16"/>
    </row>
    <row r="87">
      <c r="A87" s="433"/>
      <c r="B87" s="595"/>
      <c r="C87" s="595"/>
      <c r="D87" s="595"/>
      <c r="E87" s="595"/>
      <c r="F87" s="261"/>
      <c r="G87" s="261"/>
      <c r="H87" s="16"/>
    </row>
    <row r="88">
      <c r="A88" s="433"/>
      <c r="B88" s="595"/>
      <c r="C88" s="595"/>
      <c r="D88" s="595"/>
      <c r="E88" s="595"/>
      <c r="F88" s="261"/>
      <c r="G88" s="261"/>
      <c r="H88" s="16"/>
    </row>
    <row r="89">
      <c r="A89" s="433"/>
      <c r="B89" s="595"/>
      <c r="C89" s="595"/>
      <c r="D89" s="595"/>
      <c r="E89" s="595"/>
      <c r="F89" s="261"/>
      <c r="G89" s="261"/>
      <c r="H89" s="16"/>
    </row>
    <row r="90">
      <c r="A90" s="433"/>
      <c r="B90" s="595"/>
      <c r="C90" s="595"/>
      <c r="D90" s="595"/>
      <c r="E90" s="595"/>
      <c r="F90" s="261"/>
      <c r="G90" s="261"/>
      <c r="H90" s="16"/>
    </row>
    <row r="91">
      <c r="A91" s="433"/>
      <c r="B91" s="595"/>
      <c r="C91" s="595"/>
      <c r="D91" s="595"/>
      <c r="E91" s="595"/>
      <c r="F91" s="261"/>
      <c r="G91" s="261"/>
      <c r="H91" s="16"/>
    </row>
    <row r="92">
      <c r="A92" s="433"/>
      <c r="B92" s="595"/>
      <c r="C92" s="595"/>
      <c r="D92" s="595"/>
      <c r="E92" s="595"/>
      <c r="F92" s="261"/>
      <c r="G92" s="261"/>
      <c r="H92" s="16"/>
    </row>
    <row r="93">
      <c r="A93" s="433"/>
      <c r="B93" s="595"/>
      <c r="C93" s="595"/>
      <c r="D93" s="595"/>
      <c r="E93" s="595"/>
      <c r="F93" s="261"/>
      <c r="G93" s="261"/>
      <c r="H93" s="16"/>
    </row>
    <row r="94">
      <c r="A94" s="433"/>
      <c r="B94" s="595"/>
      <c r="C94" s="595"/>
      <c r="D94" s="595"/>
      <c r="E94" s="595"/>
      <c r="F94" s="261"/>
      <c r="G94" s="261"/>
      <c r="H94" s="16"/>
    </row>
    <row r="95">
      <c r="A95" s="433"/>
      <c r="B95" s="595"/>
      <c r="C95" s="595"/>
      <c r="D95" s="595"/>
      <c r="E95" s="595"/>
      <c r="F95" s="261"/>
      <c r="G95" s="261"/>
      <c r="H95" s="16"/>
    </row>
    <row r="96">
      <c r="A96" s="433"/>
      <c r="B96" s="595"/>
      <c r="C96" s="595"/>
      <c r="D96" s="595"/>
      <c r="E96" s="595"/>
      <c r="F96" s="261"/>
      <c r="G96" s="261"/>
      <c r="H96" s="16"/>
    </row>
    <row r="97">
      <c r="A97" s="433"/>
      <c r="B97" s="595"/>
      <c r="C97" s="595"/>
      <c r="D97" s="595"/>
      <c r="E97" s="595"/>
      <c r="F97" s="261"/>
      <c r="G97" s="261"/>
      <c r="H97" s="16"/>
    </row>
    <row r="98">
      <c r="A98" s="433"/>
      <c r="B98" s="595"/>
      <c r="C98" s="595"/>
      <c r="D98" s="595"/>
      <c r="E98" s="595"/>
      <c r="F98" s="261"/>
      <c r="G98" s="261"/>
      <c r="H98" s="16"/>
    </row>
    <row r="99">
      <c r="A99" s="433"/>
      <c r="B99" s="595"/>
      <c r="C99" s="595"/>
      <c r="D99" s="595"/>
      <c r="E99" s="595"/>
      <c r="F99" s="261"/>
      <c r="G99" s="261"/>
      <c r="H99" s="16"/>
    </row>
    <row r="100">
      <c r="A100" s="433"/>
      <c r="B100" s="595"/>
      <c r="C100" s="595"/>
      <c r="D100" s="595"/>
      <c r="E100" s="595"/>
      <c r="F100" s="261"/>
      <c r="G100" s="261"/>
      <c r="H100" s="16"/>
    </row>
    <row r="101">
      <c r="A101" s="433"/>
      <c r="B101" s="595"/>
      <c r="C101" s="595"/>
      <c r="D101" s="595"/>
      <c r="E101" s="595"/>
      <c r="F101" s="261"/>
      <c r="G101" s="261"/>
      <c r="H101" s="16"/>
    </row>
    <row r="102">
      <c r="A102" s="433"/>
      <c r="B102" s="595"/>
      <c r="C102" s="595"/>
      <c r="D102" s="595"/>
      <c r="E102" s="595"/>
      <c r="F102" s="261"/>
      <c r="G102" s="261"/>
      <c r="H102" s="16"/>
    </row>
    <row r="103">
      <c r="A103" s="433"/>
      <c r="B103" s="595"/>
      <c r="C103" s="595"/>
      <c r="D103" s="595"/>
      <c r="E103" s="595"/>
      <c r="F103" s="261"/>
      <c r="G103" s="261"/>
      <c r="H103" s="16"/>
    </row>
    <row r="104">
      <c r="A104" s="433"/>
      <c r="B104" s="595"/>
      <c r="C104" s="595"/>
      <c r="D104" s="595"/>
      <c r="E104" s="595"/>
      <c r="F104" s="261"/>
      <c r="G104" s="261"/>
      <c r="H104" s="16"/>
    </row>
    <row r="105">
      <c r="A105" s="433"/>
      <c r="B105" s="595"/>
      <c r="C105" s="595"/>
      <c r="D105" s="595"/>
      <c r="E105" s="595"/>
      <c r="F105" s="261"/>
      <c r="G105" s="261"/>
      <c r="H105" s="16"/>
    </row>
    <row r="106">
      <c r="A106" s="433"/>
      <c r="B106" s="595"/>
      <c r="C106" s="595"/>
      <c r="D106" s="595"/>
      <c r="E106" s="595"/>
      <c r="F106" s="261"/>
      <c r="G106" s="261"/>
      <c r="H106" s="16"/>
    </row>
    <row r="107">
      <c r="A107" s="433"/>
      <c r="B107" s="595"/>
      <c r="C107" s="595"/>
      <c r="D107" s="595"/>
      <c r="E107" s="595"/>
      <c r="F107" s="261"/>
      <c r="G107" s="261"/>
      <c r="H107" s="16"/>
    </row>
    <row r="108">
      <c r="A108" s="433"/>
      <c r="B108" s="595"/>
      <c r="C108" s="595"/>
      <c r="D108" s="595"/>
      <c r="E108" s="595"/>
      <c r="F108" s="261"/>
      <c r="G108" s="261"/>
      <c r="H108" s="16"/>
    </row>
    <row r="109">
      <c r="A109" s="433"/>
      <c r="B109" s="595"/>
      <c r="C109" s="595"/>
      <c r="D109" s="595"/>
      <c r="E109" s="595"/>
      <c r="F109" s="261"/>
      <c r="G109" s="261"/>
      <c r="H109" s="16"/>
    </row>
    <row r="110">
      <c r="A110" s="433"/>
      <c r="B110" s="595"/>
      <c r="C110" s="595"/>
      <c r="D110" s="595"/>
      <c r="E110" s="595"/>
      <c r="F110" s="261"/>
      <c r="G110" s="261"/>
      <c r="H110" s="16"/>
    </row>
  </sheetData>
  <autoFilter ref="$A$1:$AA$55">
    <sortState ref="A1:AA55">
      <sortCondition ref="A1:A55"/>
    </sortState>
  </autoFilter>
  <mergeCells count="2">
    <mergeCell ref="C57:D57"/>
    <mergeCell ref="C64:H64"/>
  </mergeCells>
  <hyperlinks>
    <hyperlink r:id="rId1" ref="J2"/>
    <hyperlink r:id="rId2" location="slide=id.g2edd551b383_0_878" ref="C64"/>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7.75"/>
    <col customWidth="1" min="3" max="3" width="28.13"/>
    <col customWidth="1" min="4" max="4" width="17.38"/>
    <col customWidth="1" min="5" max="5" width="23.25"/>
    <col customWidth="1" min="6" max="6" width="47.13"/>
    <col customWidth="1" min="7" max="7" width="6.63"/>
    <col customWidth="1" min="8" max="8" width="68.88"/>
  </cols>
  <sheetData>
    <row r="1">
      <c r="A1" s="428" t="s">
        <v>161</v>
      </c>
      <c r="B1" s="428" t="s">
        <v>495</v>
      </c>
      <c r="C1" s="518" t="s">
        <v>640</v>
      </c>
      <c r="D1" s="518" t="s">
        <v>642</v>
      </c>
      <c r="E1" s="428" t="s">
        <v>643</v>
      </c>
      <c r="F1" s="430" t="s">
        <v>645</v>
      </c>
      <c r="G1" s="616" t="s">
        <v>307</v>
      </c>
      <c r="H1" s="618" t="s">
        <v>377</v>
      </c>
      <c r="I1" s="620"/>
      <c r="J1" s="621"/>
      <c r="K1" s="620"/>
      <c r="L1" s="620"/>
      <c r="M1" s="620"/>
      <c r="N1" s="620"/>
      <c r="O1" s="620"/>
      <c r="P1" s="620"/>
      <c r="Q1" s="620"/>
      <c r="R1" s="620"/>
      <c r="S1" s="620"/>
    </row>
    <row r="2">
      <c r="A2" s="433" t="s">
        <v>207</v>
      </c>
      <c r="B2" s="622">
        <v>2020.0</v>
      </c>
      <c r="C2" s="260">
        <v>134515.1</v>
      </c>
      <c r="D2" s="260">
        <v>40465.9</v>
      </c>
      <c r="E2" s="623">
        <f t="shared" ref="E2:E55" si="1">D2/C2</f>
        <v>0.3008279368</v>
      </c>
      <c r="F2" s="624" t="str">
        <f t="shared" ref="F2:F55" si="2">IF(E2 &lt;(1/3), "Low", IF(E2 &lt;(2/3), "Medium", "High"))</f>
        <v>Low</v>
      </c>
      <c r="G2" s="626">
        <f>IF(E2&lt;(1/3), (1/3), IF(E2&lt;=(2/3), (2/3), 1))</f>
        <v>0.3333333333</v>
      </c>
      <c r="H2" s="627" t="s">
        <v>656</v>
      </c>
      <c r="I2" s="620"/>
      <c r="J2" s="620"/>
      <c r="K2" s="620"/>
      <c r="L2" s="620"/>
      <c r="M2" s="620"/>
      <c r="N2" s="620"/>
      <c r="O2" s="620"/>
      <c r="P2" s="620"/>
      <c r="Q2" s="628"/>
      <c r="R2" s="628"/>
      <c r="S2" s="628"/>
    </row>
    <row r="3">
      <c r="A3" s="433" t="s">
        <v>240</v>
      </c>
      <c r="B3" s="622">
        <v>2020.0</v>
      </c>
      <c r="C3" s="260">
        <v>15141.6</v>
      </c>
      <c r="D3" s="268">
        <v>5632.1</v>
      </c>
      <c r="E3" s="623">
        <f t="shared" si="1"/>
        <v>0.3719620119</v>
      </c>
      <c r="F3" s="624" t="str">
        <f t="shared" si="2"/>
        <v>Medium</v>
      </c>
      <c r="G3" s="520">
        <f>IF(E3 &lt;(1/3), (1/3), IF(E3 &lt;=(2/3), (2/3), 1))</f>
        <v>0.6666666667</v>
      </c>
      <c r="H3" s="635" t="s">
        <v>665</v>
      </c>
      <c r="I3" s="620"/>
      <c r="J3" s="620"/>
      <c r="K3" s="620"/>
      <c r="L3" s="620"/>
      <c r="M3" s="620"/>
      <c r="N3" s="620"/>
      <c r="O3" s="620"/>
      <c r="P3" s="620"/>
      <c r="Q3" s="628"/>
      <c r="R3" s="628"/>
      <c r="S3" s="628"/>
    </row>
    <row r="4">
      <c r="A4" s="433" t="s">
        <v>268</v>
      </c>
      <c r="B4" s="622">
        <v>2020.0</v>
      </c>
      <c r="C4" s="260">
        <v>7611.4</v>
      </c>
      <c r="D4" s="260">
        <v>6170.7</v>
      </c>
      <c r="E4" s="623">
        <f t="shared" si="1"/>
        <v>0.8107181333</v>
      </c>
      <c r="F4" s="624" t="str">
        <f t="shared" si="2"/>
        <v>High</v>
      </c>
      <c r="G4" s="626">
        <f>IF(E4&lt;(1/3), (1/3), IF(E4&lt;=(2/3), (2/3), 1))</f>
        <v>1</v>
      </c>
      <c r="I4" s="620"/>
      <c r="J4" s="620"/>
      <c r="K4" s="620"/>
      <c r="L4" s="620"/>
      <c r="M4" s="620"/>
      <c r="N4" s="620"/>
      <c r="O4" s="620"/>
      <c r="P4" s="620"/>
      <c r="Q4" s="628"/>
      <c r="R4" s="628"/>
      <c r="S4" s="628"/>
    </row>
    <row r="5">
      <c r="A5" s="433" t="s">
        <v>329</v>
      </c>
      <c r="B5" s="622">
        <v>2020.0</v>
      </c>
      <c r="C5" s="260">
        <v>5760.2</v>
      </c>
      <c r="D5" s="260">
        <v>2126.7</v>
      </c>
      <c r="E5" s="623">
        <f t="shared" si="1"/>
        <v>0.3692059303</v>
      </c>
      <c r="F5" s="624" t="str">
        <f t="shared" si="2"/>
        <v>Medium</v>
      </c>
      <c r="G5" s="520">
        <f>IF(E5 &lt;(1/3), (1/3), IF(E5 &lt;=(2/3), (2/3), 1))</f>
        <v>0.6666666667</v>
      </c>
      <c r="H5" s="622"/>
      <c r="I5" s="620"/>
      <c r="J5" s="620"/>
      <c r="K5" s="620"/>
      <c r="L5" s="620"/>
      <c r="M5" s="620"/>
      <c r="N5" s="620"/>
      <c r="O5" s="620"/>
      <c r="P5" s="620"/>
      <c r="Q5" s="628"/>
      <c r="R5" s="628"/>
      <c r="S5" s="628"/>
    </row>
    <row r="6">
      <c r="A6" s="433" t="s">
        <v>331</v>
      </c>
      <c r="B6" s="622">
        <v>2020.0</v>
      </c>
      <c r="C6" s="260">
        <v>4608.1</v>
      </c>
      <c r="D6" s="260">
        <v>2524.5</v>
      </c>
      <c r="E6" s="623">
        <f t="shared" si="1"/>
        <v>0.5478396736</v>
      </c>
      <c r="F6" s="624" t="str">
        <f t="shared" si="2"/>
        <v>Medium</v>
      </c>
      <c r="G6" s="626">
        <f>IF(E6&lt;(1/3), (1/3), IF(E6&lt;=(2/3), (2/3), 1))</f>
        <v>0.6666666667</v>
      </c>
      <c r="H6" s="622"/>
      <c r="I6" s="620"/>
      <c r="J6" s="620"/>
      <c r="K6" s="620"/>
      <c r="L6" s="620"/>
      <c r="M6" s="620"/>
      <c r="N6" s="620"/>
      <c r="O6" s="620"/>
      <c r="P6" s="620"/>
      <c r="Q6" s="628"/>
      <c r="R6" s="628"/>
      <c r="S6" s="628"/>
    </row>
    <row r="7">
      <c r="A7" s="433" t="s">
        <v>333</v>
      </c>
      <c r="B7" s="622">
        <v>2020.0</v>
      </c>
      <c r="C7" s="260">
        <v>710.5</v>
      </c>
      <c r="D7" s="260">
        <v>568.3</v>
      </c>
      <c r="E7" s="623">
        <f t="shared" si="1"/>
        <v>0.799859254</v>
      </c>
      <c r="F7" s="624" t="str">
        <f t="shared" si="2"/>
        <v>High</v>
      </c>
      <c r="G7" s="520">
        <f>IF(E7 &lt;(1/3), (1/3), IF(E7 &lt;=(2/3), (2/3), 1))</f>
        <v>1</v>
      </c>
      <c r="H7" s="622"/>
      <c r="I7" s="620"/>
      <c r="J7" s="620"/>
      <c r="K7" s="620"/>
      <c r="L7" s="620"/>
      <c r="M7" s="620"/>
      <c r="N7" s="620"/>
      <c r="O7" s="620"/>
      <c r="P7" s="620"/>
      <c r="Q7" s="628"/>
      <c r="R7" s="628"/>
      <c r="S7" s="628"/>
    </row>
    <row r="8">
      <c r="A8" s="433" t="s">
        <v>225</v>
      </c>
      <c r="B8" s="622">
        <v>2020.0</v>
      </c>
      <c r="C8" s="260">
        <v>620.6</v>
      </c>
      <c r="D8" s="260">
        <v>287.0</v>
      </c>
      <c r="E8" s="623">
        <f t="shared" si="1"/>
        <v>0.462455688</v>
      </c>
      <c r="F8" s="624" t="str">
        <f t="shared" si="2"/>
        <v>Medium</v>
      </c>
      <c r="G8" s="626">
        <f>IF(E8&lt;(1/3), (1/3), IF(E8&lt;=(2/3), (2/3), 1))</f>
        <v>0.6666666667</v>
      </c>
      <c r="H8" s="622"/>
      <c r="I8" s="620"/>
      <c r="J8" s="620"/>
      <c r="K8" s="620"/>
      <c r="L8" s="620"/>
      <c r="M8" s="620"/>
      <c r="N8" s="620"/>
      <c r="O8" s="620"/>
      <c r="P8" s="620"/>
      <c r="Q8" s="628"/>
      <c r="R8" s="628"/>
      <c r="S8" s="628"/>
    </row>
    <row r="9">
      <c r="A9" s="433" t="s">
        <v>338</v>
      </c>
      <c r="B9" s="622">
        <v>2020.0</v>
      </c>
      <c r="C9" s="260">
        <v>6835.8</v>
      </c>
      <c r="D9" s="260">
        <v>3424.1</v>
      </c>
      <c r="E9" s="623">
        <f t="shared" si="1"/>
        <v>0.5009069897</v>
      </c>
      <c r="F9" s="624" t="str">
        <f t="shared" si="2"/>
        <v>Medium</v>
      </c>
      <c r="G9" s="520">
        <f>IF(E9 &lt;(1/3), (1/3), IF(E9 &lt;=(2/3), (2/3), 1))</f>
        <v>0.6666666667</v>
      </c>
      <c r="H9" s="622"/>
      <c r="I9" s="620"/>
      <c r="J9" s="620"/>
      <c r="K9" s="620"/>
      <c r="L9" s="620"/>
      <c r="M9" s="620"/>
      <c r="N9" s="620"/>
      <c r="O9" s="620"/>
      <c r="P9" s="620"/>
      <c r="Q9" s="628"/>
      <c r="R9" s="628"/>
      <c r="S9" s="628"/>
    </row>
    <row r="10">
      <c r="A10" s="433" t="s">
        <v>340</v>
      </c>
      <c r="B10" s="622">
        <v>2020.0</v>
      </c>
      <c r="C10" s="260">
        <v>236.6</v>
      </c>
      <c r="D10" s="260">
        <v>216.0</v>
      </c>
      <c r="E10" s="623">
        <f t="shared" si="1"/>
        <v>0.9129332206</v>
      </c>
      <c r="F10" s="624" t="str">
        <f t="shared" si="2"/>
        <v>High</v>
      </c>
      <c r="G10" s="626">
        <f>IF(E10&lt;(1/3), (1/3), IF(E10&lt;=(2/3), (2/3), 1))</f>
        <v>1</v>
      </c>
      <c r="H10" s="622"/>
      <c r="I10" s="620"/>
      <c r="J10" s="620"/>
      <c r="K10" s="620"/>
      <c r="L10" s="620"/>
      <c r="M10" s="620"/>
      <c r="N10" s="620"/>
      <c r="O10" s="620"/>
      <c r="P10" s="620"/>
      <c r="Q10" s="628"/>
      <c r="R10" s="628"/>
      <c r="S10" s="628"/>
    </row>
    <row r="11">
      <c r="A11" s="433" t="s">
        <v>342</v>
      </c>
      <c r="B11" s="622">
        <v>2020.0</v>
      </c>
      <c r="C11" s="260">
        <v>1432.8</v>
      </c>
      <c r="D11" s="260">
        <v>1091.9</v>
      </c>
      <c r="E11" s="623">
        <f t="shared" si="1"/>
        <v>0.7620742602</v>
      </c>
      <c r="F11" s="624" t="str">
        <f t="shared" si="2"/>
        <v>High</v>
      </c>
      <c r="G11" s="520">
        <f>IF(E11 &lt;(1/3), (1/3), IF(E11 &lt;=(2/3), (2/3), 1))</f>
        <v>1</v>
      </c>
      <c r="H11" s="622"/>
      <c r="I11" s="620"/>
      <c r="J11" s="620"/>
      <c r="K11" s="620"/>
      <c r="L11" s="620"/>
      <c r="M11" s="620"/>
      <c r="N11" s="620"/>
      <c r="O11" s="620"/>
      <c r="P11" s="620"/>
      <c r="Q11" s="628"/>
      <c r="R11" s="628"/>
      <c r="S11" s="628"/>
    </row>
    <row r="12">
      <c r="A12" s="433" t="s">
        <v>346</v>
      </c>
      <c r="B12" s="622">
        <v>2020.0</v>
      </c>
      <c r="C12" s="260">
        <v>328.2</v>
      </c>
      <c r="D12" s="260">
        <v>185.8</v>
      </c>
      <c r="E12" s="623">
        <f t="shared" si="1"/>
        <v>0.5661182206</v>
      </c>
      <c r="F12" s="624" t="str">
        <f t="shared" si="2"/>
        <v>Medium</v>
      </c>
      <c r="G12" s="626">
        <f>IF(E12&lt;(1/3), (1/3), IF(E12&lt;=(2/3), (2/3), 1))</f>
        <v>0.6666666667</v>
      </c>
      <c r="H12" s="622"/>
      <c r="I12" s="573"/>
      <c r="J12" s="620"/>
      <c r="K12" s="620"/>
      <c r="L12" s="620"/>
      <c r="M12" s="620"/>
      <c r="N12" s="620"/>
      <c r="O12" s="620"/>
      <c r="P12" s="620"/>
      <c r="Q12" s="628"/>
      <c r="R12" s="628"/>
      <c r="S12" s="628"/>
    </row>
    <row r="13">
      <c r="A13" s="433" t="s">
        <v>351</v>
      </c>
      <c r="B13" s="622">
        <v>2020.0</v>
      </c>
      <c r="C13" s="260">
        <v>3543.8</v>
      </c>
      <c r="D13" s="260">
        <v>1147.9</v>
      </c>
      <c r="E13" s="623">
        <f t="shared" si="1"/>
        <v>0.3239178283</v>
      </c>
      <c r="F13" s="624" t="str">
        <f t="shared" si="2"/>
        <v>Low</v>
      </c>
      <c r="G13" s="520">
        <f>IF(E13 &lt;(1/3), (1/3), IF(E13 &lt;=(2/3), (2/3), 1))</f>
        <v>0.3333333333</v>
      </c>
      <c r="H13" s="622"/>
      <c r="I13" s="620"/>
      <c r="J13" s="620"/>
      <c r="K13" s="620"/>
      <c r="L13" s="620"/>
      <c r="M13" s="620"/>
      <c r="N13" s="620"/>
      <c r="O13" s="620"/>
      <c r="P13" s="620"/>
      <c r="Q13" s="628"/>
      <c r="R13" s="628"/>
      <c r="S13" s="628"/>
    </row>
    <row r="14">
      <c r="A14" s="433" t="s">
        <v>356</v>
      </c>
      <c r="B14" s="622">
        <v>2020.0</v>
      </c>
      <c r="C14" s="260">
        <v>10805.5</v>
      </c>
      <c r="D14" s="260">
        <v>4162.0</v>
      </c>
      <c r="E14" s="623">
        <f t="shared" si="1"/>
        <v>0.3851742168</v>
      </c>
      <c r="F14" s="624" t="str">
        <f t="shared" si="2"/>
        <v>Medium</v>
      </c>
      <c r="G14" s="626">
        <f>IF(E14&lt;(1/3), (1/3), IF(E14&lt;=(2/3), (2/3), 1))</f>
        <v>0.6666666667</v>
      </c>
      <c r="H14" s="622"/>
      <c r="I14" s="620"/>
      <c r="J14" s="620"/>
      <c r="K14" s="620"/>
      <c r="L14" s="620"/>
      <c r="M14" s="620"/>
      <c r="N14" s="620"/>
      <c r="O14" s="620"/>
      <c r="P14" s="620"/>
      <c r="Q14" s="628"/>
      <c r="R14" s="628"/>
      <c r="S14" s="628"/>
    </row>
    <row r="15">
      <c r="A15" s="433" t="s">
        <v>357</v>
      </c>
      <c r="B15" s="622">
        <v>2020.0</v>
      </c>
      <c r="C15" s="260">
        <v>334.7</v>
      </c>
      <c r="D15" s="260">
        <v>138.6</v>
      </c>
      <c r="E15" s="623">
        <f t="shared" si="1"/>
        <v>0.4141021811</v>
      </c>
      <c r="F15" s="624" t="str">
        <f t="shared" si="2"/>
        <v>Medium</v>
      </c>
      <c r="G15" s="520">
        <f>IF(E15 &lt;(1/3), (1/3), IF(E15 &lt;=(2/3), (2/3), 1))</f>
        <v>0.6666666667</v>
      </c>
      <c r="H15" s="622"/>
      <c r="I15" s="620"/>
      <c r="J15" s="620"/>
      <c r="K15" s="620"/>
      <c r="L15" s="620"/>
      <c r="M15" s="620"/>
      <c r="N15" s="620"/>
      <c r="O15" s="620"/>
      <c r="P15" s="620"/>
      <c r="Q15" s="628"/>
      <c r="R15" s="628"/>
      <c r="S15" s="628"/>
    </row>
    <row r="16">
      <c r="A16" s="433" t="s">
        <v>276</v>
      </c>
      <c r="B16" s="622">
        <v>2020.0</v>
      </c>
      <c r="C16" s="260">
        <v>2329.5</v>
      </c>
      <c r="D16" s="260">
        <v>2320.9</v>
      </c>
      <c r="E16" s="623">
        <f t="shared" si="1"/>
        <v>0.9963082206</v>
      </c>
      <c r="F16" s="624" t="str">
        <f t="shared" si="2"/>
        <v>High</v>
      </c>
      <c r="G16" s="626">
        <f>IF(E16&lt;(1/3), (1/3), IF(E16&lt;=(2/3), (2/3), 1))</f>
        <v>1</v>
      </c>
      <c r="H16" s="622"/>
      <c r="I16" s="620"/>
      <c r="J16" s="620"/>
      <c r="K16" s="620"/>
      <c r="L16" s="620"/>
      <c r="M16" s="620"/>
      <c r="N16" s="620"/>
      <c r="O16" s="620"/>
      <c r="P16" s="620"/>
      <c r="Q16" s="628"/>
      <c r="R16" s="628"/>
      <c r="S16" s="628"/>
    </row>
    <row r="17">
      <c r="A17" s="433" t="s">
        <v>285</v>
      </c>
      <c r="B17" s="622">
        <v>2020.0</v>
      </c>
      <c r="C17" s="260">
        <v>188372.4</v>
      </c>
      <c r="D17" s="260">
        <v>51566.4</v>
      </c>
      <c r="E17" s="623">
        <f t="shared" si="1"/>
        <v>0.2737471094</v>
      </c>
      <c r="F17" s="624" t="str">
        <f t="shared" si="2"/>
        <v>Low</v>
      </c>
      <c r="G17" s="520">
        <f>IF(E17 &lt;(1/3), (1/3), IF(E17 &lt;=(2/3), (2/3), 1))</f>
        <v>0.3333333333</v>
      </c>
      <c r="H17" s="622"/>
      <c r="I17" s="620"/>
      <c r="J17" s="620"/>
      <c r="K17" s="620"/>
      <c r="L17" s="620"/>
      <c r="M17" s="620"/>
      <c r="N17" s="620"/>
      <c r="O17" s="620"/>
      <c r="P17" s="620"/>
      <c r="Q17" s="628"/>
      <c r="R17" s="628"/>
      <c r="S17" s="628"/>
    </row>
    <row r="18">
      <c r="A18" s="433" t="s">
        <v>360</v>
      </c>
      <c r="B18" s="622">
        <v>2020.0</v>
      </c>
      <c r="C18" s="260">
        <v>3806.7</v>
      </c>
      <c r="D18" s="637">
        <v>432.7</v>
      </c>
      <c r="E18" s="638">
        <f t="shared" si="1"/>
        <v>0.1136680064</v>
      </c>
      <c r="F18" s="624" t="str">
        <f t="shared" si="2"/>
        <v>Low</v>
      </c>
      <c r="G18" s="626">
        <f>IF(E18&lt;(1/3), (1/3), IF(E18&lt;=(2/3), (2/3), 1))</f>
        <v>0.3333333333</v>
      </c>
      <c r="H18" s="622"/>
      <c r="I18" s="620"/>
      <c r="J18" s="620"/>
      <c r="K18" s="620"/>
      <c r="L18" s="620"/>
      <c r="M18" s="620"/>
      <c r="N18" s="620"/>
      <c r="O18" s="620"/>
      <c r="P18" s="620"/>
      <c r="Q18" s="628"/>
      <c r="R18" s="628"/>
      <c r="S18" s="628"/>
    </row>
    <row r="19">
      <c r="A19" s="433" t="s">
        <v>362</v>
      </c>
      <c r="B19" s="622">
        <v>2020.0</v>
      </c>
      <c r="C19" s="260">
        <v>597.9</v>
      </c>
      <c r="D19" s="260">
        <v>217.5</v>
      </c>
      <c r="E19" s="623">
        <f t="shared" si="1"/>
        <v>0.3637732062</v>
      </c>
      <c r="F19" s="624" t="str">
        <f t="shared" si="2"/>
        <v>Medium</v>
      </c>
      <c r="G19" s="520">
        <f>IF(E19 &lt;(1/3), (1/3), IF(E19 &lt;=(2/3), (2/3), 1))</f>
        <v>0.6666666667</v>
      </c>
      <c r="H19" s="622"/>
      <c r="I19" s="620"/>
      <c r="J19" s="620"/>
      <c r="K19" s="620"/>
      <c r="L19" s="620"/>
      <c r="M19" s="620"/>
      <c r="N19" s="620"/>
      <c r="O19" s="620"/>
      <c r="P19" s="620"/>
      <c r="Q19" s="628"/>
      <c r="R19" s="628"/>
      <c r="S19" s="628"/>
    </row>
    <row r="20">
      <c r="A20" s="433" t="s">
        <v>363</v>
      </c>
      <c r="B20" s="622">
        <v>2020.0</v>
      </c>
      <c r="C20" s="260">
        <v>1147.7</v>
      </c>
      <c r="D20" s="260">
        <v>709.9</v>
      </c>
      <c r="E20" s="623">
        <f t="shared" si="1"/>
        <v>0.6185414307</v>
      </c>
      <c r="F20" s="624" t="str">
        <f t="shared" si="2"/>
        <v>Medium</v>
      </c>
      <c r="G20" s="626">
        <f>IF(E20&lt;(1/3), (1/3), IF(E20&lt;=(2/3), (2/3), 1))</f>
        <v>0.6666666667</v>
      </c>
      <c r="H20" s="622"/>
      <c r="I20" s="620"/>
      <c r="J20" s="620"/>
      <c r="K20" s="620"/>
      <c r="L20" s="620"/>
      <c r="M20" s="620"/>
      <c r="N20" s="620"/>
      <c r="O20" s="620"/>
      <c r="P20" s="620"/>
      <c r="Q20" s="628"/>
      <c r="R20" s="628"/>
      <c r="S20" s="628"/>
    </row>
    <row r="21">
      <c r="A21" s="433" t="s">
        <v>255</v>
      </c>
      <c r="B21" s="622">
        <v>2020.0</v>
      </c>
      <c r="C21" s="260">
        <v>14339.0</v>
      </c>
      <c r="D21" s="260">
        <v>7397.6</v>
      </c>
      <c r="E21" s="623">
        <f t="shared" si="1"/>
        <v>0.5159076644</v>
      </c>
      <c r="F21" s="624" t="str">
        <f t="shared" si="2"/>
        <v>Medium</v>
      </c>
      <c r="G21" s="520">
        <f>IF(E21 &lt;(1/3), (1/3), IF(E21 &lt;=(2/3), (2/3), 1))</f>
        <v>0.6666666667</v>
      </c>
      <c r="H21" s="639"/>
      <c r="I21" s="620"/>
      <c r="J21" s="620"/>
      <c r="K21" s="620"/>
      <c r="L21" s="620"/>
      <c r="M21" s="620"/>
      <c r="N21" s="620"/>
      <c r="O21" s="620"/>
      <c r="P21" s="620"/>
      <c r="Q21" s="628"/>
      <c r="R21" s="628"/>
      <c r="S21" s="640"/>
    </row>
    <row r="22">
      <c r="A22" s="433" t="s">
        <v>374</v>
      </c>
      <c r="B22" s="622">
        <v>2020.0</v>
      </c>
      <c r="C22" s="260">
        <v>2523.2</v>
      </c>
      <c r="D22" s="260">
        <v>189.4</v>
      </c>
      <c r="E22" s="623">
        <f t="shared" si="1"/>
        <v>0.07506341154</v>
      </c>
      <c r="F22" s="624" t="str">
        <f t="shared" si="2"/>
        <v>Low</v>
      </c>
      <c r="G22" s="626">
        <f>IF(E22&lt;(1/3), (1/3), IF(E22&lt;=(2/3), (2/3), 1))</f>
        <v>0.3333333333</v>
      </c>
      <c r="H22" s="622"/>
      <c r="I22" s="620"/>
      <c r="J22" s="620"/>
      <c r="K22" s="620"/>
      <c r="L22" s="620"/>
      <c r="M22" s="620"/>
      <c r="N22" s="620"/>
      <c r="O22" s="620"/>
      <c r="P22" s="620"/>
      <c r="Q22" s="628"/>
      <c r="R22" s="628"/>
      <c r="S22" s="628"/>
    </row>
    <row r="23">
      <c r="A23" s="433" t="s">
        <v>263</v>
      </c>
      <c r="B23" s="622">
        <v>2020.0</v>
      </c>
      <c r="C23" s="260">
        <v>611.4</v>
      </c>
      <c r="D23" s="260">
        <v>81.3</v>
      </c>
      <c r="E23" s="623">
        <f t="shared" si="1"/>
        <v>0.1329735034</v>
      </c>
      <c r="F23" s="624" t="str">
        <f t="shared" si="2"/>
        <v>Low</v>
      </c>
      <c r="G23" s="520">
        <f>IF(E23 &lt;(1/3), (1/3), IF(E23 &lt;=(2/3), (2/3), 1))</f>
        <v>0.3333333333</v>
      </c>
      <c r="H23" s="622"/>
      <c r="I23" s="620"/>
      <c r="J23" s="620"/>
      <c r="K23" s="620"/>
      <c r="L23" s="620"/>
      <c r="M23" s="620"/>
      <c r="N23" s="620"/>
      <c r="O23" s="620"/>
      <c r="P23" s="620"/>
      <c r="Q23" s="628"/>
      <c r="R23" s="628"/>
      <c r="S23" s="628"/>
    </row>
    <row r="24">
      <c r="A24" s="433" t="s">
        <v>266</v>
      </c>
      <c r="B24" s="622">
        <v>2020.0</v>
      </c>
      <c r="C24" s="260">
        <v>19035.4</v>
      </c>
      <c r="D24" s="260">
        <v>9160.7</v>
      </c>
      <c r="E24" s="623">
        <f t="shared" si="1"/>
        <v>0.481245469</v>
      </c>
      <c r="F24" s="624" t="str">
        <f t="shared" si="2"/>
        <v>Medium</v>
      </c>
      <c r="G24" s="626">
        <f>IF(E24&lt;(1/3), (1/3), IF(E24&lt;=(2/3), (2/3), 1))</f>
        <v>0.6666666667</v>
      </c>
      <c r="H24" s="622"/>
      <c r="I24" s="620"/>
      <c r="J24" s="620"/>
      <c r="K24" s="620"/>
      <c r="L24" s="620"/>
      <c r="M24" s="620"/>
      <c r="N24" s="620"/>
      <c r="O24" s="620"/>
      <c r="P24" s="620"/>
      <c r="Q24" s="628"/>
      <c r="R24" s="628"/>
      <c r="S24" s="628"/>
    </row>
    <row r="25">
      <c r="A25" s="433" t="s">
        <v>385</v>
      </c>
      <c r="B25" s="622">
        <v>2020.0</v>
      </c>
      <c r="C25" s="260">
        <v>4537.9</v>
      </c>
      <c r="D25" s="260">
        <v>2064.3</v>
      </c>
      <c r="E25" s="623">
        <f t="shared" si="1"/>
        <v>0.4549020472</v>
      </c>
      <c r="F25" s="624" t="str">
        <f t="shared" si="2"/>
        <v>Medium</v>
      </c>
      <c r="G25" s="520">
        <f>IF(E25 &lt;(1/3), (1/3), IF(E25 &lt;=(2/3), (2/3), 1))</f>
        <v>0.6666666667</v>
      </c>
      <c r="H25" s="622"/>
      <c r="I25" s="620"/>
      <c r="J25" s="620"/>
      <c r="K25" s="620"/>
      <c r="L25" s="620"/>
      <c r="M25" s="620"/>
      <c r="N25" s="620"/>
      <c r="O25" s="620"/>
      <c r="P25" s="620"/>
      <c r="Q25" s="628"/>
      <c r="R25" s="628"/>
      <c r="S25" s="628"/>
    </row>
    <row r="26">
      <c r="A26" s="433" t="s">
        <v>386</v>
      </c>
      <c r="B26" s="622">
        <v>2020.0</v>
      </c>
      <c r="C26" s="260">
        <v>329.0</v>
      </c>
      <c r="D26" s="260">
        <v>118.8</v>
      </c>
      <c r="E26" s="623">
        <f t="shared" si="1"/>
        <v>0.3610942249</v>
      </c>
      <c r="F26" s="624" t="str">
        <f t="shared" si="2"/>
        <v>Medium</v>
      </c>
      <c r="G26" s="626">
        <f>IF(E26&lt;(1/3), (1/3), IF(E26&lt;=(2/3), (2/3), 1))</f>
        <v>0.6666666667</v>
      </c>
      <c r="H26" s="622"/>
      <c r="I26" s="620"/>
      <c r="J26" s="620"/>
      <c r="K26" s="620"/>
      <c r="L26" s="620"/>
      <c r="M26" s="620"/>
      <c r="N26" s="620"/>
      <c r="O26" s="620"/>
      <c r="P26" s="620"/>
      <c r="Q26" s="628"/>
      <c r="R26" s="628"/>
      <c r="S26" s="628"/>
    </row>
    <row r="27">
      <c r="A27" s="433" t="s">
        <v>280</v>
      </c>
      <c r="B27" s="622">
        <v>2020.0</v>
      </c>
      <c r="C27" s="260">
        <v>15754.8</v>
      </c>
      <c r="D27" s="260">
        <v>10399.5</v>
      </c>
      <c r="E27" s="623">
        <f t="shared" si="1"/>
        <v>0.6600845457</v>
      </c>
      <c r="F27" s="624" t="str">
        <f t="shared" si="2"/>
        <v>Medium</v>
      </c>
      <c r="G27" s="520">
        <f>IF(E27 &lt;(1/3), (1/3), IF(E27 &lt;=(2/3), (2/3), 1))</f>
        <v>0.6666666667</v>
      </c>
      <c r="H27" s="622"/>
      <c r="I27" s="620"/>
      <c r="J27" s="620"/>
      <c r="K27" s="620"/>
      <c r="L27" s="620"/>
      <c r="M27" s="620"/>
      <c r="N27" s="620"/>
      <c r="O27" s="620"/>
      <c r="P27" s="620"/>
      <c r="Q27" s="628"/>
      <c r="R27" s="628"/>
      <c r="S27" s="628"/>
    </row>
    <row r="28">
      <c r="A28" s="433" t="s">
        <v>392</v>
      </c>
      <c r="B28" s="622">
        <v>2020.0</v>
      </c>
      <c r="C28" s="260">
        <v>2311.9</v>
      </c>
      <c r="D28" s="260">
        <v>538.1</v>
      </c>
      <c r="E28" s="623">
        <f t="shared" si="1"/>
        <v>0.2327522817</v>
      </c>
      <c r="F28" s="624" t="str">
        <f t="shared" si="2"/>
        <v>Low</v>
      </c>
      <c r="G28" s="626">
        <f>IF(E28&lt;(1/3), (1/3), IF(E28&lt;=(2/3), (2/3), 1))</f>
        <v>0.3333333333</v>
      </c>
      <c r="H28" s="622"/>
      <c r="I28" s="620"/>
      <c r="J28" s="620"/>
      <c r="K28" s="620"/>
      <c r="L28" s="620"/>
      <c r="M28" s="620"/>
      <c r="N28" s="620"/>
      <c r="O28" s="620"/>
      <c r="P28" s="620"/>
      <c r="Q28" s="628"/>
      <c r="R28" s="628"/>
      <c r="S28" s="628"/>
    </row>
    <row r="29">
      <c r="A29" s="433" t="s">
        <v>394</v>
      </c>
      <c r="B29" s="622">
        <v>2020.0</v>
      </c>
      <c r="C29" s="260">
        <v>1018.3</v>
      </c>
      <c r="D29" s="260">
        <v>622.4</v>
      </c>
      <c r="E29" s="623">
        <f t="shared" si="1"/>
        <v>0.6112147697</v>
      </c>
      <c r="F29" s="624" t="str">
        <f t="shared" si="2"/>
        <v>Medium</v>
      </c>
      <c r="G29" s="520">
        <f>IF(E29 &lt;(1/3), (1/3), IF(E29 &lt;=(2/3), (2/3), 1))</f>
        <v>0.6666666667</v>
      </c>
      <c r="H29" s="622"/>
      <c r="I29" s="620"/>
      <c r="J29" s="620"/>
      <c r="K29" s="620"/>
      <c r="L29" s="620"/>
      <c r="M29" s="620"/>
      <c r="N29" s="620"/>
      <c r="O29" s="620"/>
      <c r="P29" s="620"/>
      <c r="Q29" s="628"/>
      <c r="R29" s="628"/>
      <c r="S29" s="628"/>
    </row>
    <row r="30">
      <c r="A30" s="433" t="s">
        <v>396</v>
      </c>
      <c r="B30" s="622">
        <v>2020.0</v>
      </c>
      <c r="C30" s="260">
        <v>39159.4</v>
      </c>
      <c r="D30" s="260">
        <v>16710.5</v>
      </c>
      <c r="E30" s="623">
        <f t="shared" si="1"/>
        <v>0.4267302359</v>
      </c>
      <c r="F30" s="624" t="str">
        <f t="shared" si="2"/>
        <v>Medium</v>
      </c>
      <c r="G30" s="626">
        <f>IF(E30&lt;(1/3), (1/3), IF(E30&lt;=(2/3), (2/3), 1))</f>
        <v>0.6666666667</v>
      </c>
      <c r="H30" s="622"/>
      <c r="I30" s="620"/>
      <c r="J30" s="620"/>
      <c r="K30" s="620"/>
      <c r="L30" s="620"/>
      <c r="M30" s="620"/>
      <c r="N30" s="620"/>
      <c r="O30" s="620"/>
      <c r="P30" s="620"/>
      <c r="Q30" s="628"/>
      <c r="R30" s="628"/>
      <c r="S30" s="628"/>
    </row>
    <row r="31">
      <c r="A31" s="433" t="s">
        <v>336</v>
      </c>
      <c r="B31" s="622">
        <v>2020.0</v>
      </c>
      <c r="C31" s="260">
        <v>2706.7</v>
      </c>
      <c r="D31" s="260">
        <v>1192.0</v>
      </c>
      <c r="E31" s="623">
        <f t="shared" si="1"/>
        <v>0.4403886652</v>
      </c>
      <c r="F31" s="624" t="str">
        <f t="shared" si="2"/>
        <v>Medium</v>
      </c>
      <c r="G31" s="520">
        <f>IF(E31 &lt;(1/3), (1/3), IF(E31 &lt;=(2/3), (2/3), 1))</f>
        <v>0.6666666667</v>
      </c>
      <c r="H31" s="622"/>
      <c r="I31" s="620"/>
      <c r="J31" s="620"/>
      <c r="K31" s="620"/>
      <c r="L31" s="620"/>
      <c r="M31" s="620"/>
      <c r="N31" s="620"/>
      <c r="O31" s="620"/>
      <c r="P31" s="620"/>
      <c r="Q31" s="628"/>
      <c r="R31" s="628"/>
      <c r="S31" s="628"/>
    </row>
    <row r="32">
      <c r="A32" s="433" t="s">
        <v>343</v>
      </c>
      <c r="B32" s="622">
        <v>2020.0</v>
      </c>
      <c r="C32" s="260">
        <v>1538.3</v>
      </c>
      <c r="D32" s="260">
        <v>1158.4</v>
      </c>
      <c r="E32" s="623">
        <f t="shared" si="1"/>
        <v>0.7530390691</v>
      </c>
      <c r="F32" s="624" t="str">
        <f t="shared" si="2"/>
        <v>High</v>
      </c>
      <c r="G32" s="626">
        <f>IF(E32&lt;(1/3), (1/3), IF(E32&lt;=(2/3), (2/3), 1))</f>
        <v>1</v>
      </c>
      <c r="H32" s="622"/>
      <c r="I32" s="620"/>
      <c r="J32" s="620"/>
      <c r="K32" s="620"/>
      <c r="L32" s="620"/>
      <c r="M32" s="620"/>
      <c r="N32" s="620"/>
      <c r="O32" s="620"/>
      <c r="P32" s="620"/>
      <c r="Q32" s="628"/>
      <c r="R32" s="628"/>
      <c r="S32" s="628"/>
    </row>
    <row r="33">
      <c r="A33" s="433" t="s">
        <v>399</v>
      </c>
      <c r="B33" s="622">
        <v>2020.0</v>
      </c>
      <c r="C33" s="260">
        <v>3569.5</v>
      </c>
      <c r="D33" s="260">
        <v>1499.2</v>
      </c>
      <c r="E33" s="623">
        <f t="shared" si="1"/>
        <v>0.4200028015</v>
      </c>
      <c r="F33" s="624" t="str">
        <f t="shared" si="2"/>
        <v>Medium</v>
      </c>
      <c r="G33" s="520">
        <f>IF(E33 &lt;(1/3), (1/3), IF(E33 &lt;=(2/3), (2/3), 1))</f>
        <v>0.6666666667</v>
      </c>
      <c r="H33" s="622"/>
      <c r="I33" s="620"/>
      <c r="J33" s="620"/>
      <c r="K33" s="620"/>
      <c r="L33" s="620"/>
      <c r="M33" s="620"/>
      <c r="N33" s="620"/>
      <c r="O33" s="620"/>
      <c r="P33" s="620"/>
      <c r="Q33" s="628"/>
      <c r="R33" s="628"/>
      <c r="S33" s="628"/>
    </row>
    <row r="34">
      <c r="A34" s="433" t="s">
        <v>401</v>
      </c>
      <c r="B34" s="622">
        <v>2020.0</v>
      </c>
      <c r="C34" s="260">
        <v>3847.1</v>
      </c>
      <c r="D34" s="260">
        <v>1701.7</v>
      </c>
      <c r="E34" s="623">
        <f t="shared" si="1"/>
        <v>0.442333186</v>
      </c>
      <c r="F34" s="624" t="str">
        <f t="shared" si="2"/>
        <v>Medium</v>
      </c>
      <c r="G34" s="626">
        <f>IF(E34&lt;(1/3), (1/3), IF(E34&lt;=(2/3), (2/3), 1))</f>
        <v>0.6666666667</v>
      </c>
      <c r="H34" s="622"/>
      <c r="I34" s="620"/>
      <c r="J34" s="620"/>
      <c r="K34" s="620"/>
      <c r="L34" s="620"/>
      <c r="M34" s="620"/>
      <c r="N34" s="620"/>
      <c r="O34" s="620"/>
      <c r="P34" s="620"/>
      <c r="Q34" s="628"/>
      <c r="R34" s="628"/>
      <c r="S34" s="628"/>
    </row>
    <row r="35">
      <c r="A35" s="433" t="s">
        <v>354</v>
      </c>
      <c r="B35" s="622">
        <v>2020.0</v>
      </c>
      <c r="C35" s="260">
        <v>3720.2</v>
      </c>
      <c r="D35" s="260">
        <v>1012.3</v>
      </c>
      <c r="E35" s="623">
        <f t="shared" si="1"/>
        <v>0.2721090264</v>
      </c>
      <c r="F35" s="624" t="str">
        <f t="shared" si="2"/>
        <v>Low</v>
      </c>
      <c r="G35" s="520">
        <f>IF(E35 &lt;(1/3), (1/3), IF(E35 &lt;=(2/3), (2/3), 1))</f>
        <v>0.3333333333</v>
      </c>
      <c r="H35" s="622"/>
      <c r="I35" s="620"/>
      <c r="J35" s="620"/>
      <c r="K35" s="620"/>
      <c r="L35" s="620"/>
      <c r="M35" s="620"/>
      <c r="N35" s="620"/>
      <c r="O35" s="620"/>
      <c r="P35" s="620"/>
      <c r="Q35" s="628"/>
      <c r="R35" s="628"/>
      <c r="S35" s="628"/>
    </row>
    <row r="36">
      <c r="A36" s="433" t="s">
        <v>290</v>
      </c>
      <c r="B36" s="622">
        <v>2020.0</v>
      </c>
      <c r="C36" s="260">
        <v>62229.5</v>
      </c>
      <c r="D36" s="260">
        <v>16639.9</v>
      </c>
      <c r="E36" s="623">
        <f t="shared" si="1"/>
        <v>0.2673956885</v>
      </c>
      <c r="F36" s="624" t="str">
        <f t="shared" si="2"/>
        <v>Low</v>
      </c>
      <c r="G36" s="626">
        <f>IF(E36&lt;(1/3), (1/3), IF(E36&lt;=(2/3), (2/3), 1))</f>
        <v>0.3333333333</v>
      </c>
      <c r="H36" s="622"/>
      <c r="I36" s="620"/>
      <c r="J36" s="620"/>
      <c r="K36" s="620"/>
      <c r="L36" s="620"/>
      <c r="M36" s="620"/>
      <c r="N36" s="620"/>
      <c r="O36" s="620"/>
      <c r="P36" s="620"/>
      <c r="Q36" s="628"/>
      <c r="R36" s="628"/>
      <c r="S36" s="628"/>
    </row>
    <row r="37">
      <c r="A37" s="433" t="s">
        <v>291</v>
      </c>
      <c r="B37" s="622">
        <v>2020.0</v>
      </c>
      <c r="C37" s="260">
        <v>5848.2</v>
      </c>
      <c r="D37" s="260">
        <v>3275.9</v>
      </c>
      <c r="E37" s="623">
        <f t="shared" si="1"/>
        <v>0.5601552614</v>
      </c>
      <c r="F37" s="624" t="str">
        <f t="shared" si="2"/>
        <v>Medium</v>
      </c>
      <c r="G37" s="520">
        <f>IF(E37 &lt;(1/3), (1/3), IF(E37 &lt;=(2/3), (2/3), 1))</f>
        <v>0.6666666667</v>
      </c>
      <c r="H37" s="622"/>
      <c r="I37" s="620"/>
      <c r="J37" s="620"/>
      <c r="K37" s="620"/>
      <c r="L37" s="620"/>
      <c r="M37" s="620"/>
      <c r="N37" s="620"/>
      <c r="O37" s="620"/>
      <c r="P37" s="620"/>
      <c r="Q37" s="628"/>
      <c r="R37" s="628"/>
      <c r="S37" s="628"/>
    </row>
    <row r="38">
      <c r="A38" s="433" t="s">
        <v>296</v>
      </c>
      <c r="B38" s="622">
        <v>2020.0</v>
      </c>
      <c r="C38" s="260">
        <v>3484.3</v>
      </c>
      <c r="D38" s="260">
        <v>1862.4</v>
      </c>
      <c r="E38" s="623">
        <f t="shared" si="1"/>
        <v>0.5345119536</v>
      </c>
      <c r="F38" s="624" t="str">
        <f t="shared" si="2"/>
        <v>Medium</v>
      </c>
      <c r="G38" s="626">
        <f>IF(E38&lt;(1/3), (1/3), IF(E38&lt;=(2/3), (2/3), 1))</f>
        <v>0.6666666667</v>
      </c>
      <c r="H38" s="622"/>
      <c r="I38" s="620"/>
      <c r="J38" s="620"/>
      <c r="K38" s="620"/>
      <c r="L38" s="620"/>
      <c r="M38" s="620"/>
      <c r="N38" s="620"/>
      <c r="O38" s="620"/>
      <c r="P38" s="620"/>
      <c r="Q38" s="628"/>
      <c r="R38" s="628"/>
      <c r="S38" s="628"/>
    </row>
    <row r="39">
      <c r="A39" s="433" t="s">
        <v>407</v>
      </c>
      <c r="B39" s="622">
        <v>2020.0</v>
      </c>
      <c r="C39" s="260">
        <v>2108.3</v>
      </c>
      <c r="D39" s="260">
        <v>1129.4</v>
      </c>
      <c r="E39" s="623">
        <f t="shared" si="1"/>
        <v>0.5356922639</v>
      </c>
      <c r="F39" s="624" t="str">
        <f t="shared" si="2"/>
        <v>Medium</v>
      </c>
      <c r="G39" s="520">
        <f>IF(E39 &lt;(1/3), (1/3), IF(E39 &lt;=(2/3), (2/3), 1))</f>
        <v>0.6666666667</v>
      </c>
      <c r="H39" s="622"/>
      <c r="I39" s="620"/>
      <c r="J39" s="620"/>
      <c r="K39" s="620"/>
      <c r="L39" s="620"/>
      <c r="M39" s="620"/>
      <c r="N39" s="620"/>
      <c r="O39" s="620"/>
      <c r="P39" s="620"/>
      <c r="Q39" s="628"/>
      <c r="R39" s="628"/>
      <c r="S39" s="628"/>
    </row>
    <row r="40">
      <c r="A40" s="433" t="s">
        <v>299</v>
      </c>
      <c r="B40" s="622">
        <v>2020.0</v>
      </c>
      <c r="C40" s="260">
        <v>88117.7</v>
      </c>
      <c r="D40" s="260">
        <v>50984.8</v>
      </c>
      <c r="E40" s="623">
        <f t="shared" si="1"/>
        <v>0.5785988513</v>
      </c>
      <c r="F40" s="624" t="str">
        <f t="shared" si="2"/>
        <v>Medium</v>
      </c>
      <c r="G40" s="626">
        <f>IF(E40&lt;(1/3), (1/3), IF(E40&lt;=(2/3), (2/3), 1))</f>
        <v>0.6666666667</v>
      </c>
      <c r="H40" s="622"/>
      <c r="I40" s="620"/>
      <c r="J40" s="620"/>
      <c r="K40" s="620"/>
      <c r="L40" s="620"/>
      <c r="M40" s="620"/>
      <c r="N40" s="620"/>
      <c r="O40" s="620"/>
      <c r="P40" s="620"/>
      <c r="Q40" s="628"/>
      <c r="R40" s="628"/>
      <c r="S40" s="628"/>
    </row>
    <row r="41">
      <c r="A41" s="433" t="s">
        <v>302</v>
      </c>
      <c r="B41" s="622">
        <v>2020.0</v>
      </c>
      <c r="C41" s="260">
        <v>1232.6</v>
      </c>
      <c r="D41" s="260">
        <v>580.9</v>
      </c>
      <c r="E41" s="623">
        <f t="shared" si="1"/>
        <v>0.4712802207</v>
      </c>
      <c r="F41" s="624" t="str">
        <f t="shared" si="2"/>
        <v>Medium</v>
      </c>
      <c r="G41" s="520">
        <f>IF(E41 &lt;(1/3), (1/3), IF(E41 &lt;=(2/3), (2/3), 1))</f>
        <v>0.6666666667</v>
      </c>
      <c r="H41" s="622"/>
      <c r="I41" s="620"/>
      <c r="J41" s="620"/>
      <c r="K41" s="620"/>
      <c r="L41" s="620"/>
      <c r="M41" s="620"/>
      <c r="N41" s="620"/>
      <c r="O41" s="620"/>
      <c r="P41" s="620"/>
      <c r="Q41" s="628"/>
      <c r="R41" s="628"/>
      <c r="S41" s="628"/>
    </row>
    <row r="42">
      <c r="A42" s="433" t="s">
        <v>410</v>
      </c>
      <c r="B42" s="622">
        <v>2020.0</v>
      </c>
      <c r="C42" s="260">
        <v>141.1</v>
      </c>
      <c r="D42" s="260">
        <v>34.5</v>
      </c>
      <c r="E42" s="623">
        <f t="shared" si="1"/>
        <v>0.2445074415</v>
      </c>
      <c r="F42" s="624" t="str">
        <f t="shared" si="2"/>
        <v>Low</v>
      </c>
      <c r="G42" s="626">
        <f>IF(E42&lt;(1/3), (1/3), IF(E42&lt;=(2/3), (2/3), 1))</f>
        <v>0.3333333333</v>
      </c>
      <c r="H42" s="622"/>
      <c r="I42" s="620"/>
      <c r="J42" s="620"/>
      <c r="K42" s="620"/>
      <c r="L42" s="620"/>
      <c r="M42" s="620"/>
      <c r="N42" s="620"/>
      <c r="O42" s="620"/>
      <c r="P42" s="620"/>
      <c r="Q42" s="628"/>
      <c r="R42" s="628"/>
      <c r="S42" s="628"/>
    </row>
    <row r="43">
      <c r="A43" s="433" t="s">
        <v>411</v>
      </c>
      <c r="B43" s="622">
        <v>2020.0</v>
      </c>
      <c r="C43" s="260">
        <v>7968.2</v>
      </c>
      <c r="D43" s="260">
        <v>2865.9</v>
      </c>
      <c r="E43" s="623">
        <f t="shared" si="1"/>
        <v>0.359667177</v>
      </c>
      <c r="F43" s="624" t="str">
        <f t="shared" si="2"/>
        <v>Medium</v>
      </c>
      <c r="G43" s="520">
        <f>IF(E43 &lt;(1/3), (1/3), IF(E43 &lt;=(2/3), (2/3), 1))</f>
        <v>0.6666666667</v>
      </c>
      <c r="H43" s="622"/>
      <c r="I43" s="620"/>
      <c r="J43" s="620"/>
      <c r="K43" s="620"/>
      <c r="L43" s="620"/>
      <c r="M43" s="620"/>
      <c r="N43" s="620"/>
      <c r="O43" s="620"/>
      <c r="P43" s="620"/>
      <c r="Q43" s="628"/>
      <c r="R43" s="628"/>
      <c r="S43" s="628"/>
    </row>
    <row r="44">
      <c r="A44" s="433" t="s">
        <v>309</v>
      </c>
      <c r="B44" s="622">
        <v>2020.0</v>
      </c>
      <c r="C44" s="260">
        <v>598.7</v>
      </c>
      <c r="D44" s="260">
        <v>172.3</v>
      </c>
      <c r="E44" s="623">
        <f t="shared" si="1"/>
        <v>0.2877902121</v>
      </c>
      <c r="F44" s="624" t="str">
        <f t="shared" si="2"/>
        <v>Low</v>
      </c>
      <c r="G44" s="626">
        <f>IF(E44&lt;(1/3), (1/3), IF(E44&lt;=(2/3), (2/3), 1))</f>
        <v>0.3333333333</v>
      </c>
      <c r="H44" s="622"/>
      <c r="I44" s="620"/>
      <c r="J44" s="620"/>
      <c r="K44" s="620"/>
      <c r="L44" s="620"/>
      <c r="M44" s="620"/>
      <c r="N44" s="620"/>
      <c r="O44" s="620"/>
      <c r="P44" s="620"/>
      <c r="Q44" s="628"/>
      <c r="R44" s="628"/>
      <c r="S44" s="628"/>
    </row>
    <row r="45">
      <c r="A45" s="433" t="s">
        <v>412</v>
      </c>
      <c r="B45" s="622">
        <v>2020.0</v>
      </c>
      <c r="C45" s="260">
        <v>1048.0</v>
      </c>
      <c r="D45" s="260">
        <v>672.1</v>
      </c>
      <c r="E45" s="623">
        <f t="shared" si="1"/>
        <v>0.6413167939</v>
      </c>
      <c r="F45" s="624" t="str">
        <f t="shared" si="2"/>
        <v>Medium</v>
      </c>
      <c r="G45" s="520">
        <f>IF(E45 &lt;(1/3), (1/3), IF(E45 &lt;=(2/3), (2/3), 1))</f>
        <v>0.6666666667</v>
      </c>
      <c r="H45" s="622"/>
      <c r="I45" s="620"/>
      <c r="J45" s="620"/>
      <c r="K45" s="620"/>
      <c r="L45" s="620"/>
      <c r="M45" s="620"/>
      <c r="N45" s="620"/>
      <c r="O45" s="620"/>
      <c r="P45" s="620"/>
      <c r="Q45" s="628"/>
      <c r="R45" s="628"/>
      <c r="S45" s="628"/>
    </row>
    <row r="46">
      <c r="A46" s="433" t="s">
        <v>415</v>
      </c>
      <c r="B46" s="622">
        <v>2020.0</v>
      </c>
      <c r="C46" s="260">
        <v>660.4</v>
      </c>
      <c r="D46" s="260">
        <v>142.2</v>
      </c>
      <c r="E46" s="623">
        <f t="shared" si="1"/>
        <v>0.215324046</v>
      </c>
      <c r="F46" s="624" t="str">
        <f t="shared" si="2"/>
        <v>Low</v>
      </c>
      <c r="G46" s="626">
        <f>IF(E46&lt;(1/3), (1/3), IF(E46&lt;=(2/3), (2/3), 1))</f>
        <v>0.3333333333</v>
      </c>
      <c r="H46" s="639"/>
      <c r="I46" s="620"/>
      <c r="J46" s="620"/>
      <c r="K46" s="620"/>
      <c r="L46" s="620"/>
      <c r="M46" s="620"/>
      <c r="N46" s="620"/>
      <c r="O46" s="620"/>
      <c r="P46" s="620"/>
      <c r="Q46" s="628"/>
      <c r="R46" s="628"/>
      <c r="S46" s="640"/>
    </row>
    <row r="47">
      <c r="A47" s="433" t="s">
        <v>313</v>
      </c>
      <c r="B47" s="622">
        <v>2020.0</v>
      </c>
      <c r="C47" s="260">
        <v>388114.5</v>
      </c>
      <c r="D47" s="260">
        <v>45038.8</v>
      </c>
      <c r="E47" s="623">
        <f t="shared" si="1"/>
        <v>0.1160451362</v>
      </c>
      <c r="F47" s="624" t="str">
        <f t="shared" si="2"/>
        <v>Low</v>
      </c>
      <c r="G47" s="520">
        <f>IF(E47 &lt;(1/3), (1/3), IF(E47 &lt;=(2/3), (2/3), 1))</f>
        <v>0.3333333333</v>
      </c>
      <c r="H47" s="622"/>
      <c r="I47" s="620"/>
      <c r="J47" s="620"/>
      <c r="K47" s="620"/>
      <c r="L47" s="620"/>
      <c r="M47" s="620"/>
      <c r="N47" s="620"/>
      <c r="O47" s="620"/>
      <c r="P47" s="620"/>
      <c r="Q47" s="628"/>
      <c r="R47" s="628"/>
      <c r="S47" s="628"/>
    </row>
    <row r="48">
      <c r="A48" s="433" t="s">
        <v>416</v>
      </c>
      <c r="B48" s="622">
        <v>2020.0</v>
      </c>
      <c r="C48" s="260">
        <v>1742.7</v>
      </c>
      <c r="D48" s="260">
        <v>900.1</v>
      </c>
      <c r="E48" s="623">
        <f t="shared" si="1"/>
        <v>0.5164973891</v>
      </c>
      <c r="F48" s="624" t="str">
        <f t="shared" si="2"/>
        <v>Medium</v>
      </c>
      <c r="G48" s="626">
        <f>IF(E48&lt;(1/3), (1/3), IF(E48&lt;=(2/3), (2/3), 1))</f>
        <v>0.6666666667</v>
      </c>
      <c r="H48" s="622"/>
      <c r="I48" s="620"/>
      <c r="J48" s="620"/>
      <c r="K48" s="620"/>
      <c r="L48" s="620"/>
      <c r="M48" s="620"/>
      <c r="N48" s="620"/>
      <c r="O48" s="620"/>
      <c r="P48" s="620"/>
      <c r="Q48" s="628"/>
      <c r="R48" s="628"/>
      <c r="S48" s="628"/>
    </row>
    <row r="49">
      <c r="A49" s="433" t="s">
        <v>417</v>
      </c>
      <c r="B49" s="622">
        <v>2020.0</v>
      </c>
      <c r="C49" s="260">
        <v>18675.8</v>
      </c>
      <c r="D49" s="260">
        <v>10384.6</v>
      </c>
      <c r="E49" s="623">
        <f t="shared" si="1"/>
        <v>0.5560457919</v>
      </c>
      <c r="F49" s="624" t="str">
        <f t="shared" si="2"/>
        <v>Medium</v>
      </c>
      <c r="G49" s="520">
        <f>IF(E49 &lt;(1/3), (1/3), IF(E49 &lt;=(2/3), (2/3), 1))</f>
        <v>0.6666666667</v>
      </c>
      <c r="H49" s="622"/>
      <c r="I49" s="620"/>
      <c r="J49" s="620"/>
      <c r="K49" s="620"/>
      <c r="L49" s="620"/>
      <c r="M49" s="620"/>
      <c r="N49" s="620"/>
      <c r="O49" s="620"/>
      <c r="P49" s="620"/>
      <c r="Q49" s="628"/>
      <c r="R49" s="628"/>
      <c r="S49" s="628"/>
    </row>
    <row r="50">
      <c r="A50" s="433" t="s">
        <v>418</v>
      </c>
      <c r="B50" s="622">
        <v>2020.0</v>
      </c>
      <c r="C50" s="260">
        <v>11918.5</v>
      </c>
      <c r="D50" s="637">
        <v>6611.0</v>
      </c>
      <c r="E50" s="638">
        <f t="shared" si="1"/>
        <v>0.5546838948</v>
      </c>
      <c r="F50" s="624" t="str">
        <f t="shared" si="2"/>
        <v>Medium</v>
      </c>
      <c r="G50" s="626">
        <f>IF(E50&lt;(1/3), (1/3), IF(E50&lt;=(2/3), (2/3), 1))</f>
        <v>0.6666666667</v>
      </c>
      <c r="H50" s="622"/>
      <c r="I50" s="620"/>
      <c r="J50" s="620"/>
      <c r="K50" s="620"/>
      <c r="L50" s="620"/>
      <c r="M50" s="620"/>
      <c r="N50" s="620"/>
      <c r="O50" s="620"/>
      <c r="P50" s="620"/>
      <c r="Q50" s="628"/>
      <c r="R50" s="628"/>
      <c r="S50" s="628"/>
    </row>
    <row r="51">
      <c r="A51" s="433" t="s">
        <v>398</v>
      </c>
      <c r="B51" s="622">
        <v>2020.0</v>
      </c>
      <c r="C51" s="260">
        <v>1550.8</v>
      </c>
      <c r="D51" s="260">
        <v>1096.5</v>
      </c>
      <c r="E51" s="623">
        <f t="shared" si="1"/>
        <v>0.7070544235</v>
      </c>
      <c r="F51" s="624" t="str">
        <f t="shared" si="2"/>
        <v>High</v>
      </c>
      <c r="G51" s="520">
        <f>IF(E51 &lt;(1/3), (1/3), IF(E51 &lt;=(2/3), (2/3), 1))</f>
        <v>1</v>
      </c>
      <c r="H51" s="622"/>
      <c r="I51" s="620"/>
      <c r="J51" s="620"/>
      <c r="K51" s="620"/>
      <c r="L51" s="620"/>
      <c r="M51" s="620"/>
      <c r="N51" s="620"/>
      <c r="O51" s="620"/>
      <c r="P51" s="620"/>
      <c r="Q51" s="628"/>
      <c r="R51" s="628"/>
      <c r="S51" s="628"/>
    </row>
    <row r="52">
      <c r="A52" s="433" t="s">
        <v>318</v>
      </c>
      <c r="B52" s="622">
        <v>2020.0</v>
      </c>
      <c r="C52" s="260">
        <v>25178.2</v>
      </c>
      <c r="D52" s="260">
        <v>7085.0</v>
      </c>
      <c r="E52" s="623">
        <f t="shared" si="1"/>
        <v>0.281394222</v>
      </c>
      <c r="F52" s="624" t="str">
        <f t="shared" si="2"/>
        <v>Low</v>
      </c>
      <c r="G52" s="626">
        <f>IF(E52&lt;(1/3), (1/3), IF(E52&lt;=(2/3), (2/3), 1))</f>
        <v>0.3333333333</v>
      </c>
      <c r="H52" s="622"/>
      <c r="I52" s="620"/>
      <c r="J52" s="620"/>
      <c r="K52" s="620"/>
      <c r="L52" s="620"/>
      <c r="M52" s="620"/>
      <c r="N52" s="620"/>
      <c r="O52" s="620"/>
      <c r="P52" s="620"/>
      <c r="Q52" s="628"/>
      <c r="R52" s="628"/>
      <c r="S52" s="628"/>
    </row>
    <row r="53">
      <c r="A53" s="433" t="s">
        <v>405</v>
      </c>
      <c r="B53" s="622">
        <v>2020.0</v>
      </c>
      <c r="C53" s="260">
        <v>5142.2</v>
      </c>
      <c r="D53" s="260">
        <v>3391.3</v>
      </c>
      <c r="E53" s="623">
        <f t="shared" si="1"/>
        <v>0.6595037144</v>
      </c>
      <c r="F53" s="624" t="str">
        <f t="shared" si="2"/>
        <v>Medium</v>
      </c>
      <c r="G53" s="520">
        <f>IF(E53 &lt;(1/3), (1/3), IF(E53 &lt;=(2/3), (2/3), 1))</f>
        <v>0.6666666667</v>
      </c>
      <c r="H53" s="622"/>
      <c r="I53" s="620"/>
      <c r="J53" s="620"/>
      <c r="K53" s="620"/>
      <c r="L53" s="620"/>
      <c r="M53" s="620"/>
      <c r="N53" s="620"/>
      <c r="O53" s="620"/>
      <c r="P53" s="620"/>
      <c r="Q53" s="628"/>
      <c r="R53" s="628"/>
      <c r="S53" s="628"/>
    </row>
    <row r="54">
      <c r="A54" s="433" t="s">
        <v>408</v>
      </c>
      <c r="B54" s="622">
        <v>2020.0</v>
      </c>
      <c r="C54" s="260">
        <v>6677.1</v>
      </c>
      <c r="D54" s="260">
        <v>2489.5</v>
      </c>
      <c r="E54" s="623">
        <f t="shared" si="1"/>
        <v>0.372841503</v>
      </c>
      <c r="F54" s="624" t="str">
        <f t="shared" si="2"/>
        <v>Medium</v>
      </c>
      <c r="G54" s="626">
        <f>IF(E54&lt;(1/3), (1/3), IF(E54&lt;=(2/3), (2/3), 1))</f>
        <v>0.6666666667</v>
      </c>
      <c r="H54" s="622"/>
      <c r="I54" s="620"/>
      <c r="J54" s="620"/>
      <c r="K54" s="620"/>
      <c r="L54" s="620"/>
      <c r="M54" s="620"/>
      <c r="N54" s="620"/>
      <c r="O54" s="620"/>
      <c r="P54" s="620"/>
      <c r="Q54" s="628"/>
      <c r="R54" s="628"/>
      <c r="S54" s="628"/>
    </row>
    <row r="55">
      <c r="A55" s="444" t="s">
        <v>320</v>
      </c>
      <c r="B55" s="668">
        <v>2020.0</v>
      </c>
      <c r="C55" s="343">
        <v>7816.5</v>
      </c>
      <c r="D55" s="343">
        <v>2069.9</v>
      </c>
      <c r="E55" s="669">
        <f t="shared" si="1"/>
        <v>0.2648116165</v>
      </c>
      <c r="F55" s="670" t="str">
        <f t="shared" si="2"/>
        <v>Low</v>
      </c>
      <c r="G55" s="571">
        <f>IF(E55 &lt;(1/3), (1/3), IF(E55 &lt;=(2/3), (2/3), 1))</f>
        <v>0.3333333333</v>
      </c>
      <c r="H55" s="622"/>
      <c r="I55" s="620"/>
      <c r="J55" s="620"/>
      <c r="K55" s="620"/>
      <c r="L55" s="620"/>
      <c r="M55" s="620"/>
      <c r="N55" s="620"/>
      <c r="O55" s="620"/>
      <c r="P55" s="620"/>
      <c r="Q55" s="628"/>
      <c r="R55" s="628"/>
      <c r="S55" s="628"/>
    </row>
    <row r="56">
      <c r="A56" s="573"/>
      <c r="C56" s="483"/>
      <c r="D56" s="483"/>
      <c r="E56" s="672"/>
      <c r="F56" s="672"/>
      <c r="G56" s="573"/>
    </row>
    <row r="57">
      <c r="A57" s="573"/>
      <c r="C57" s="574" t="s">
        <v>690</v>
      </c>
      <c r="D57" s="62"/>
      <c r="E57" s="418" t="s">
        <v>421</v>
      </c>
      <c r="F57" s="672"/>
      <c r="G57" s="573"/>
    </row>
    <row r="58">
      <c r="A58" s="573"/>
      <c r="C58" s="575" t="s">
        <v>422</v>
      </c>
      <c r="D58" s="423">
        <f>max(E3:E55)</f>
        <v>0.9963082206</v>
      </c>
      <c r="E58" s="676" t="s">
        <v>276</v>
      </c>
      <c r="F58" s="573"/>
    </row>
    <row r="59">
      <c r="A59" s="573"/>
      <c r="C59" s="575" t="s">
        <v>423</v>
      </c>
      <c r="D59" s="423">
        <f>min(E3:E55)</f>
        <v>0.07506341154</v>
      </c>
      <c r="E59" s="424" t="s">
        <v>374</v>
      </c>
      <c r="F59" s="573"/>
    </row>
    <row r="60">
      <c r="A60" s="573"/>
      <c r="C60" s="575" t="s">
        <v>424</v>
      </c>
      <c r="D60" s="423">
        <f>average(E3:E55)</f>
        <v>0.4641181903</v>
      </c>
      <c r="E60" s="573"/>
      <c r="F60" s="573"/>
    </row>
    <row r="61">
      <c r="A61" s="573"/>
      <c r="C61" s="575" t="s">
        <v>425</v>
      </c>
      <c r="D61" s="423">
        <f>median(E3:E55)</f>
        <v>0.4549020472</v>
      </c>
      <c r="E61" s="573"/>
      <c r="F61" s="573"/>
    </row>
    <row r="62">
      <c r="A62" s="573"/>
      <c r="C62" s="577" t="s">
        <v>446</v>
      </c>
      <c r="D62" s="451">
        <f>stdev(E3:E55)</f>
        <v>0.2033748268</v>
      </c>
      <c r="E62" s="573"/>
      <c r="F62" s="573"/>
    </row>
    <row r="63">
      <c r="A63" s="573"/>
      <c r="C63" s="483"/>
      <c r="D63" s="483"/>
      <c r="E63" s="573"/>
    </row>
    <row r="64">
      <c r="A64" s="573"/>
      <c r="C64" s="484" t="s">
        <v>325</v>
      </c>
    </row>
    <row r="65">
      <c r="A65" s="573"/>
      <c r="C65" s="486" t="str">
        <f t="array" ref="C65:C84">{"INDICATOR INFORMATION";
  "Index Category: "&amp;CHAR(10)&amp;
  "EV Impact Index - Measures broader benefits of EV adoption";
  "";
  "Sub-Category: "&amp;CHAR(10)&amp;
  "Climate";
  "";
  "Indicator Name: "&amp;CHAR(10)&amp;
  "% CO2 from Transportation";
  "";
  "Description: "&amp;CHAR(10)&amp;
  "Measures the percentage of CO2 emissions from transportation relative to total CO2 emissions from fuel combustion";
  "";
  "Calculation Method: "&amp;CHAR(10)&amp;
  "See methodology note";
  "";
  "Scoring Categories: "&amp;CHAR(10)&amp;
  "• Low (&lt;33.33%) = Low Impact (1/3)"&amp;CHAR(10)&amp;
  "• Medium (33-66.67%) = Medium Impact (2/3)"&amp;CHAR(10)&amp;
  "• High (&gt;66.67%) = High Impact (3/3)";
  "";
  "Summary Statistics: "&amp;CHAR(10)&amp;
  "• Maximum: 99.63% (DR Congo)"&amp;CHAR(10)&amp;
  "• Minimum: 7.51% (Gabon)"&amp;CHAR(10)&amp;
  "• Average: 46%"&amp;CHAR(10)&amp;
  "• Median: 45%"&amp;CHAR(10)&amp;
  "• Standard Deviation: 20%";
  "";
  "Scoring Rationale: "&amp;CHAR(10)&amp;
  "• Equal thirds distribution chosen due to varying national contexts"&amp;CHAR(10)&amp;
  "• Accounts for differences in:"&amp;CHAR(10)&amp;
  "  - Level of industrialization"&amp;CHAR(10)&amp;
  "  - Energy/electricity generation sources"&amp;CHAR(10)&amp;
  "  - Transportation infrastructure";
  "";
  "Reference Point: "&amp;CHAR(10)&amp;
  "• US transportation sector: 28% of total GHG emissions (2022)";
  "";
  "Data Source: "&amp;CHAR(10)&amp;
  "• International Energy Agency (IEA)(2021)"}</f>
        <v>INDICATOR INFORMATION</v>
      </c>
      <c r="D65" s="582"/>
      <c r="E65" s="678"/>
      <c r="F65" s="678"/>
      <c r="G65" s="552"/>
    </row>
    <row r="66">
      <c r="A66" s="573"/>
      <c r="C66" s="487" t="s">
        <v>631</v>
      </c>
      <c r="D66" s="483"/>
      <c r="E66" s="573"/>
      <c r="F66" s="573"/>
      <c r="G66" s="275"/>
    </row>
    <row r="67">
      <c r="A67" s="573"/>
      <c r="C67" s="487" t="s">
        <v>126</v>
      </c>
      <c r="D67" s="483"/>
      <c r="E67" s="573"/>
      <c r="F67" s="573"/>
      <c r="G67" s="275"/>
    </row>
    <row r="68">
      <c r="A68" s="573"/>
      <c r="C68" s="487" t="s">
        <v>632</v>
      </c>
      <c r="D68" s="483"/>
      <c r="E68" s="573"/>
      <c r="F68" s="573"/>
      <c r="G68" s="275"/>
    </row>
    <row r="69">
      <c r="A69" s="573"/>
      <c r="C69" s="487" t="s">
        <v>126</v>
      </c>
      <c r="D69" s="483"/>
      <c r="E69" s="573"/>
      <c r="F69" s="573"/>
      <c r="G69" s="275"/>
    </row>
    <row r="70">
      <c r="A70" s="573"/>
      <c r="C70" s="487" t="s">
        <v>695</v>
      </c>
      <c r="D70" s="483"/>
      <c r="E70" s="573"/>
      <c r="F70" s="573"/>
      <c r="G70" s="275"/>
    </row>
    <row r="71">
      <c r="A71" s="573"/>
      <c r="C71" s="487" t="s">
        <v>126</v>
      </c>
      <c r="D71" s="483"/>
      <c r="E71" s="573"/>
      <c r="F71" s="573"/>
      <c r="G71" s="275"/>
    </row>
    <row r="72">
      <c r="A72" s="573"/>
      <c r="C72" s="487" t="s">
        <v>696</v>
      </c>
      <c r="D72" s="483"/>
      <c r="E72" s="573"/>
      <c r="F72" s="573"/>
      <c r="G72" s="275"/>
    </row>
    <row r="73">
      <c r="A73" s="573"/>
      <c r="C73" s="487" t="s">
        <v>126</v>
      </c>
      <c r="D73" s="483"/>
      <c r="E73" s="573"/>
      <c r="F73" s="573"/>
      <c r="G73" s="275"/>
    </row>
    <row r="74">
      <c r="A74" s="573"/>
      <c r="C74" s="487" t="s">
        <v>434</v>
      </c>
      <c r="D74" s="483"/>
      <c r="E74" s="573"/>
      <c r="F74" s="573"/>
      <c r="G74" s="275"/>
    </row>
    <row r="75">
      <c r="A75" s="573"/>
      <c r="C75" s="487" t="s">
        <v>126</v>
      </c>
      <c r="D75" s="483"/>
      <c r="E75" s="573"/>
      <c r="F75" s="573"/>
      <c r="G75" s="275"/>
    </row>
    <row r="76">
      <c r="A76" s="573"/>
      <c r="C76" s="487" t="s">
        <v>697</v>
      </c>
      <c r="D76" s="483"/>
      <c r="E76" s="573"/>
      <c r="F76" s="573"/>
      <c r="G76" s="275"/>
    </row>
    <row r="77">
      <c r="A77" s="573"/>
      <c r="C77" s="487" t="s">
        <v>126</v>
      </c>
      <c r="D77" s="483"/>
      <c r="E77" s="573"/>
      <c r="F77" s="573"/>
      <c r="G77" s="275"/>
    </row>
    <row r="78">
      <c r="A78" s="573"/>
      <c r="C78" s="487" t="s">
        <v>698</v>
      </c>
      <c r="D78" s="483"/>
      <c r="E78" s="573"/>
      <c r="F78" s="573"/>
      <c r="G78" s="275"/>
    </row>
    <row r="79">
      <c r="A79" s="573"/>
      <c r="C79" s="487" t="s">
        <v>126</v>
      </c>
      <c r="D79" s="483"/>
      <c r="E79" s="573"/>
      <c r="F79" s="573"/>
      <c r="G79" s="275"/>
    </row>
    <row r="80">
      <c r="A80" s="573"/>
      <c r="C80" s="487" t="s">
        <v>699</v>
      </c>
      <c r="D80" s="483"/>
      <c r="E80" s="573"/>
      <c r="F80" s="573"/>
      <c r="G80" s="275"/>
    </row>
    <row r="81">
      <c r="A81" s="573"/>
      <c r="C81" s="487" t="s">
        <v>126</v>
      </c>
      <c r="D81" s="483"/>
      <c r="E81" s="573"/>
      <c r="F81" s="573"/>
      <c r="G81" s="275"/>
    </row>
    <row r="82">
      <c r="A82" s="573"/>
      <c r="C82" s="487" t="s">
        <v>700</v>
      </c>
      <c r="D82" s="483"/>
      <c r="E82" s="573"/>
      <c r="F82" s="573"/>
      <c r="G82" s="275"/>
    </row>
    <row r="83">
      <c r="A83" s="573"/>
      <c r="C83" s="487" t="s">
        <v>126</v>
      </c>
      <c r="D83" s="483"/>
      <c r="E83" s="573"/>
      <c r="F83" s="573"/>
      <c r="G83" s="275"/>
    </row>
    <row r="84">
      <c r="A84" s="573"/>
      <c r="C84" s="487" t="s">
        <v>701</v>
      </c>
      <c r="D84" s="483"/>
      <c r="E84" s="573"/>
      <c r="F84" s="573"/>
      <c r="G84" s="275"/>
    </row>
    <row r="85">
      <c r="A85" s="573"/>
      <c r="C85" s="488"/>
      <c r="D85" s="586"/>
      <c r="E85" s="679"/>
      <c r="F85" s="679"/>
      <c r="G85" s="275"/>
    </row>
    <row r="86">
      <c r="A86" s="573"/>
      <c r="C86" s="483"/>
      <c r="D86" s="483"/>
      <c r="E86" s="573"/>
      <c r="F86" s="573"/>
    </row>
    <row r="87">
      <c r="A87" s="573"/>
      <c r="C87" s="483"/>
      <c r="D87" s="483"/>
      <c r="E87" s="573"/>
      <c r="F87" s="573"/>
    </row>
    <row r="88">
      <c r="A88" s="573"/>
      <c r="C88" s="483"/>
      <c r="D88" s="483"/>
      <c r="E88" s="573"/>
      <c r="F88" s="573"/>
    </row>
    <row r="89">
      <c r="A89" s="573"/>
      <c r="C89" s="483"/>
      <c r="D89" s="483"/>
      <c r="E89" s="573"/>
      <c r="F89" s="573"/>
    </row>
    <row r="90">
      <c r="A90" s="573"/>
      <c r="C90" s="483"/>
      <c r="D90" s="483"/>
      <c r="E90" s="573"/>
      <c r="F90" s="573"/>
    </row>
    <row r="91">
      <c r="A91" s="573"/>
      <c r="C91" s="483"/>
      <c r="D91" s="483"/>
      <c r="E91" s="573"/>
      <c r="F91" s="573"/>
    </row>
    <row r="92">
      <c r="A92" s="573"/>
      <c r="C92" s="483"/>
      <c r="D92" s="483"/>
      <c r="E92" s="573"/>
      <c r="F92" s="573"/>
    </row>
    <row r="93">
      <c r="A93" s="573"/>
      <c r="C93" s="483"/>
      <c r="D93" s="483"/>
      <c r="E93" s="573"/>
      <c r="F93" s="573"/>
    </row>
    <row r="94">
      <c r="A94" s="573"/>
      <c r="C94" s="483"/>
      <c r="D94" s="483"/>
      <c r="E94" s="573"/>
      <c r="F94" s="573"/>
    </row>
    <row r="95">
      <c r="A95" s="573"/>
      <c r="C95" s="483"/>
      <c r="D95" s="483"/>
      <c r="E95" s="573"/>
      <c r="F95" s="573"/>
    </row>
    <row r="96">
      <c r="A96" s="573"/>
      <c r="C96" s="483"/>
      <c r="D96" s="483"/>
      <c r="E96" s="573"/>
      <c r="F96" s="573"/>
    </row>
    <row r="97">
      <c r="A97" s="573"/>
      <c r="C97" s="483"/>
      <c r="D97" s="483"/>
      <c r="E97" s="573"/>
      <c r="F97" s="573"/>
    </row>
    <row r="98">
      <c r="A98" s="573"/>
      <c r="C98" s="483"/>
      <c r="D98" s="483"/>
      <c r="E98" s="573"/>
      <c r="F98" s="573"/>
    </row>
    <row r="99">
      <c r="A99" s="573"/>
      <c r="C99" s="483"/>
      <c r="D99" s="483"/>
      <c r="E99" s="573"/>
      <c r="F99" s="573"/>
    </row>
    <row r="100">
      <c r="A100" s="573"/>
      <c r="C100" s="483"/>
      <c r="D100" s="483"/>
      <c r="E100" s="573"/>
      <c r="F100" s="573"/>
    </row>
    <row r="101">
      <c r="A101" s="573"/>
      <c r="C101" s="483"/>
      <c r="D101" s="483"/>
      <c r="E101" s="573"/>
      <c r="F101" s="573"/>
    </row>
    <row r="102">
      <c r="A102" s="573"/>
      <c r="C102" s="483"/>
      <c r="D102" s="483"/>
      <c r="E102" s="573"/>
      <c r="F102" s="573"/>
    </row>
    <row r="103">
      <c r="A103" s="573"/>
      <c r="C103" s="483"/>
      <c r="D103" s="483"/>
      <c r="E103" s="573"/>
      <c r="F103" s="573"/>
    </row>
    <row r="104">
      <c r="A104" s="573"/>
      <c r="C104" s="483"/>
      <c r="D104" s="483"/>
      <c r="E104" s="573"/>
      <c r="F104" s="573"/>
    </row>
    <row r="105">
      <c r="A105" s="573"/>
      <c r="C105" s="483"/>
      <c r="D105" s="483"/>
      <c r="E105" s="573"/>
      <c r="F105" s="573"/>
    </row>
    <row r="106">
      <c r="A106" s="573"/>
      <c r="C106" s="483"/>
      <c r="D106" s="483"/>
      <c r="E106" s="573"/>
      <c r="F106" s="573"/>
    </row>
    <row r="107">
      <c r="A107" s="573"/>
      <c r="C107" s="483"/>
      <c r="D107" s="483"/>
      <c r="E107" s="573"/>
      <c r="F107" s="573"/>
    </row>
    <row r="108">
      <c r="A108" s="573"/>
      <c r="C108" s="483"/>
      <c r="D108" s="483"/>
      <c r="E108" s="573"/>
      <c r="F108" s="573"/>
    </row>
    <row r="109">
      <c r="A109" s="573"/>
      <c r="C109" s="483"/>
      <c r="D109" s="483"/>
      <c r="E109" s="573"/>
      <c r="F109" s="573"/>
    </row>
    <row r="110">
      <c r="A110" s="573"/>
      <c r="C110" s="483"/>
      <c r="D110" s="483"/>
      <c r="E110" s="573"/>
      <c r="F110" s="573"/>
    </row>
    <row r="111">
      <c r="A111" s="573"/>
      <c r="C111" s="483"/>
      <c r="D111" s="483"/>
      <c r="E111" s="573"/>
      <c r="F111" s="573"/>
    </row>
    <row r="112">
      <c r="A112" s="573"/>
      <c r="C112" s="483"/>
      <c r="D112" s="483"/>
      <c r="E112" s="573"/>
      <c r="F112" s="573"/>
    </row>
    <row r="113">
      <c r="A113" s="573"/>
      <c r="C113" s="483"/>
      <c r="D113" s="483"/>
      <c r="E113" s="573"/>
      <c r="F113" s="573"/>
    </row>
    <row r="114">
      <c r="A114" s="573"/>
      <c r="C114" s="483"/>
      <c r="D114" s="483"/>
      <c r="E114" s="573"/>
      <c r="F114" s="573"/>
    </row>
    <row r="115">
      <c r="A115" s="573"/>
      <c r="C115" s="483"/>
      <c r="D115" s="483"/>
      <c r="E115" s="573"/>
      <c r="F115" s="573"/>
    </row>
    <row r="116">
      <c r="A116" s="573"/>
      <c r="C116" s="483"/>
      <c r="D116" s="483"/>
      <c r="E116" s="573"/>
      <c r="F116" s="573"/>
    </row>
    <row r="117">
      <c r="A117" s="573"/>
      <c r="C117" s="483"/>
      <c r="D117" s="483"/>
      <c r="E117" s="573"/>
      <c r="F117" s="573"/>
    </row>
    <row r="118">
      <c r="A118" s="573"/>
      <c r="C118" s="483"/>
      <c r="D118" s="483"/>
      <c r="E118" s="573"/>
      <c r="F118" s="573"/>
    </row>
    <row r="119">
      <c r="A119" s="573"/>
      <c r="C119" s="483"/>
      <c r="D119" s="483"/>
      <c r="E119" s="573"/>
      <c r="F119" s="573"/>
    </row>
    <row r="120">
      <c r="A120" s="573"/>
      <c r="C120" s="483"/>
      <c r="D120" s="483"/>
      <c r="E120" s="573"/>
      <c r="F120" s="573"/>
    </row>
    <row r="121">
      <c r="A121" s="573"/>
      <c r="C121" s="483"/>
      <c r="D121" s="483"/>
      <c r="E121" s="573"/>
      <c r="F121" s="573"/>
    </row>
    <row r="122">
      <c r="A122" s="573"/>
      <c r="C122" s="483"/>
      <c r="D122" s="483"/>
      <c r="E122" s="573"/>
      <c r="F122" s="573"/>
    </row>
    <row r="123">
      <c r="A123" s="573"/>
      <c r="C123" s="483"/>
      <c r="D123" s="483"/>
      <c r="E123" s="573"/>
      <c r="F123" s="573"/>
    </row>
    <row r="124">
      <c r="A124" s="573"/>
      <c r="C124" s="483"/>
      <c r="D124" s="483"/>
      <c r="E124" s="573"/>
      <c r="F124" s="573"/>
    </row>
    <row r="125">
      <c r="A125" s="573"/>
      <c r="C125" s="483"/>
      <c r="D125" s="483"/>
      <c r="E125" s="573"/>
      <c r="F125" s="573"/>
    </row>
    <row r="126">
      <c r="A126" s="573"/>
      <c r="C126" s="483"/>
      <c r="D126" s="483"/>
      <c r="E126" s="573"/>
      <c r="F126" s="573"/>
    </row>
    <row r="127">
      <c r="A127" s="573"/>
      <c r="C127" s="483"/>
      <c r="D127" s="483"/>
      <c r="E127" s="573"/>
      <c r="F127" s="573"/>
    </row>
    <row r="128">
      <c r="A128" s="573"/>
      <c r="C128" s="483"/>
      <c r="D128" s="483"/>
      <c r="E128" s="573"/>
      <c r="F128" s="573"/>
    </row>
    <row r="129">
      <c r="A129" s="573"/>
      <c r="C129" s="483"/>
      <c r="D129" s="483"/>
      <c r="E129" s="573"/>
      <c r="F129" s="573"/>
    </row>
    <row r="130">
      <c r="A130" s="573"/>
      <c r="C130" s="483"/>
      <c r="D130" s="483"/>
      <c r="E130" s="573"/>
      <c r="F130" s="573"/>
    </row>
    <row r="131">
      <c r="A131" s="573"/>
      <c r="C131" s="483"/>
      <c r="D131" s="483"/>
      <c r="E131" s="573"/>
      <c r="F131" s="573"/>
    </row>
    <row r="132">
      <c r="A132" s="573"/>
      <c r="C132" s="483"/>
      <c r="D132" s="483"/>
      <c r="E132" s="573"/>
      <c r="F132" s="573"/>
    </row>
    <row r="133">
      <c r="A133" s="573"/>
      <c r="C133" s="483"/>
      <c r="D133" s="483"/>
      <c r="E133" s="573"/>
      <c r="F133" s="573"/>
    </row>
    <row r="134">
      <c r="A134" s="573"/>
      <c r="C134" s="483"/>
      <c r="D134" s="483"/>
      <c r="E134" s="573"/>
      <c r="F134" s="573"/>
    </row>
    <row r="135">
      <c r="A135" s="573"/>
      <c r="C135" s="483"/>
      <c r="D135" s="483"/>
      <c r="E135" s="573"/>
      <c r="F135" s="573"/>
    </row>
    <row r="136">
      <c r="A136" s="573"/>
      <c r="C136" s="483"/>
      <c r="D136" s="483"/>
      <c r="E136" s="573"/>
      <c r="F136" s="573"/>
    </row>
    <row r="137">
      <c r="A137" s="573"/>
      <c r="C137" s="483"/>
      <c r="D137" s="483"/>
      <c r="E137" s="573"/>
      <c r="F137" s="573"/>
    </row>
    <row r="138">
      <c r="A138" s="573"/>
      <c r="C138" s="483"/>
      <c r="D138" s="483"/>
      <c r="E138" s="573"/>
      <c r="F138" s="573"/>
    </row>
    <row r="139">
      <c r="A139" s="573"/>
      <c r="C139" s="483"/>
      <c r="D139" s="483"/>
      <c r="E139" s="573"/>
      <c r="F139" s="573"/>
    </row>
    <row r="140">
      <c r="A140" s="573"/>
      <c r="C140" s="483"/>
      <c r="D140" s="483"/>
      <c r="E140" s="573"/>
      <c r="F140" s="573"/>
    </row>
    <row r="141">
      <c r="A141" s="573"/>
      <c r="C141" s="483"/>
      <c r="D141" s="483"/>
      <c r="E141" s="573"/>
      <c r="F141" s="573"/>
    </row>
    <row r="142">
      <c r="A142" s="573"/>
      <c r="C142" s="483"/>
      <c r="D142" s="483"/>
      <c r="E142" s="573"/>
      <c r="F142" s="573"/>
    </row>
    <row r="143">
      <c r="A143" s="573"/>
      <c r="C143" s="483"/>
      <c r="D143" s="483"/>
      <c r="E143" s="573"/>
      <c r="F143" s="573"/>
    </row>
    <row r="144">
      <c r="A144" s="573"/>
      <c r="C144" s="483"/>
      <c r="D144" s="483"/>
      <c r="E144" s="573"/>
      <c r="F144" s="573"/>
    </row>
    <row r="145">
      <c r="A145" s="573"/>
      <c r="C145" s="483"/>
      <c r="D145" s="483"/>
      <c r="E145" s="573"/>
      <c r="F145" s="573"/>
    </row>
    <row r="146">
      <c r="A146" s="573"/>
      <c r="C146" s="483"/>
      <c r="D146" s="483"/>
      <c r="E146" s="573"/>
      <c r="F146" s="573"/>
    </row>
    <row r="147">
      <c r="A147" s="573"/>
      <c r="C147" s="483"/>
      <c r="D147" s="483"/>
      <c r="E147" s="573"/>
      <c r="F147" s="573"/>
    </row>
    <row r="148">
      <c r="A148" s="573"/>
      <c r="C148" s="483"/>
      <c r="D148" s="483"/>
      <c r="E148" s="573"/>
      <c r="F148" s="573"/>
    </row>
    <row r="149">
      <c r="A149" s="573"/>
      <c r="C149" s="483"/>
      <c r="D149" s="483"/>
      <c r="E149" s="573"/>
      <c r="F149" s="573"/>
    </row>
    <row r="150">
      <c r="A150" s="573"/>
      <c r="C150" s="483"/>
      <c r="D150" s="483"/>
      <c r="E150" s="573"/>
      <c r="F150" s="573"/>
    </row>
    <row r="151">
      <c r="A151" s="573"/>
      <c r="C151" s="483"/>
      <c r="D151" s="483"/>
      <c r="E151" s="573"/>
      <c r="F151" s="573"/>
    </row>
    <row r="152">
      <c r="A152" s="573"/>
      <c r="C152" s="483"/>
      <c r="D152" s="483"/>
      <c r="E152" s="573"/>
      <c r="F152" s="573"/>
    </row>
    <row r="153">
      <c r="A153" s="573"/>
      <c r="C153" s="483"/>
      <c r="D153" s="483"/>
      <c r="E153" s="573"/>
      <c r="F153" s="573"/>
    </row>
    <row r="154">
      <c r="A154" s="573"/>
      <c r="C154" s="483"/>
      <c r="D154" s="483"/>
      <c r="E154" s="573"/>
      <c r="F154" s="573"/>
    </row>
    <row r="155">
      <c r="A155" s="573"/>
      <c r="C155" s="483"/>
      <c r="D155" s="483"/>
      <c r="E155" s="573"/>
      <c r="F155" s="573"/>
    </row>
    <row r="156">
      <c r="A156" s="573"/>
      <c r="C156" s="483"/>
      <c r="D156" s="483"/>
      <c r="E156" s="573"/>
      <c r="F156" s="573"/>
    </row>
    <row r="157">
      <c r="A157" s="573"/>
      <c r="C157" s="483"/>
      <c r="D157" s="483"/>
      <c r="E157" s="573"/>
      <c r="F157" s="573"/>
    </row>
    <row r="158">
      <c r="A158" s="573"/>
      <c r="C158" s="483"/>
      <c r="D158" s="483"/>
      <c r="E158" s="573"/>
      <c r="F158" s="573"/>
    </row>
    <row r="159">
      <c r="A159" s="573"/>
      <c r="C159" s="483"/>
      <c r="D159" s="483"/>
      <c r="E159" s="573"/>
      <c r="F159" s="573"/>
    </row>
    <row r="160">
      <c r="A160" s="573"/>
      <c r="C160" s="483"/>
      <c r="D160" s="483"/>
      <c r="E160" s="573"/>
      <c r="F160" s="573"/>
    </row>
    <row r="161">
      <c r="A161" s="573"/>
      <c r="C161" s="483"/>
      <c r="D161" s="483"/>
      <c r="E161" s="573"/>
      <c r="F161" s="573"/>
    </row>
    <row r="162">
      <c r="A162" s="573"/>
      <c r="C162" s="483"/>
      <c r="D162" s="483"/>
      <c r="E162" s="573"/>
      <c r="F162" s="573"/>
    </row>
    <row r="163">
      <c r="A163" s="573"/>
      <c r="C163" s="483"/>
      <c r="D163" s="483"/>
      <c r="E163" s="573"/>
      <c r="F163" s="573"/>
    </row>
    <row r="164">
      <c r="A164" s="573"/>
      <c r="C164" s="483"/>
      <c r="D164" s="483"/>
      <c r="E164" s="573"/>
      <c r="F164" s="573"/>
    </row>
    <row r="165">
      <c r="A165" s="573"/>
      <c r="C165" s="483"/>
      <c r="D165" s="483"/>
      <c r="E165" s="573"/>
      <c r="F165" s="573"/>
    </row>
    <row r="166">
      <c r="A166" s="573"/>
      <c r="C166" s="483"/>
      <c r="D166" s="483"/>
      <c r="E166" s="573"/>
      <c r="F166" s="573"/>
    </row>
    <row r="167">
      <c r="A167" s="573"/>
      <c r="C167" s="483"/>
      <c r="D167" s="483"/>
      <c r="E167" s="573"/>
      <c r="F167" s="573"/>
    </row>
    <row r="168">
      <c r="A168" s="573"/>
      <c r="C168" s="483"/>
      <c r="D168" s="483"/>
      <c r="E168" s="573"/>
      <c r="F168" s="573"/>
    </row>
    <row r="169">
      <c r="A169" s="573"/>
      <c r="C169" s="483"/>
      <c r="D169" s="483"/>
      <c r="E169" s="573"/>
      <c r="F169" s="573"/>
    </row>
    <row r="170">
      <c r="A170" s="573"/>
      <c r="C170" s="483"/>
      <c r="D170" s="483"/>
      <c r="E170" s="573"/>
      <c r="F170" s="573"/>
    </row>
    <row r="171">
      <c r="A171" s="573"/>
      <c r="C171" s="483"/>
      <c r="D171" s="483"/>
      <c r="E171" s="573"/>
      <c r="F171" s="573"/>
    </row>
    <row r="172">
      <c r="A172" s="573"/>
      <c r="C172" s="483"/>
      <c r="D172" s="483"/>
      <c r="E172" s="573"/>
      <c r="F172" s="573"/>
    </row>
    <row r="173">
      <c r="A173" s="573"/>
      <c r="C173" s="483"/>
      <c r="D173" s="483"/>
      <c r="E173" s="573"/>
      <c r="F173" s="573"/>
    </row>
    <row r="174">
      <c r="A174" s="573"/>
      <c r="C174" s="483"/>
      <c r="D174" s="483"/>
      <c r="E174" s="573"/>
      <c r="F174" s="573"/>
    </row>
    <row r="175">
      <c r="A175" s="573"/>
      <c r="C175" s="483"/>
      <c r="D175" s="483"/>
      <c r="E175" s="573"/>
      <c r="F175" s="573"/>
    </row>
    <row r="176">
      <c r="A176" s="573"/>
      <c r="C176" s="483"/>
      <c r="D176" s="483"/>
      <c r="E176" s="573"/>
      <c r="F176" s="573"/>
    </row>
    <row r="177">
      <c r="A177" s="573"/>
      <c r="C177" s="483"/>
      <c r="D177" s="483"/>
      <c r="E177" s="573"/>
      <c r="F177" s="573"/>
    </row>
    <row r="178">
      <c r="A178" s="573"/>
      <c r="C178" s="483"/>
      <c r="D178" s="483"/>
      <c r="E178" s="573"/>
      <c r="F178" s="573"/>
    </row>
    <row r="179">
      <c r="A179" s="573"/>
      <c r="C179" s="483"/>
      <c r="D179" s="483"/>
      <c r="E179" s="573"/>
      <c r="F179" s="573"/>
    </row>
    <row r="180">
      <c r="A180" s="573"/>
      <c r="C180" s="483"/>
      <c r="D180" s="483"/>
      <c r="E180" s="573"/>
      <c r="F180" s="573"/>
    </row>
    <row r="181">
      <c r="A181" s="573"/>
      <c r="C181" s="483"/>
      <c r="D181" s="483"/>
      <c r="E181" s="573"/>
      <c r="F181" s="573"/>
    </row>
    <row r="182">
      <c r="A182" s="573"/>
      <c r="C182" s="483"/>
      <c r="D182" s="483"/>
      <c r="E182" s="573"/>
      <c r="F182" s="573"/>
    </row>
    <row r="183">
      <c r="A183" s="573"/>
      <c r="C183" s="483"/>
      <c r="D183" s="483"/>
      <c r="E183" s="573"/>
      <c r="F183" s="573"/>
    </row>
    <row r="184">
      <c r="A184" s="573"/>
      <c r="C184" s="483"/>
      <c r="D184" s="483"/>
      <c r="E184" s="573"/>
      <c r="F184" s="573"/>
    </row>
    <row r="185">
      <c r="A185" s="573"/>
      <c r="C185" s="483"/>
      <c r="D185" s="483"/>
      <c r="E185" s="573"/>
      <c r="F185" s="573"/>
    </row>
    <row r="186">
      <c r="A186" s="573"/>
      <c r="C186" s="483"/>
      <c r="D186" s="483"/>
      <c r="E186" s="573"/>
      <c r="F186" s="573"/>
    </row>
    <row r="187">
      <c r="A187" s="573"/>
      <c r="C187" s="483"/>
      <c r="D187" s="483"/>
      <c r="E187" s="573"/>
      <c r="F187" s="573"/>
    </row>
    <row r="188">
      <c r="A188" s="573"/>
      <c r="C188" s="483"/>
      <c r="D188" s="483"/>
      <c r="E188" s="573"/>
      <c r="F188" s="573"/>
    </row>
    <row r="189">
      <c r="A189" s="573"/>
      <c r="C189" s="483"/>
      <c r="D189" s="483"/>
      <c r="E189" s="573"/>
      <c r="F189" s="573"/>
    </row>
    <row r="190">
      <c r="A190" s="573"/>
      <c r="C190" s="483"/>
      <c r="D190" s="483"/>
      <c r="E190" s="573"/>
      <c r="F190" s="573"/>
    </row>
    <row r="191">
      <c r="A191" s="573"/>
      <c r="C191" s="483"/>
      <c r="D191" s="483"/>
      <c r="E191" s="573"/>
      <c r="F191" s="573"/>
    </row>
    <row r="192">
      <c r="A192" s="573"/>
      <c r="C192" s="483"/>
      <c r="D192" s="483"/>
      <c r="E192" s="573"/>
      <c r="F192" s="573"/>
    </row>
    <row r="193">
      <c r="A193" s="573"/>
      <c r="C193" s="483"/>
      <c r="D193" s="483"/>
      <c r="E193" s="573"/>
      <c r="F193" s="573"/>
    </row>
    <row r="194">
      <c r="A194" s="573"/>
      <c r="C194" s="483"/>
      <c r="D194" s="483"/>
      <c r="E194" s="573"/>
      <c r="F194" s="573"/>
    </row>
    <row r="195">
      <c r="A195" s="573"/>
      <c r="C195" s="483"/>
      <c r="D195" s="483"/>
      <c r="E195" s="573"/>
      <c r="F195" s="573"/>
    </row>
    <row r="196">
      <c r="A196" s="573"/>
      <c r="C196" s="483"/>
      <c r="D196" s="483"/>
      <c r="E196" s="573"/>
      <c r="F196" s="573"/>
    </row>
    <row r="197">
      <c r="A197" s="573"/>
      <c r="C197" s="483"/>
      <c r="D197" s="483"/>
      <c r="E197" s="573"/>
      <c r="F197" s="573"/>
    </row>
    <row r="198">
      <c r="A198" s="573"/>
      <c r="C198" s="483"/>
      <c r="D198" s="483"/>
      <c r="E198" s="573"/>
      <c r="F198" s="573"/>
    </row>
    <row r="199">
      <c r="A199" s="573"/>
      <c r="C199" s="483"/>
      <c r="D199" s="483"/>
      <c r="E199" s="573"/>
      <c r="F199" s="573"/>
    </row>
    <row r="200">
      <c r="A200" s="573"/>
      <c r="C200" s="483"/>
      <c r="D200" s="483"/>
      <c r="E200" s="573"/>
      <c r="F200" s="573"/>
    </row>
    <row r="201">
      <c r="A201" s="573"/>
      <c r="C201" s="483"/>
      <c r="D201" s="483"/>
      <c r="E201" s="573"/>
      <c r="F201" s="573"/>
    </row>
    <row r="202">
      <c r="A202" s="573"/>
      <c r="C202" s="483"/>
      <c r="D202" s="483"/>
      <c r="E202" s="573"/>
      <c r="F202" s="573"/>
    </row>
    <row r="203">
      <c r="A203" s="573"/>
      <c r="C203" s="483"/>
      <c r="D203" s="483"/>
      <c r="E203" s="573"/>
      <c r="F203" s="573"/>
    </row>
    <row r="204">
      <c r="A204" s="573"/>
      <c r="C204" s="483"/>
      <c r="D204" s="483"/>
      <c r="E204" s="573"/>
      <c r="F204" s="573"/>
    </row>
    <row r="205">
      <c r="A205" s="573"/>
      <c r="C205" s="483"/>
      <c r="D205" s="483"/>
      <c r="E205" s="573"/>
      <c r="F205" s="573"/>
    </row>
    <row r="206">
      <c r="A206" s="573"/>
      <c r="C206" s="483"/>
      <c r="D206" s="483"/>
      <c r="E206" s="573"/>
      <c r="F206" s="573"/>
    </row>
    <row r="207">
      <c r="A207" s="573"/>
      <c r="C207" s="483"/>
      <c r="D207" s="483"/>
      <c r="E207" s="573"/>
      <c r="F207" s="573"/>
    </row>
    <row r="208">
      <c r="A208" s="573"/>
      <c r="C208" s="483"/>
      <c r="D208" s="483"/>
      <c r="E208" s="573"/>
      <c r="F208" s="573"/>
    </row>
    <row r="209">
      <c r="A209" s="573"/>
      <c r="C209" s="483"/>
      <c r="D209" s="483"/>
      <c r="E209" s="573"/>
      <c r="F209" s="573"/>
    </row>
    <row r="210">
      <c r="A210" s="573"/>
      <c r="C210" s="483"/>
      <c r="D210" s="483"/>
      <c r="E210" s="573"/>
      <c r="F210" s="573"/>
    </row>
    <row r="211">
      <c r="A211" s="573"/>
      <c r="C211" s="483"/>
      <c r="D211" s="483"/>
      <c r="E211" s="573"/>
      <c r="F211" s="573"/>
    </row>
    <row r="212">
      <c r="A212" s="573"/>
      <c r="C212" s="483"/>
      <c r="D212" s="483"/>
      <c r="E212" s="573"/>
      <c r="F212" s="573"/>
    </row>
    <row r="213">
      <c r="A213" s="573"/>
      <c r="C213" s="483"/>
      <c r="D213" s="483"/>
      <c r="E213" s="573"/>
      <c r="F213" s="573"/>
    </row>
    <row r="214">
      <c r="A214" s="573"/>
      <c r="C214" s="483"/>
      <c r="D214" s="483"/>
      <c r="E214" s="573"/>
      <c r="F214" s="573"/>
    </row>
    <row r="215">
      <c r="A215" s="573"/>
      <c r="C215" s="483"/>
      <c r="D215" s="483"/>
      <c r="E215" s="573"/>
      <c r="F215" s="573"/>
    </row>
    <row r="216">
      <c r="A216" s="573"/>
      <c r="C216" s="483"/>
      <c r="D216" s="483"/>
      <c r="E216" s="573"/>
      <c r="F216" s="573"/>
    </row>
    <row r="217">
      <c r="A217" s="573"/>
      <c r="C217" s="483"/>
      <c r="D217" s="483"/>
      <c r="E217" s="573"/>
      <c r="F217" s="573"/>
    </row>
    <row r="218">
      <c r="A218" s="573"/>
      <c r="C218" s="483"/>
      <c r="D218" s="483"/>
      <c r="E218" s="573"/>
      <c r="F218" s="573"/>
    </row>
    <row r="219">
      <c r="A219" s="573"/>
      <c r="C219" s="483"/>
      <c r="D219" s="483"/>
      <c r="E219" s="573"/>
      <c r="F219" s="573"/>
    </row>
    <row r="220">
      <c r="A220" s="573"/>
      <c r="C220" s="483"/>
      <c r="D220" s="483"/>
      <c r="E220" s="573"/>
      <c r="F220" s="573"/>
    </row>
    <row r="221">
      <c r="A221" s="573"/>
      <c r="C221" s="483"/>
      <c r="D221" s="483"/>
      <c r="E221" s="573"/>
      <c r="F221" s="573"/>
    </row>
    <row r="222">
      <c r="A222" s="573"/>
      <c r="C222" s="483"/>
      <c r="D222" s="483"/>
      <c r="E222" s="573"/>
      <c r="F222" s="573"/>
    </row>
    <row r="223">
      <c r="A223" s="573"/>
      <c r="C223" s="483"/>
      <c r="D223" s="483"/>
      <c r="E223" s="573"/>
      <c r="F223" s="573"/>
    </row>
    <row r="224">
      <c r="A224" s="573"/>
      <c r="C224" s="483"/>
      <c r="D224" s="483"/>
      <c r="E224" s="573"/>
      <c r="F224" s="573"/>
    </row>
    <row r="225">
      <c r="A225" s="573"/>
      <c r="C225" s="483"/>
      <c r="D225" s="483"/>
      <c r="E225" s="573"/>
      <c r="F225" s="573"/>
    </row>
    <row r="226">
      <c r="A226" s="573"/>
      <c r="C226" s="483"/>
      <c r="D226" s="483"/>
      <c r="E226" s="573"/>
      <c r="F226" s="573"/>
    </row>
    <row r="227">
      <c r="A227" s="573"/>
      <c r="C227" s="483"/>
      <c r="D227" s="483"/>
      <c r="E227" s="573"/>
      <c r="F227" s="573"/>
    </row>
    <row r="228">
      <c r="A228" s="573"/>
      <c r="C228" s="483"/>
      <c r="D228" s="483"/>
      <c r="E228" s="573"/>
      <c r="F228" s="573"/>
    </row>
    <row r="229">
      <c r="A229" s="573"/>
      <c r="C229" s="483"/>
      <c r="D229" s="483"/>
      <c r="E229" s="573"/>
      <c r="F229" s="573"/>
    </row>
    <row r="230">
      <c r="A230" s="573"/>
      <c r="C230" s="483"/>
      <c r="D230" s="483"/>
      <c r="E230" s="573"/>
      <c r="F230" s="573"/>
    </row>
    <row r="231">
      <c r="A231" s="573"/>
      <c r="C231" s="483"/>
      <c r="D231" s="483"/>
      <c r="E231" s="573"/>
      <c r="F231" s="573"/>
    </row>
    <row r="232">
      <c r="A232" s="573"/>
      <c r="C232" s="483"/>
      <c r="D232" s="483"/>
      <c r="E232" s="573"/>
      <c r="F232" s="573"/>
    </row>
    <row r="233">
      <c r="A233" s="573"/>
      <c r="C233" s="483"/>
      <c r="D233" s="483"/>
      <c r="E233" s="573"/>
      <c r="F233" s="573"/>
    </row>
    <row r="234">
      <c r="A234" s="573"/>
      <c r="C234" s="483"/>
      <c r="D234" s="483"/>
      <c r="E234" s="573"/>
      <c r="F234" s="573"/>
    </row>
    <row r="235">
      <c r="A235" s="573"/>
      <c r="C235" s="483"/>
      <c r="D235" s="483"/>
      <c r="E235" s="573"/>
      <c r="F235" s="573"/>
    </row>
    <row r="236">
      <c r="A236" s="573"/>
      <c r="C236" s="483"/>
      <c r="D236" s="483"/>
      <c r="E236" s="573"/>
      <c r="F236" s="573"/>
    </row>
    <row r="237">
      <c r="A237" s="573"/>
      <c r="C237" s="483"/>
      <c r="D237" s="483"/>
      <c r="E237" s="573"/>
      <c r="F237" s="573"/>
    </row>
    <row r="238">
      <c r="A238" s="573"/>
      <c r="C238" s="483"/>
      <c r="D238" s="483"/>
      <c r="E238" s="573"/>
      <c r="F238" s="573"/>
    </row>
    <row r="239">
      <c r="A239" s="573"/>
      <c r="C239" s="483"/>
      <c r="D239" s="483"/>
      <c r="E239" s="573"/>
      <c r="F239" s="573"/>
    </row>
    <row r="240">
      <c r="A240" s="573"/>
      <c r="C240" s="483"/>
      <c r="D240" s="483"/>
      <c r="E240" s="573"/>
      <c r="F240" s="573"/>
    </row>
    <row r="241">
      <c r="A241" s="573"/>
      <c r="C241" s="483"/>
      <c r="D241" s="483"/>
      <c r="E241" s="573"/>
      <c r="F241" s="573"/>
    </row>
    <row r="242">
      <c r="A242" s="573"/>
      <c r="C242" s="483"/>
      <c r="D242" s="483"/>
      <c r="E242" s="573"/>
      <c r="F242" s="573"/>
    </row>
    <row r="243">
      <c r="A243" s="573"/>
      <c r="C243" s="483"/>
      <c r="D243" s="483"/>
      <c r="E243" s="573"/>
      <c r="F243" s="573"/>
    </row>
    <row r="244">
      <c r="A244" s="573"/>
      <c r="C244" s="483"/>
      <c r="D244" s="483"/>
      <c r="E244" s="573"/>
      <c r="F244" s="573"/>
    </row>
    <row r="245">
      <c r="A245" s="573"/>
      <c r="C245" s="483"/>
      <c r="D245" s="483"/>
      <c r="E245" s="573"/>
      <c r="F245" s="573"/>
    </row>
    <row r="246">
      <c r="A246" s="573"/>
      <c r="C246" s="483"/>
      <c r="D246" s="483"/>
      <c r="E246" s="573"/>
      <c r="F246" s="573"/>
    </row>
    <row r="247">
      <c r="A247" s="573"/>
      <c r="C247" s="483"/>
      <c r="D247" s="483"/>
      <c r="E247" s="573"/>
      <c r="F247" s="573"/>
    </row>
    <row r="248">
      <c r="A248" s="573"/>
      <c r="C248" s="483"/>
      <c r="D248" s="483"/>
      <c r="E248" s="573"/>
      <c r="F248" s="573"/>
    </row>
    <row r="249">
      <c r="A249" s="573"/>
      <c r="C249" s="483"/>
      <c r="D249" s="483"/>
      <c r="E249" s="573"/>
      <c r="F249" s="573"/>
    </row>
    <row r="250">
      <c r="A250" s="573"/>
      <c r="C250" s="483"/>
      <c r="D250" s="483"/>
      <c r="E250" s="573"/>
      <c r="F250" s="573"/>
    </row>
    <row r="251">
      <c r="A251" s="573"/>
      <c r="C251" s="483"/>
      <c r="D251" s="483"/>
      <c r="E251" s="573"/>
      <c r="F251" s="573"/>
    </row>
    <row r="252">
      <c r="A252" s="573"/>
      <c r="C252" s="483"/>
      <c r="D252" s="483"/>
      <c r="E252" s="573"/>
      <c r="F252" s="573"/>
    </row>
    <row r="253">
      <c r="A253" s="573"/>
      <c r="C253" s="483"/>
      <c r="D253" s="483"/>
      <c r="E253" s="573"/>
      <c r="F253" s="573"/>
    </row>
    <row r="254">
      <c r="A254" s="573"/>
      <c r="C254" s="483"/>
      <c r="D254" s="483"/>
      <c r="E254" s="573"/>
      <c r="F254" s="573"/>
    </row>
    <row r="255">
      <c r="A255" s="573"/>
      <c r="C255" s="483"/>
      <c r="D255" s="483"/>
      <c r="E255" s="573"/>
      <c r="F255" s="573"/>
    </row>
    <row r="256">
      <c r="A256" s="573"/>
      <c r="C256" s="483"/>
      <c r="D256" s="483"/>
      <c r="E256" s="573"/>
      <c r="F256" s="573"/>
    </row>
    <row r="257">
      <c r="A257" s="573"/>
      <c r="C257" s="483"/>
      <c r="D257" s="483"/>
      <c r="E257" s="573"/>
      <c r="F257" s="573"/>
    </row>
    <row r="258">
      <c r="A258" s="573"/>
      <c r="C258" s="483"/>
      <c r="D258" s="483"/>
      <c r="E258" s="573"/>
      <c r="F258" s="573"/>
    </row>
    <row r="259">
      <c r="A259" s="573"/>
      <c r="C259" s="483"/>
      <c r="D259" s="483"/>
      <c r="E259" s="573"/>
      <c r="F259" s="573"/>
    </row>
    <row r="260">
      <c r="A260" s="573"/>
      <c r="C260" s="483"/>
      <c r="D260" s="483"/>
      <c r="E260" s="573"/>
      <c r="F260" s="573"/>
    </row>
    <row r="261">
      <c r="A261" s="573"/>
      <c r="C261" s="483"/>
      <c r="D261" s="483"/>
      <c r="E261" s="573"/>
      <c r="F261" s="573"/>
    </row>
    <row r="262">
      <c r="A262" s="573"/>
      <c r="C262" s="483"/>
      <c r="D262" s="483"/>
      <c r="E262" s="573"/>
      <c r="F262" s="573"/>
    </row>
    <row r="263">
      <c r="A263" s="573"/>
      <c r="C263" s="483"/>
      <c r="D263" s="483"/>
      <c r="E263" s="573"/>
      <c r="F263" s="573"/>
    </row>
    <row r="264">
      <c r="A264" s="573"/>
      <c r="C264" s="483"/>
      <c r="D264" s="483"/>
      <c r="E264" s="573"/>
      <c r="F264" s="573"/>
    </row>
    <row r="265">
      <c r="A265" s="573"/>
      <c r="C265" s="483"/>
      <c r="D265" s="483"/>
      <c r="E265" s="573"/>
      <c r="F265" s="573"/>
    </row>
    <row r="266">
      <c r="A266" s="573"/>
      <c r="C266" s="483"/>
      <c r="D266" s="483"/>
      <c r="E266" s="573"/>
      <c r="F266" s="573"/>
    </row>
    <row r="267">
      <c r="A267" s="573"/>
      <c r="C267" s="483"/>
      <c r="D267" s="483"/>
      <c r="E267" s="573"/>
      <c r="F267" s="573"/>
    </row>
    <row r="268">
      <c r="A268" s="573"/>
      <c r="C268" s="483"/>
      <c r="D268" s="483"/>
      <c r="E268" s="573"/>
      <c r="F268" s="573"/>
    </row>
    <row r="269">
      <c r="A269" s="573"/>
      <c r="C269" s="483"/>
      <c r="D269" s="483"/>
      <c r="E269" s="573"/>
      <c r="F269" s="573"/>
    </row>
    <row r="270">
      <c r="A270" s="573"/>
      <c r="C270" s="483"/>
      <c r="D270" s="483"/>
      <c r="E270" s="573"/>
      <c r="F270" s="573"/>
    </row>
    <row r="271">
      <c r="A271" s="573"/>
      <c r="C271" s="483"/>
      <c r="D271" s="483"/>
      <c r="E271" s="573"/>
      <c r="F271" s="573"/>
    </row>
    <row r="272">
      <c r="A272" s="573"/>
      <c r="C272" s="483"/>
      <c r="D272" s="483"/>
      <c r="E272" s="573"/>
      <c r="F272" s="573"/>
    </row>
    <row r="273">
      <c r="A273" s="573"/>
      <c r="C273" s="483"/>
      <c r="D273" s="483"/>
      <c r="E273" s="573"/>
      <c r="F273" s="573"/>
    </row>
    <row r="274">
      <c r="A274" s="573"/>
      <c r="C274" s="483"/>
      <c r="D274" s="483"/>
      <c r="E274" s="573"/>
      <c r="F274" s="573"/>
    </row>
    <row r="275">
      <c r="A275" s="573"/>
      <c r="C275" s="483"/>
      <c r="D275" s="483"/>
      <c r="E275" s="573"/>
      <c r="F275" s="573"/>
    </row>
    <row r="276">
      <c r="A276" s="573"/>
      <c r="C276" s="483"/>
      <c r="D276" s="483"/>
      <c r="E276" s="573"/>
      <c r="F276" s="573"/>
    </row>
    <row r="277">
      <c r="A277" s="573"/>
      <c r="C277" s="483"/>
      <c r="D277" s="483"/>
      <c r="E277" s="573"/>
      <c r="F277" s="573"/>
    </row>
    <row r="278">
      <c r="A278" s="573"/>
      <c r="C278" s="483"/>
      <c r="D278" s="483"/>
      <c r="E278" s="573"/>
      <c r="F278" s="573"/>
    </row>
    <row r="279">
      <c r="A279" s="573"/>
      <c r="C279" s="483"/>
      <c r="D279" s="483"/>
      <c r="E279" s="573"/>
      <c r="F279" s="573"/>
    </row>
    <row r="280">
      <c r="A280" s="573"/>
      <c r="C280" s="483"/>
      <c r="D280" s="483"/>
      <c r="E280" s="573"/>
      <c r="F280" s="573"/>
    </row>
    <row r="281">
      <c r="A281" s="573"/>
      <c r="C281" s="483"/>
      <c r="D281" s="483"/>
      <c r="E281" s="573"/>
      <c r="F281" s="573"/>
    </row>
    <row r="282">
      <c r="A282" s="573"/>
      <c r="C282" s="483"/>
      <c r="D282" s="483"/>
      <c r="E282" s="573"/>
      <c r="F282" s="573"/>
    </row>
    <row r="283">
      <c r="A283" s="573"/>
      <c r="C283" s="483"/>
      <c r="D283" s="483"/>
      <c r="E283" s="573"/>
      <c r="F283" s="573"/>
    </row>
    <row r="284">
      <c r="A284" s="573"/>
      <c r="C284" s="483"/>
      <c r="D284" s="483"/>
      <c r="E284" s="573"/>
      <c r="F284" s="573"/>
    </row>
    <row r="285">
      <c r="A285" s="573"/>
      <c r="C285" s="483"/>
      <c r="D285" s="483"/>
      <c r="E285" s="573"/>
      <c r="F285" s="573"/>
    </row>
    <row r="286">
      <c r="A286" s="573"/>
      <c r="C286" s="483"/>
      <c r="D286" s="483"/>
      <c r="E286" s="573"/>
      <c r="F286" s="573"/>
    </row>
    <row r="287">
      <c r="A287" s="573"/>
      <c r="C287" s="483"/>
      <c r="D287" s="483"/>
      <c r="E287" s="573"/>
      <c r="F287" s="573"/>
    </row>
    <row r="288">
      <c r="A288" s="573"/>
      <c r="C288" s="483"/>
      <c r="D288" s="483"/>
      <c r="E288" s="573"/>
      <c r="F288" s="573"/>
    </row>
    <row r="289">
      <c r="A289" s="573"/>
      <c r="C289" s="483"/>
      <c r="D289" s="483"/>
      <c r="E289" s="573"/>
      <c r="F289" s="573"/>
    </row>
    <row r="290">
      <c r="A290" s="573"/>
      <c r="C290" s="483"/>
      <c r="D290" s="483"/>
      <c r="E290" s="573"/>
      <c r="F290" s="573"/>
    </row>
    <row r="291">
      <c r="A291" s="573"/>
      <c r="C291" s="483"/>
      <c r="D291" s="483"/>
      <c r="E291" s="573"/>
      <c r="F291" s="573"/>
    </row>
    <row r="292">
      <c r="A292" s="573"/>
      <c r="C292" s="483"/>
      <c r="D292" s="483"/>
      <c r="E292" s="573"/>
      <c r="F292" s="573"/>
    </row>
    <row r="293">
      <c r="A293" s="573"/>
      <c r="C293" s="483"/>
      <c r="D293" s="483"/>
      <c r="E293" s="573"/>
      <c r="F293" s="573"/>
    </row>
    <row r="294">
      <c r="A294" s="573"/>
      <c r="C294" s="483"/>
      <c r="D294" s="483"/>
      <c r="E294" s="573"/>
      <c r="F294" s="573"/>
    </row>
    <row r="295">
      <c r="A295" s="573"/>
      <c r="C295" s="483"/>
      <c r="D295" s="483"/>
      <c r="E295" s="573"/>
      <c r="F295" s="573"/>
    </row>
    <row r="296">
      <c r="A296" s="573"/>
      <c r="C296" s="483"/>
      <c r="D296" s="483"/>
      <c r="E296" s="573"/>
      <c r="F296" s="573"/>
    </row>
    <row r="297">
      <c r="A297" s="573"/>
      <c r="C297" s="483"/>
      <c r="D297" s="483"/>
      <c r="E297" s="573"/>
      <c r="F297" s="573"/>
    </row>
    <row r="298">
      <c r="A298" s="573"/>
      <c r="C298" s="483"/>
      <c r="D298" s="483"/>
      <c r="E298" s="573"/>
      <c r="F298" s="573"/>
    </row>
    <row r="299">
      <c r="A299" s="573"/>
      <c r="C299" s="483"/>
      <c r="D299" s="483"/>
      <c r="E299" s="573"/>
      <c r="F299" s="573"/>
    </row>
    <row r="300">
      <c r="A300" s="573"/>
      <c r="C300" s="483"/>
      <c r="D300" s="483"/>
      <c r="E300" s="573"/>
      <c r="F300" s="573"/>
    </row>
    <row r="301">
      <c r="A301" s="573"/>
      <c r="C301" s="483"/>
      <c r="D301" s="483"/>
      <c r="E301" s="573"/>
      <c r="F301" s="573"/>
    </row>
    <row r="302">
      <c r="A302" s="573"/>
      <c r="C302" s="483"/>
      <c r="D302" s="483"/>
      <c r="E302" s="573"/>
      <c r="F302" s="573"/>
    </row>
    <row r="303">
      <c r="A303" s="573"/>
      <c r="C303" s="483"/>
      <c r="D303" s="483"/>
      <c r="E303" s="573"/>
      <c r="F303" s="573"/>
    </row>
    <row r="304">
      <c r="A304" s="573"/>
      <c r="C304" s="483"/>
      <c r="D304" s="483"/>
      <c r="E304" s="573"/>
      <c r="F304" s="573"/>
    </row>
    <row r="305">
      <c r="A305" s="573"/>
      <c r="C305" s="483"/>
      <c r="D305" s="483"/>
      <c r="E305" s="573"/>
      <c r="F305" s="573"/>
    </row>
    <row r="306">
      <c r="A306" s="573"/>
      <c r="C306" s="483"/>
      <c r="D306" s="483"/>
      <c r="E306" s="573"/>
      <c r="F306" s="573"/>
    </row>
    <row r="307">
      <c r="A307" s="573"/>
      <c r="C307" s="483"/>
      <c r="D307" s="483"/>
      <c r="E307" s="573"/>
      <c r="F307" s="573"/>
    </row>
    <row r="308">
      <c r="A308" s="573"/>
      <c r="C308" s="483"/>
      <c r="D308" s="483"/>
      <c r="E308" s="573"/>
      <c r="F308" s="573"/>
    </row>
    <row r="309">
      <c r="A309" s="573"/>
      <c r="C309" s="483"/>
      <c r="D309" s="483"/>
      <c r="E309" s="573"/>
      <c r="F309" s="573"/>
    </row>
    <row r="310">
      <c r="A310" s="573"/>
      <c r="C310" s="483"/>
      <c r="D310" s="483"/>
      <c r="E310" s="573"/>
      <c r="F310" s="573"/>
    </row>
    <row r="311">
      <c r="A311" s="573"/>
      <c r="C311" s="483"/>
      <c r="D311" s="483"/>
      <c r="E311" s="573"/>
      <c r="F311" s="573"/>
    </row>
    <row r="312">
      <c r="A312" s="573"/>
      <c r="C312" s="483"/>
      <c r="D312" s="483"/>
      <c r="E312" s="573"/>
      <c r="F312" s="573"/>
    </row>
    <row r="313">
      <c r="A313" s="573"/>
      <c r="C313" s="483"/>
      <c r="D313" s="483"/>
      <c r="E313" s="573"/>
      <c r="F313" s="573"/>
    </row>
    <row r="314">
      <c r="A314" s="573"/>
      <c r="C314" s="483"/>
      <c r="D314" s="483"/>
      <c r="E314" s="573"/>
      <c r="F314" s="573"/>
    </row>
    <row r="315">
      <c r="A315" s="573"/>
      <c r="C315" s="483"/>
      <c r="D315" s="483"/>
      <c r="E315" s="573"/>
      <c r="F315" s="573"/>
    </row>
    <row r="316">
      <c r="A316" s="573"/>
      <c r="C316" s="483"/>
      <c r="D316" s="483"/>
      <c r="E316" s="573"/>
      <c r="F316" s="573"/>
    </row>
    <row r="317">
      <c r="A317" s="573"/>
      <c r="C317" s="483"/>
      <c r="D317" s="483"/>
      <c r="E317" s="573"/>
      <c r="F317" s="573"/>
    </row>
    <row r="318">
      <c r="A318" s="573"/>
      <c r="C318" s="483"/>
      <c r="D318" s="483"/>
      <c r="E318" s="573"/>
      <c r="F318" s="573"/>
    </row>
    <row r="319">
      <c r="A319" s="573"/>
      <c r="C319" s="483"/>
      <c r="D319" s="483"/>
      <c r="E319" s="573"/>
      <c r="F319" s="573"/>
    </row>
    <row r="320">
      <c r="A320" s="573"/>
      <c r="C320" s="483"/>
      <c r="D320" s="483"/>
      <c r="E320" s="573"/>
      <c r="F320" s="573"/>
    </row>
    <row r="321">
      <c r="A321" s="573"/>
      <c r="C321" s="483"/>
      <c r="D321" s="483"/>
      <c r="E321" s="573"/>
      <c r="F321" s="573"/>
    </row>
    <row r="322">
      <c r="A322" s="573"/>
      <c r="C322" s="483"/>
      <c r="D322" s="483"/>
      <c r="E322" s="573"/>
      <c r="F322" s="573"/>
    </row>
    <row r="323">
      <c r="A323" s="573"/>
      <c r="C323" s="483"/>
      <c r="D323" s="483"/>
      <c r="E323" s="573"/>
      <c r="F323" s="573"/>
    </row>
    <row r="324">
      <c r="A324" s="573"/>
      <c r="C324" s="483"/>
      <c r="D324" s="483"/>
      <c r="E324" s="573"/>
      <c r="F324" s="573"/>
    </row>
    <row r="325">
      <c r="A325" s="573"/>
      <c r="C325" s="483"/>
      <c r="D325" s="483"/>
      <c r="E325" s="573"/>
      <c r="F325" s="573"/>
    </row>
    <row r="326">
      <c r="A326" s="573"/>
      <c r="C326" s="483"/>
      <c r="D326" s="483"/>
      <c r="E326" s="573"/>
      <c r="F326" s="573"/>
    </row>
    <row r="327">
      <c r="A327" s="573"/>
      <c r="C327" s="483"/>
      <c r="D327" s="483"/>
      <c r="E327" s="573"/>
      <c r="F327" s="573"/>
    </row>
    <row r="328">
      <c r="A328" s="573"/>
      <c r="C328" s="483"/>
      <c r="D328" s="483"/>
      <c r="E328" s="573"/>
      <c r="F328" s="573"/>
    </row>
    <row r="329">
      <c r="A329" s="573"/>
      <c r="C329" s="483"/>
      <c r="D329" s="483"/>
      <c r="E329" s="573"/>
      <c r="F329" s="573"/>
    </row>
    <row r="330">
      <c r="A330" s="573"/>
      <c r="C330" s="483"/>
      <c r="D330" s="483"/>
      <c r="E330" s="573"/>
      <c r="F330" s="573"/>
    </row>
    <row r="331">
      <c r="A331" s="573"/>
      <c r="C331" s="483"/>
      <c r="D331" s="483"/>
      <c r="E331" s="573"/>
      <c r="F331" s="573"/>
    </row>
    <row r="332">
      <c r="A332" s="573"/>
      <c r="C332" s="483"/>
      <c r="D332" s="483"/>
      <c r="E332" s="573"/>
      <c r="F332" s="573"/>
    </row>
    <row r="333">
      <c r="A333" s="573"/>
      <c r="C333" s="483"/>
      <c r="D333" s="483"/>
      <c r="E333" s="573"/>
      <c r="F333" s="573"/>
    </row>
    <row r="334">
      <c r="A334" s="573"/>
      <c r="C334" s="483"/>
      <c r="D334" s="483"/>
      <c r="E334" s="573"/>
      <c r="F334" s="573"/>
    </row>
    <row r="335">
      <c r="A335" s="573"/>
      <c r="C335" s="483"/>
      <c r="D335" s="483"/>
      <c r="E335" s="573"/>
      <c r="F335" s="573"/>
    </row>
    <row r="336">
      <c r="A336" s="573"/>
      <c r="C336" s="483"/>
      <c r="D336" s="483"/>
      <c r="E336" s="573"/>
      <c r="F336" s="573"/>
    </row>
    <row r="337">
      <c r="A337" s="573"/>
      <c r="C337" s="483"/>
      <c r="D337" s="483"/>
      <c r="E337" s="573"/>
      <c r="F337" s="573"/>
    </row>
    <row r="338">
      <c r="A338" s="573"/>
      <c r="C338" s="483"/>
      <c r="D338" s="483"/>
      <c r="E338" s="573"/>
      <c r="F338" s="573"/>
    </row>
    <row r="339">
      <c r="A339" s="573"/>
      <c r="C339" s="483"/>
      <c r="D339" s="483"/>
      <c r="E339" s="573"/>
      <c r="F339" s="573"/>
    </row>
    <row r="340">
      <c r="A340" s="573"/>
      <c r="C340" s="483"/>
      <c r="D340" s="483"/>
      <c r="E340" s="573"/>
      <c r="F340" s="573"/>
    </row>
    <row r="341">
      <c r="A341" s="573"/>
      <c r="C341" s="483"/>
      <c r="D341" s="483"/>
      <c r="E341" s="573"/>
      <c r="F341" s="573"/>
    </row>
    <row r="342">
      <c r="A342" s="573"/>
      <c r="C342" s="483"/>
      <c r="D342" s="483"/>
      <c r="E342" s="573"/>
      <c r="F342" s="573"/>
    </row>
    <row r="343">
      <c r="A343" s="573"/>
      <c r="C343" s="483"/>
      <c r="D343" s="483"/>
      <c r="E343" s="573"/>
      <c r="F343" s="573"/>
    </row>
    <row r="344">
      <c r="A344" s="573"/>
      <c r="C344" s="483"/>
      <c r="D344" s="483"/>
      <c r="E344" s="573"/>
      <c r="F344" s="573"/>
    </row>
    <row r="345">
      <c r="A345" s="573"/>
      <c r="C345" s="483"/>
      <c r="D345" s="483"/>
      <c r="E345" s="573"/>
      <c r="F345" s="573"/>
    </row>
    <row r="346">
      <c r="A346" s="573"/>
      <c r="C346" s="483"/>
      <c r="D346" s="483"/>
      <c r="E346" s="573"/>
      <c r="F346" s="573"/>
    </row>
    <row r="347">
      <c r="A347" s="573"/>
      <c r="C347" s="483"/>
      <c r="D347" s="483"/>
      <c r="E347" s="573"/>
      <c r="F347" s="573"/>
    </row>
    <row r="348">
      <c r="A348" s="573"/>
      <c r="C348" s="483"/>
      <c r="D348" s="483"/>
      <c r="E348" s="573"/>
      <c r="F348" s="573"/>
    </row>
    <row r="349">
      <c r="A349" s="573"/>
      <c r="C349" s="483"/>
      <c r="D349" s="483"/>
      <c r="E349" s="573"/>
      <c r="F349" s="573"/>
    </row>
    <row r="350">
      <c r="A350" s="573"/>
      <c r="C350" s="483"/>
      <c r="D350" s="483"/>
      <c r="E350" s="573"/>
      <c r="F350" s="573"/>
    </row>
    <row r="351">
      <c r="A351" s="573"/>
      <c r="C351" s="483"/>
      <c r="D351" s="483"/>
      <c r="E351" s="573"/>
      <c r="F351" s="573"/>
    </row>
    <row r="352">
      <c r="A352" s="573"/>
      <c r="C352" s="483"/>
      <c r="D352" s="483"/>
      <c r="E352" s="573"/>
      <c r="F352" s="573"/>
    </row>
    <row r="353">
      <c r="A353" s="573"/>
      <c r="C353" s="483"/>
      <c r="D353" s="483"/>
      <c r="E353" s="573"/>
      <c r="F353" s="573"/>
    </row>
    <row r="354">
      <c r="A354" s="573"/>
      <c r="C354" s="483"/>
      <c r="D354" s="483"/>
      <c r="E354" s="573"/>
      <c r="F354" s="573"/>
    </row>
    <row r="355">
      <c r="A355" s="573"/>
      <c r="C355" s="483"/>
      <c r="D355" s="483"/>
      <c r="E355" s="573"/>
      <c r="F355" s="573"/>
    </row>
    <row r="356">
      <c r="A356" s="573"/>
      <c r="C356" s="483"/>
      <c r="D356" s="483"/>
      <c r="E356" s="573"/>
      <c r="F356" s="573"/>
    </row>
    <row r="357">
      <c r="A357" s="573"/>
      <c r="C357" s="483"/>
      <c r="D357" s="483"/>
      <c r="E357" s="573"/>
      <c r="F357" s="573"/>
    </row>
    <row r="358">
      <c r="A358" s="573"/>
      <c r="C358" s="483"/>
      <c r="D358" s="483"/>
      <c r="E358" s="573"/>
      <c r="F358" s="573"/>
    </row>
    <row r="359">
      <c r="A359" s="573"/>
      <c r="C359" s="483"/>
      <c r="D359" s="483"/>
      <c r="E359" s="573"/>
      <c r="F359" s="573"/>
    </row>
    <row r="360">
      <c r="A360" s="573"/>
      <c r="C360" s="483"/>
      <c r="D360" s="483"/>
      <c r="E360" s="573"/>
      <c r="F360" s="573"/>
    </row>
    <row r="361">
      <c r="A361" s="573"/>
      <c r="C361" s="483"/>
      <c r="D361" s="483"/>
      <c r="E361" s="573"/>
      <c r="F361" s="573"/>
    </row>
    <row r="362">
      <c r="A362" s="573"/>
      <c r="C362" s="483"/>
      <c r="D362" s="483"/>
      <c r="E362" s="573"/>
      <c r="F362" s="573"/>
    </row>
    <row r="363">
      <c r="A363" s="573"/>
      <c r="C363" s="483"/>
      <c r="D363" s="483"/>
      <c r="E363" s="573"/>
      <c r="F363" s="573"/>
    </row>
    <row r="364">
      <c r="A364" s="573"/>
      <c r="C364" s="483"/>
      <c r="D364" s="483"/>
      <c r="E364" s="573"/>
      <c r="F364" s="573"/>
    </row>
    <row r="365">
      <c r="A365" s="573"/>
      <c r="C365" s="483"/>
      <c r="D365" s="483"/>
      <c r="E365" s="573"/>
      <c r="F365" s="573"/>
    </row>
    <row r="366">
      <c r="A366" s="573"/>
      <c r="C366" s="483"/>
      <c r="D366" s="483"/>
      <c r="E366" s="573"/>
      <c r="F366" s="573"/>
    </row>
    <row r="367">
      <c r="A367" s="573"/>
      <c r="C367" s="483"/>
      <c r="D367" s="483"/>
      <c r="E367" s="573"/>
      <c r="F367" s="573"/>
    </row>
    <row r="368">
      <c r="A368" s="573"/>
      <c r="C368" s="483"/>
      <c r="D368" s="483"/>
      <c r="E368" s="573"/>
      <c r="F368" s="573"/>
    </row>
    <row r="369">
      <c r="A369" s="573"/>
      <c r="C369" s="483"/>
      <c r="D369" s="483"/>
      <c r="E369" s="573"/>
      <c r="F369" s="573"/>
    </row>
    <row r="370">
      <c r="A370" s="573"/>
      <c r="C370" s="483"/>
      <c r="D370" s="483"/>
      <c r="E370" s="573"/>
      <c r="F370" s="573"/>
    </row>
    <row r="371">
      <c r="A371" s="573"/>
      <c r="C371" s="483"/>
      <c r="D371" s="483"/>
      <c r="E371" s="573"/>
      <c r="F371" s="573"/>
    </row>
    <row r="372">
      <c r="A372" s="573"/>
      <c r="C372" s="483"/>
      <c r="D372" s="483"/>
      <c r="E372" s="573"/>
      <c r="F372" s="573"/>
    </row>
    <row r="373">
      <c r="A373" s="573"/>
      <c r="C373" s="483"/>
      <c r="D373" s="483"/>
      <c r="E373" s="573"/>
      <c r="F373" s="573"/>
    </row>
    <row r="374">
      <c r="A374" s="573"/>
      <c r="C374" s="483"/>
      <c r="D374" s="483"/>
      <c r="E374" s="573"/>
      <c r="F374" s="573"/>
    </row>
    <row r="375">
      <c r="A375" s="573"/>
      <c r="C375" s="483"/>
      <c r="D375" s="483"/>
      <c r="E375" s="573"/>
      <c r="F375" s="573"/>
    </row>
    <row r="376">
      <c r="A376" s="573"/>
      <c r="C376" s="483"/>
      <c r="D376" s="483"/>
      <c r="E376" s="573"/>
      <c r="F376" s="573"/>
    </row>
    <row r="377">
      <c r="A377" s="573"/>
      <c r="C377" s="483"/>
      <c r="D377" s="483"/>
      <c r="E377" s="573"/>
      <c r="F377" s="573"/>
    </row>
    <row r="378">
      <c r="A378" s="573"/>
      <c r="C378" s="483"/>
      <c r="D378" s="483"/>
      <c r="E378" s="573"/>
      <c r="F378" s="573"/>
    </row>
    <row r="379">
      <c r="A379" s="573"/>
      <c r="C379" s="483"/>
      <c r="D379" s="483"/>
      <c r="E379" s="573"/>
      <c r="F379" s="573"/>
    </row>
    <row r="380">
      <c r="A380" s="573"/>
      <c r="C380" s="483"/>
      <c r="D380" s="483"/>
      <c r="E380" s="573"/>
      <c r="F380" s="573"/>
    </row>
    <row r="381">
      <c r="A381" s="573"/>
      <c r="C381" s="483"/>
      <c r="D381" s="483"/>
      <c r="E381" s="573"/>
      <c r="F381" s="573"/>
    </row>
    <row r="382">
      <c r="A382" s="573"/>
      <c r="C382" s="483"/>
      <c r="D382" s="483"/>
      <c r="E382" s="573"/>
      <c r="F382" s="573"/>
    </row>
    <row r="383">
      <c r="A383" s="573"/>
      <c r="C383" s="483"/>
      <c r="D383" s="483"/>
      <c r="E383" s="573"/>
      <c r="F383" s="573"/>
    </row>
    <row r="384">
      <c r="A384" s="573"/>
      <c r="C384" s="483"/>
      <c r="D384" s="483"/>
      <c r="E384" s="573"/>
      <c r="F384" s="573"/>
    </row>
    <row r="385">
      <c r="A385" s="573"/>
      <c r="C385" s="483"/>
      <c r="D385" s="483"/>
      <c r="E385" s="573"/>
      <c r="F385" s="573"/>
    </row>
    <row r="386">
      <c r="A386" s="573"/>
      <c r="C386" s="483"/>
      <c r="D386" s="483"/>
      <c r="E386" s="573"/>
      <c r="F386" s="573"/>
    </row>
    <row r="387">
      <c r="A387" s="573"/>
      <c r="C387" s="483"/>
      <c r="D387" s="483"/>
      <c r="E387" s="573"/>
      <c r="F387" s="573"/>
    </row>
    <row r="388">
      <c r="A388" s="573"/>
      <c r="C388" s="483"/>
      <c r="D388" s="483"/>
      <c r="E388" s="573"/>
      <c r="F388" s="573"/>
    </row>
    <row r="389">
      <c r="A389" s="573"/>
      <c r="C389" s="483"/>
      <c r="D389" s="483"/>
      <c r="E389" s="573"/>
      <c r="F389" s="573"/>
    </row>
    <row r="390">
      <c r="A390" s="573"/>
      <c r="C390" s="483"/>
      <c r="D390" s="483"/>
      <c r="E390" s="573"/>
      <c r="F390" s="573"/>
    </row>
    <row r="391">
      <c r="A391" s="573"/>
      <c r="C391" s="483"/>
      <c r="D391" s="483"/>
      <c r="E391" s="573"/>
      <c r="F391" s="573"/>
    </row>
    <row r="392">
      <c r="A392" s="573"/>
      <c r="C392" s="483"/>
      <c r="D392" s="483"/>
      <c r="E392" s="573"/>
      <c r="F392" s="573"/>
    </row>
    <row r="393">
      <c r="A393" s="573"/>
      <c r="C393" s="483"/>
      <c r="D393" s="483"/>
      <c r="E393" s="573"/>
      <c r="F393" s="573"/>
    </row>
    <row r="394">
      <c r="A394" s="573"/>
      <c r="C394" s="483"/>
      <c r="D394" s="483"/>
      <c r="E394" s="573"/>
      <c r="F394" s="573"/>
    </row>
    <row r="395">
      <c r="A395" s="573"/>
      <c r="C395" s="483"/>
      <c r="D395" s="483"/>
      <c r="E395" s="573"/>
      <c r="F395" s="573"/>
    </row>
    <row r="396">
      <c r="A396" s="573"/>
      <c r="C396" s="483"/>
      <c r="D396" s="483"/>
      <c r="E396" s="573"/>
      <c r="F396" s="573"/>
    </row>
    <row r="397">
      <c r="A397" s="573"/>
      <c r="C397" s="483"/>
      <c r="D397" s="483"/>
      <c r="E397" s="573"/>
      <c r="F397" s="573"/>
    </row>
    <row r="398">
      <c r="A398" s="573"/>
      <c r="C398" s="483"/>
      <c r="D398" s="483"/>
      <c r="E398" s="573"/>
      <c r="F398" s="573"/>
    </row>
    <row r="399">
      <c r="A399" s="573"/>
      <c r="C399" s="483"/>
      <c r="D399" s="483"/>
      <c r="E399" s="573"/>
      <c r="F399" s="573"/>
    </row>
    <row r="400">
      <c r="A400" s="573"/>
      <c r="C400" s="483"/>
      <c r="D400" s="483"/>
      <c r="E400" s="573"/>
      <c r="F400" s="573"/>
    </row>
    <row r="401">
      <c r="A401" s="573"/>
      <c r="C401" s="483"/>
      <c r="D401" s="483"/>
      <c r="E401" s="573"/>
      <c r="F401" s="573"/>
    </row>
    <row r="402">
      <c r="A402" s="573"/>
      <c r="C402" s="483"/>
      <c r="D402" s="483"/>
      <c r="E402" s="573"/>
      <c r="F402" s="573"/>
    </row>
    <row r="403">
      <c r="A403" s="573"/>
      <c r="C403" s="483"/>
      <c r="D403" s="483"/>
      <c r="E403" s="573"/>
      <c r="F403" s="573"/>
    </row>
    <row r="404">
      <c r="A404" s="573"/>
      <c r="C404" s="483"/>
      <c r="D404" s="483"/>
      <c r="E404" s="573"/>
      <c r="F404" s="573"/>
    </row>
    <row r="405">
      <c r="A405" s="573"/>
      <c r="C405" s="483"/>
      <c r="D405" s="483"/>
      <c r="E405" s="573"/>
      <c r="F405" s="573"/>
    </row>
    <row r="406">
      <c r="A406" s="573"/>
      <c r="C406" s="483"/>
      <c r="D406" s="483"/>
      <c r="E406" s="573"/>
      <c r="F406" s="573"/>
    </row>
    <row r="407">
      <c r="A407" s="573"/>
      <c r="C407" s="483"/>
      <c r="D407" s="483"/>
      <c r="E407" s="573"/>
      <c r="F407" s="573"/>
    </row>
    <row r="408">
      <c r="A408" s="573"/>
      <c r="C408" s="483"/>
      <c r="D408" s="483"/>
      <c r="E408" s="573"/>
      <c r="F408" s="573"/>
    </row>
    <row r="409">
      <c r="A409" s="573"/>
      <c r="C409" s="483"/>
      <c r="D409" s="483"/>
      <c r="E409" s="573"/>
      <c r="F409" s="573"/>
    </row>
    <row r="410">
      <c r="A410" s="573"/>
      <c r="C410" s="483"/>
      <c r="D410" s="483"/>
      <c r="E410" s="573"/>
      <c r="F410" s="573"/>
    </row>
    <row r="411">
      <c r="A411" s="573"/>
      <c r="C411" s="483"/>
      <c r="D411" s="483"/>
      <c r="E411" s="573"/>
      <c r="F411" s="573"/>
    </row>
    <row r="412">
      <c r="A412" s="573"/>
      <c r="C412" s="483"/>
      <c r="D412" s="483"/>
      <c r="E412" s="573"/>
      <c r="F412" s="573"/>
    </row>
    <row r="413">
      <c r="A413" s="573"/>
      <c r="C413" s="483"/>
      <c r="D413" s="483"/>
      <c r="E413" s="573"/>
      <c r="F413" s="573"/>
    </row>
    <row r="414">
      <c r="A414" s="573"/>
      <c r="C414" s="483"/>
      <c r="D414" s="483"/>
      <c r="E414" s="573"/>
      <c r="F414" s="573"/>
    </row>
    <row r="415">
      <c r="A415" s="573"/>
      <c r="C415" s="483"/>
      <c r="D415" s="483"/>
      <c r="E415" s="573"/>
      <c r="F415" s="573"/>
    </row>
    <row r="416">
      <c r="A416" s="573"/>
      <c r="C416" s="483"/>
      <c r="D416" s="483"/>
      <c r="E416" s="573"/>
      <c r="F416" s="573"/>
    </row>
    <row r="417">
      <c r="A417" s="573"/>
      <c r="C417" s="483"/>
      <c r="D417" s="483"/>
      <c r="E417" s="573"/>
      <c r="F417" s="573"/>
    </row>
    <row r="418">
      <c r="A418" s="573"/>
      <c r="C418" s="483"/>
      <c r="D418" s="483"/>
      <c r="E418" s="573"/>
      <c r="F418" s="573"/>
    </row>
    <row r="419">
      <c r="A419" s="573"/>
      <c r="C419" s="483"/>
      <c r="D419" s="483"/>
      <c r="E419" s="573"/>
      <c r="F419" s="573"/>
    </row>
    <row r="420">
      <c r="A420" s="573"/>
      <c r="C420" s="483"/>
      <c r="D420" s="483"/>
      <c r="E420" s="573"/>
      <c r="F420" s="573"/>
    </row>
    <row r="421">
      <c r="A421" s="573"/>
      <c r="C421" s="483"/>
      <c r="D421" s="483"/>
      <c r="E421" s="573"/>
      <c r="F421" s="573"/>
    </row>
    <row r="422">
      <c r="A422" s="573"/>
      <c r="C422" s="483"/>
      <c r="D422" s="483"/>
      <c r="E422" s="573"/>
      <c r="F422" s="573"/>
    </row>
    <row r="423">
      <c r="A423" s="573"/>
      <c r="C423" s="483"/>
      <c r="D423" s="483"/>
      <c r="E423" s="573"/>
      <c r="F423" s="573"/>
    </row>
    <row r="424">
      <c r="A424" s="573"/>
      <c r="C424" s="483"/>
      <c r="D424" s="483"/>
      <c r="E424" s="573"/>
      <c r="F424" s="573"/>
    </row>
    <row r="425">
      <c r="A425" s="573"/>
      <c r="C425" s="483"/>
      <c r="D425" s="483"/>
      <c r="E425" s="573"/>
      <c r="F425" s="573"/>
    </row>
    <row r="426">
      <c r="A426" s="573"/>
      <c r="C426" s="483"/>
      <c r="D426" s="483"/>
      <c r="E426" s="573"/>
      <c r="F426" s="573"/>
    </row>
    <row r="427">
      <c r="A427" s="573"/>
      <c r="C427" s="483"/>
      <c r="D427" s="483"/>
      <c r="E427" s="573"/>
      <c r="F427" s="573"/>
    </row>
    <row r="428">
      <c r="A428" s="573"/>
      <c r="C428" s="483"/>
      <c r="D428" s="483"/>
      <c r="E428" s="573"/>
      <c r="F428" s="573"/>
    </row>
    <row r="429">
      <c r="A429" s="573"/>
      <c r="C429" s="483"/>
      <c r="D429" s="483"/>
      <c r="E429" s="573"/>
      <c r="F429" s="573"/>
    </row>
    <row r="430">
      <c r="A430" s="573"/>
      <c r="C430" s="483"/>
      <c r="D430" s="483"/>
      <c r="E430" s="573"/>
      <c r="F430" s="573"/>
    </row>
    <row r="431">
      <c r="A431" s="573"/>
      <c r="C431" s="483"/>
      <c r="D431" s="483"/>
      <c r="E431" s="573"/>
      <c r="F431" s="573"/>
    </row>
    <row r="432">
      <c r="A432" s="573"/>
      <c r="C432" s="483"/>
      <c r="D432" s="483"/>
      <c r="E432" s="573"/>
      <c r="F432" s="573"/>
    </row>
    <row r="433">
      <c r="A433" s="573"/>
      <c r="C433" s="483"/>
      <c r="D433" s="483"/>
      <c r="E433" s="573"/>
      <c r="F433" s="573"/>
    </row>
    <row r="434">
      <c r="A434" s="573"/>
      <c r="C434" s="483"/>
      <c r="D434" s="483"/>
      <c r="E434" s="573"/>
      <c r="F434" s="573"/>
    </row>
    <row r="435">
      <c r="A435" s="573"/>
      <c r="C435" s="483"/>
      <c r="D435" s="483"/>
      <c r="E435" s="573"/>
      <c r="F435" s="573"/>
    </row>
    <row r="436">
      <c r="A436" s="573"/>
      <c r="C436" s="483"/>
      <c r="D436" s="483"/>
      <c r="E436" s="573"/>
      <c r="F436" s="573"/>
    </row>
    <row r="437">
      <c r="A437" s="573"/>
      <c r="C437" s="483"/>
      <c r="D437" s="483"/>
      <c r="E437" s="573"/>
      <c r="F437" s="573"/>
    </row>
    <row r="438">
      <c r="A438" s="573"/>
      <c r="C438" s="483"/>
      <c r="D438" s="483"/>
      <c r="E438" s="573"/>
      <c r="F438" s="573"/>
    </row>
    <row r="439">
      <c r="A439" s="573"/>
      <c r="C439" s="483"/>
      <c r="D439" s="483"/>
      <c r="E439" s="573"/>
      <c r="F439" s="573"/>
    </row>
    <row r="440">
      <c r="A440" s="573"/>
      <c r="C440" s="483"/>
      <c r="D440" s="483"/>
      <c r="E440" s="573"/>
      <c r="F440" s="573"/>
    </row>
    <row r="441">
      <c r="A441" s="573"/>
      <c r="C441" s="483"/>
      <c r="D441" s="483"/>
      <c r="E441" s="573"/>
      <c r="F441" s="573"/>
    </row>
    <row r="442">
      <c r="A442" s="573"/>
      <c r="C442" s="483"/>
      <c r="D442" s="483"/>
      <c r="E442" s="573"/>
      <c r="F442" s="573"/>
    </row>
    <row r="443">
      <c r="A443" s="573"/>
      <c r="C443" s="483"/>
      <c r="D443" s="483"/>
      <c r="E443" s="573"/>
      <c r="F443" s="573"/>
    </row>
    <row r="444">
      <c r="A444" s="573"/>
      <c r="C444" s="483"/>
      <c r="D444" s="483"/>
      <c r="E444" s="573"/>
      <c r="F444" s="573"/>
    </row>
    <row r="445">
      <c r="A445" s="573"/>
      <c r="C445" s="483"/>
      <c r="D445" s="483"/>
      <c r="E445" s="573"/>
      <c r="F445" s="573"/>
    </row>
    <row r="446">
      <c r="A446" s="573"/>
      <c r="C446" s="483"/>
      <c r="D446" s="483"/>
      <c r="E446" s="573"/>
      <c r="F446" s="573"/>
    </row>
    <row r="447">
      <c r="A447" s="573"/>
      <c r="C447" s="483"/>
      <c r="D447" s="483"/>
      <c r="E447" s="573"/>
      <c r="F447" s="573"/>
    </row>
    <row r="448">
      <c r="A448" s="573"/>
      <c r="C448" s="483"/>
      <c r="D448" s="483"/>
      <c r="E448" s="573"/>
      <c r="F448" s="573"/>
    </row>
    <row r="449">
      <c r="A449" s="573"/>
      <c r="C449" s="483"/>
      <c r="D449" s="483"/>
      <c r="E449" s="573"/>
      <c r="F449" s="573"/>
    </row>
    <row r="450">
      <c r="A450" s="573"/>
      <c r="C450" s="483"/>
      <c r="D450" s="483"/>
      <c r="E450" s="573"/>
      <c r="F450" s="573"/>
    </row>
    <row r="451">
      <c r="A451" s="573"/>
      <c r="C451" s="483"/>
      <c r="D451" s="483"/>
      <c r="E451" s="573"/>
      <c r="F451" s="573"/>
    </row>
    <row r="452">
      <c r="A452" s="573"/>
      <c r="C452" s="483"/>
      <c r="D452" s="483"/>
      <c r="E452" s="573"/>
      <c r="F452" s="573"/>
    </row>
    <row r="453">
      <c r="A453" s="573"/>
      <c r="C453" s="483"/>
      <c r="D453" s="483"/>
      <c r="E453" s="573"/>
      <c r="F453" s="573"/>
    </row>
    <row r="454">
      <c r="A454" s="573"/>
      <c r="C454" s="483"/>
      <c r="D454" s="483"/>
      <c r="E454" s="573"/>
      <c r="F454" s="573"/>
    </row>
    <row r="455">
      <c r="A455" s="573"/>
      <c r="C455" s="483"/>
      <c r="D455" s="483"/>
      <c r="E455" s="573"/>
      <c r="F455" s="573"/>
    </row>
    <row r="456">
      <c r="A456" s="573"/>
      <c r="C456" s="483"/>
      <c r="D456" s="483"/>
      <c r="E456" s="573"/>
      <c r="F456" s="573"/>
    </row>
    <row r="457">
      <c r="A457" s="573"/>
      <c r="C457" s="483"/>
      <c r="D457" s="483"/>
      <c r="E457" s="573"/>
      <c r="F457" s="573"/>
    </row>
    <row r="458">
      <c r="A458" s="573"/>
      <c r="C458" s="483"/>
      <c r="D458" s="483"/>
      <c r="E458" s="573"/>
      <c r="F458" s="573"/>
    </row>
    <row r="459">
      <c r="A459" s="573"/>
      <c r="C459" s="483"/>
      <c r="D459" s="483"/>
      <c r="E459" s="573"/>
      <c r="F459" s="573"/>
    </row>
    <row r="460">
      <c r="A460" s="573"/>
      <c r="C460" s="483"/>
      <c r="D460" s="483"/>
      <c r="E460" s="573"/>
      <c r="F460" s="573"/>
    </row>
    <row r="461">
      <c r="A461" s="573"/>
      <c r="C461" s="483"/>
      <c r="D461" s="483"/>
      <c r="E461" s="573"/>
      <c r="F461" s="573"/>
    </row>
    <row r="462">
      <c r="A462" s="573"/>
      <c r="C462" s="483"/>
      <c r="D462" s="483"/>
      <c r="E462" s="573"/>
      <c r="F462" s="573"/>
    </row>
    <row r="463">
      <c r="A463" s="573"/>
      <c r="C463" s="483"/>
      <c r="D463" s="483"/>
      <c r="E463" s="573"/>
      <c r="F463" s="573"/>
    </row>
    <row r="464">
      <c r="A464" s="573"/>
      <c r="C464" s="483"/>
      <c r="D464" s="483"/>
      <c r="E464" s="573"/>
      <c r="F464" s="573"/>
    </row>
    <row r="465">
      <c r="A465" s="573"/>
      <c r="C465" s="483"/>
      <c r="D465" s="483"/>
      <c r="E465" s="573"/>
      <c r="F465" s="573"/>
    </row>
    <row r="466">
      <c r="A466" s="573"/>
      <c r="C466" s="483"/>
      <c r="D466" s="483"/>
      <c r="E466" s="573"/>
      <c r="F466" s="573"/>
    </row>
    <row r="467">
      <c r="A467" s="573"/>
      <c r="C467" s="483"/>
      <c r="D467" s="483"/>
      <c r="E467" s="573"/>
      <c r="F467" s="573"/>
    </row>
    <row r="468">
      <c r="A468" s="573"/>
      <c r="C468" s="483"/>
      <c r="D468" s="483"/>
      <c r="E468" s="573"/>
      <c r="F468" s="573"/>
    </row>
    <row r="469">
      <c r="A469" s="573"/>
      <c r="C469" s="483"/>
      <c r="D469" s="483"/>
      <c r="E469" s="573"/>
      <c r="F469" s="573"/>
    </row>
    <row r="470">
      <c r="A470" s="573"/>
      <c r="C470" s="483"/>
      <c r="D470" s="483"/>
      <c r="E470" s="573"/>
      <c r="F470" s="573"/>
    </row>
    <row r="471">
      <c r="A471" s="573"/>
      <c r="C471" s="483"/>
      <c r="D471" s="483"/>
      <c r="E471" s="573"/>
      <c r="F471" s="573"/>
    </row>
    <row r="472">
      <c r="A472" s="573"/>
      <c r="C472" s="483"/>
      <c r="D472" s="483"/>
      <c r="E472" s="573"/>
      <c r="F472" s="573"/>
    </row>
    <row r="473">
      <c r="A473" s="573"/>
      <c r="C473" s="483"/>
      <c r="D473" s="483"/>
      <c r="E473" s="573"/>
      <c r="F473" s="573"/>
    </row>
    <row r="474">
      <c r="A474" s="573"/>
      <c r="C474" s="483"/>
      <c r="D474" s="483"/>
      <c r="E474" s="573"/>
      <c r="F474" s="573"/>
    </row>
    <row r="475">
      <c r="A475" s="573"/>
      <c r="C475" s="483"/>
      <c r="D475" s="483"/>
      <c r="E475" s="573"/>
      <c r="F475" s="573"/>
    </row>
    <row r="476">
      <c r="A476" s="573"/>
      <c r="C476" s="483"/>
      <c r="D476" s="483"/>
      <c r="E476" s="573"/>
      <c r="F476" s="573"/>
    </row>
    <row r="477">
      <c r="A477" s="573"/>
      <c r="C477" s="483"/>
      <c r="D477" s="483"/>
      <c r="E477" s="573"/>
      <c r="F477" s="573"/>
    </row>
    <row r="478">
      <c r="A478" s="573"/>
      <c r="C478" s="483"/>
      <c r="D478" s="483"/>
      <c r="E478" s="573"/>
      <c r="F478" s="573"/>
    </row>
    <row r="479">
      <c r="A479" s="573"/>
      <c r="C479" s="483"/>
      <c r="D479" s="483"/>
      <c r="E479" s="573"/>
      <c r="F479" s="573"/>
    </row>
    <row r="480">
      <c r="A480" s="573"/>
      <c r="C480" s="483"/>
      <c r="D480" s="483"/>
      <c r="E480" s="573"/>
      <c r="F480" s="573"/>
    </row>
    <row r="481">
      <c r="A481" s="573"/>
      <c r="C481" s="483"/>
      <c r="D481" s="483"/>
      <c r="E481" s="573"/>
      <c r="F481" s="573"/>
    </row>
    <row r="482">
      <c r="A482" s="573"/>
      <c r="C482" s="483"/>
      <c r="D482" s="483"/>
      <c r="E482" s="573"/>
      <c r="F482" s="573"/>
    </row>
    <row r="483">
      <c r="A483" s="573"/>
      <c r="C483" s="483"/>
      <c r="D483" s="483"/>
      <c r="E483" s="573"/>
      <c r="F483" s="573"/>
    </row>
    <row r="484">
      <c r="A484" s="573"/>
      <c r="C484" s="483"/>
      <c r="D484" s="483"/>
      <c r="E484" s="573"/>
      <c r="F484" s="573"/>
    </row>
    <row r="485">
      <c r="A485" s="573"/>
      <c r="C485" s="483"/>
      <c r="D485" s="483"/>
      <c r="E485" s="573"/>
      <c r="F485" s="573"/>
    </row>
    <row r="486">
      <c r="A486" s="573"/>
      <c r="C486" s="483"/>
      <c r="D486" s="483"/>
      <c r="E486" s="573"/>
      <c r="F486" s="573"/>
    </row>
    <row r="487">
      <c r="A487" s="573"/>
      <c r="C487" s="483"/>
      <c r="D487" s="483"/>
      <c r="E487" s="573"/>
      <c r="F487" s="573"/>
    </row>
    <row r="488">
      <c r="A488" s="573"/>
      <c r="C488" s="483"/>
      <c r="D488" s="483"/>
      <c r="E488" s="573"/>
      <c r="F488" s="573"/>
    </row>
    <row r="489">
      <c r="A489" s="573"/>
      <c r="C489" s="483"/>
      <c r="D489" s="483"/>
      <c r="E489" s="573"/>
      <c r="F489" s="573"/>
    </row>
    <row r="490">
      <c r="A490" s="573"/>
      <c r="C490" s="483"/>
      <c r="D490" s="483"/>
      <c r="E490" s="573"/>
      <c r="F490" s="573"/>
    </row>
    <row r="491">
      <c r="A491" s="573"/>
      <c r="C491" s="483"/>
      <c r="D491" s="483"/>
      <c r="E491" s="573"/>
      <c r="F491" s="573"/>
    </row>
    <row r="492">
      <c r="A492" s="573"/>
      <c r="C492" s="483"/>
      <c r="D492" s="483"/>
      <c r="E492" s="573"/>
      <c r="F492" s="573"/>
    </row>
    <row r="493">
      <c r="A493" s="573"/>
      <c r="C493" s="483"/>
      <c r="D493" s="483"/>
      <c r="E493" s="573"/>
      <c r="F493" s="573"/>
    </row>
    <row r="494">
      <c r="A494" s="573"/>
      <c r="C494" s="483"/>
      <c r="D494" s="483"/>
      <c r="E494" s="573"/>
      <c r="F494" s="573"/>
    </row>
    <row r="495">
      <c r="A495" s="573"/>
      <c r="C495" s="483"/>
      <c r="D495" s="483"/>
      <c r="E495" s="573"/>
      <c r="F495" s="573"/>
    </row>
    <row r="496">
      <c r="A496" s="573"/>
      <c r="C496" s="483"/>
      <c r="D496" s="483"/>
      <c r="E496" s="573"/>
      <c r="F496" s="573"/>
    </row>
    <row r="497">
      <c r="A497" s="573"/>
      <c r="C497" s="483"/>
      <c r="D497" s="483"/>
      <c r="E497" s="573"/>
      <c r="F497" s="573"/>
    </row>
    <row r="498">
      <c r="A498" s="573"/>
      <c r="C498" s="483"/>
      <c r="D498" s="483"/>
      <c r="E498" s="573"/>
      <c r="F498" s="573"/>
    </row>
    <row r="499">
      <c r="A499" s="573"/>
      <c r="C499" s="483"/>
      <c r="D499" s="483"/>
      <c r="E499" s="573"/>
      <c r="F499" s="573"/>
    </row>
    <row r="500">
      <c r="A500" s="573"/>
      <c r="C500" s="483"/>
      <c r="D500" s="483"/>
      <c r="E500" s="573"/>
      <c r="F500" s="573"/>
    </row>
    <row r="501">
      <c r="A501" s="573"/>
      <c r="C501" s="483"/>
      <c r="D501" s="483"/>
      <c r="E501" s="573"/>
      <c r="F501" s="573"/>
    </row>
    <row r="502">
      <c r="A502" s="573"/>
      <c r="C502" s="483"/>
      <c r="D502" s="483"/>
      <c r="E502" s="573"/>
      <c r="F502" s="573"/>
    </row>
    <row r="503">
      <c r="A503" s="573"/>
      <c r="C503" s="483"/>
      <c r="D503" s="483"/>
      <c r="E503" s="573"/>
      <c r="F503" s="573"/>
    </row>
    <row r="504">
      <c r="A504" s="573"/>
      <c r="C504" s="483"/>
      <c r="D504" s="483"/>
      <c r="E504" s="573"/>
      <c r="F504" s="573"/>
    </row>
    <row r="505">
      <c r="A505" s="573"/>
      <c r="C505" s="483"/>
      <c r="D505" s="483"/>
      <c r="E505" s="573"/>
      <c r="F505" s="573"/>
    </row>
    <row r="506">
      <c r="A506" s="573"/>
      <c r="C506" s="483"/>
      <c r="D506" s="483"/>
      <c r="E506" s="573"/>
      <c r="F506" s="573"/>
    </row>
    <row r="507">
      <c r="A507" s="573"/>
      <c r="C507" s="483"/>
      <c r="D507" s="483"/>
      <c r="E507" s="573"/>
      <c r="F507" s="573"/>
    </row>
    <row r="508">
      <c r="A508" s="573"/>
      <c r="C508" s="483"/>
      <c r="D508" s="483"/>
      <c r="E508" s="573"/>
      <c r="F508" s="573"/>
    </row>
    <row r="509">
      <c r="A509" s="573"/>
      <c r="C509" s="483"/>
      <c r="D509" s="483"/>
      <c r="E509" s="573"/>
      <c r="F509" s="573"/>
    </row>
    <row r="510">
      <c r="A510" s="573"/>
      <c r="C510" s="483"/>
      <c r="D510" s="483"/>
      <c r="E510" s="573"/>
      <c r="F510" s="573"/>
    </row>
    <row r="511">
      <c r="A511" s="573"/>
      <c r="C511" s="483"/>
      <c r="D511" s="483"/>
      <c r="E511" s="573"/>
      <c r="F511" s="573"/>
    </row>
    <row r="512">
      <c r="A512" s="573"/>
      <c r="C512" s="483"/>
      <c r="D512" s="483"/>
      <c r="E512" s="573"/>
      <c r="F512" s="573"/>
    </row>
    <row r="513">
      <c r="A513" s="573"/>
      <c r="C513" s="483"/>
      <c r="D513" s="483"/>
      <c r="E513" s="573"/>
      <c r="F513" s="573"/>
    </row>
    <row r="514">
      <c r="A514" s="573"/>
      <c r="C514" s="483"/>
      <c r="D514" s="483"/>
      <c r="E514" s="573"/>
      <c r="F514" s="573"/>
    </row>
    <row r="515">
      <c r="A515" s="573"/>
      <c r="C515" s="483"/>
      <c r="D515" s="483"/>
      <c r="E515" s="573"/>
      <c r="F515" s="573"/>
    </row>
    <row r="516">
      <c r="A516" s="573"/>
      <c r="C516" s="483"/>
      <c r="D516" s="483"/>
      <c r="E516" s="573"/>
      <c r="F516" s="573"/>
    </row>
    <row r="517">
      <c r="A517" s="573"/>
      <c r="C517" s="483"/>
      <c r="D517" s="483"/>
      <c r="E517" s="573"/>
      <c r="F517" s="573"/>
    </row>
    <row r="518">
      <c r="A518" s="573"/>
      <c r="C518" s="483"/>
      <c r="D518" s="483"/>
      <c r="E518" s="573"/>
      <c r="F518" s="573"/>
    </row>
    <row r="519">
      <c r="A519" s="573"/>
      <c r="C519" s="483"/>
      <c r="D519" s="483"/>
      <c r="E519" s="573"/>
      <c r="F519" s="573"/>
    </row>
    <row r="520">
      <c r="A520" s="573"/>
      <c r="C520" s="483"/>
      <c r="D520" s="483"/>
      <c r="E520" s="573"/>
      <c r="F520" s="573"/>
    </row>
    <row r="521">
      <c r="A521" s="573"/>
      <c r="C521" s="483"/>
      <c r="D521" s="483"/>
      <c r="E521" s="573"/>
      <c r="F521" s="573"/>
    </row>
    <row r="522">
      <c r="A522" s="573"/>
      <c r="C522" s="483"/>
      <c r="D522" s="483"/>
      <c r="E522" s="573"/>
      <c r="F522" s="573"/>
    </row>
    <row r="523">
      <c r="A523" s="573"/>
      <c r="C523" s="483"/>
      <c r="D523" s="483"/>
      <c r="E523" s="573"/>
      <c r="F523" s="573"/>
    </row>
    <row r="524">
      <c r="A524" s="573"/>
      <c r="C524" s="483"/>
      <c r="D524" s="483"/>
      <c r="E524" s="573"/>
      <c r="F524" s="573"/>
    </row>
    <row r="525">
      <c r="A525" s="573"/>
      <c r="C525" s="483"/>
      <c r="D525" s="483"/>
      <c r="E525" s="573"/>
      <c r="F525" s="573"/>
    </row>
    <row r="526">
      <c r="A526" s="573"/>
      <c r="C526" s="483"/>
      <c r="D526" s="483"/>
      <c r="E526" s="573"/>
      <c r="F526" s="573"/>
    </row>
    <row r="527">
      <c r="A527" s="573"/>
      <c r="C527" s="483"/>
      <c r="D527" s="483"/>
      <c r="E527" s="573"/>
      <c r="F527" s="573"/>
    </row>
    <row r="528">
      <c r="A528" s="573"/>
      <c r="C528" s="483"/>
      <c r="D528" s="483"/>
      <c r="E528" s="573"/>
      <c r="F528" s="573"/>
    </row>
    <row r="529">
      <c r="A529" s="573"/>
      <c r="C529" s="483"/>
      <c r="D529" s="483"/>
      <c r="E529" s="573"/>
      <c r="F529" s="573"/>
    </row>
    <row r="530">
      <c r="A530" s="573"/>
      <c r="C530" s="483"/>
      <c r="D530" s="483"/>
      <c r="E530" s="573"/>
      <c r="F530" s="573"/>
    </row>
    <row r="531">
      <c r="A531" s="573"/>
      <c r="C531" s="483"/>
      <c r="D531" s="483"/>
      <c r="E531" s="573"/>
      <c r="F531" s="573"/>
    </row>
    <row r="532">
      <c r="A532" s="573"/>
      <c r="C532" s="483"/>
      <c r="D532" s="483"/>
      <c r="E532" s="573"/>
      <c r="F532" s="573"/>
    </row>
    <row r="533">
      <c r="A533" s="573"/>
      <c r="C533" s="483"/>
      <c r="D533" s="483"/>
      <c r="E533" s="573"/>
      <c r="F533" s="573"/>
    </row>
    <row r="534">
      <c r="A534" s="573"/>
      <c r="C534" s="483"/>
      <c r="D534" s="483"/>
      <c r="E534" s="573"/>
      <c r="F534" s="573"/>
    </row>
    <row r="535">
      <c r="A535" s="573"/>
      <c r="C535" s="483"/>
      <c r="D535" s="483"/>
      <c r="E535" s="573"/>
      <c r="F535" s="573"/>
    </row>
    <row r="536">
      <c r="A536" s="573"/>
      <c r="C536" s="483"/>
      <c r="D536" s="483"/>
      <c r="E536" s="573"/>
      <c r="F536" s="573"/>
    </row>
    <row r="537">
      <c r="A537" s="573"/>
      <c r="C537" s="483"/>
      <c r="D537" s="483"/>
      <c r="E537" s="573"/>
      <c r="F537" s="573"/>
    </row>
    <row r="538">
      <c r="A538" s="573"/>
      <c r="C538" s="483"/>
      <c r="D538" s="483"/>
      <c r="E538" s="573"/>
      <c r="F538" s="573"/>
    </row>
    <row r="539">
      <c r="A539" s="573"/>
      <c r="C539" s="483"/>
      <c r="D539" s="483"/>
      <c r="E539" s="573"/>
      <c r="F539" s="573"/>
    </row>
    <row r="540">
      <c r="A540" s="573"/>
      <c r="C540" s="483"/>
      <c r="D540" s="483"/>
      <c r="E540" s="573"/>
      <c r="F540" s="573"/>
    </row>
    <row r="541">
      <c r="A541" s="573"/>
      <c r="C541" s="483"/>
      <c r="D541" s="483"/>
      <c r="E541" s="573"/>
      <c r="F541" s="573"/>
    </row>
    <row r="542">
      <c r="A542" s="573"/>
      <c r="C542" s="483"/>
      <c r="D542" s="483"/>
      <c r="E542" s="573"/>
      <c r="F542" s="573"/>
    </row>
    <row r="543">
      <c r="A543" s="573"/>
      <c r="C543" s="483"/>
      <c r="D543" s="483"/>
      <c r="E543" s="573"/>
      <c r="F543" s="573"/>
    </row>
    <row r="544">
      <c r="A544" s="573"/>
      <c r="C544" s="483"/>
      <c r="D544" s="483"/>
      <c r="E544" s="573"/>
      <c r="F544" s="573"/>
    </row>
    <row r="545">
      <c r="A545" s="573"/>
      <c r="C545" s="483"/>
      <c r="D545" s="483"/>
      <c r="E545" s="573"/>
      <c r="F545" s="573"/>
    </row>
    <row r="546">
      <c r="A546" s="573"/>
      <c r="C546" s="483"/>
      <c r="D546" s="483"/>
      <c r="E546" s="573"/>
      <c r="F546" s="573"/>
    </row>
    <row r="547">
      <c r="A547" s="573"/>
      <c r="C547" s="483"/>
      <c r="D547" s="483"/>
      <c r="E547" s="573"/>
      <c r="F547" s="573"/>
    </row>
    <row r="548">
      <c r="A548" s="573"/>
      <c r="C548" s="483"/>
      <c r="D548" s="483"/>
      <c r="E548" s="573"/>
      <c r="F548" s="573"/>
    </row>
    <row r="549">
      <c r="A549" s="573"/>
      <c r="C549" s="483"/>
      <c r="D549" s="483"/>
      <c r="E549" s="573"/>
      <c r="F549" s="573"/>
    </row>
    <row r="550">
      <c r="A550" s="573"/>
      <c r="C550" s="483"/>
      <c r="D550" s="483"/>
      <c r="E550" s="573"/>
      <c r="F550" s="573"/>
    </row>
    <row r="551">
      <c r="A551" s="573"/>
      <c r="C551" s="483"/>
      <c r="D551" s="483"/>
      <c r="E551" s="573"/>
      <c r="F551" s="573"/>
    </row>
    <row r="552">
      <c r="A552" s="573"/>
      <c r="C552" s="483"/>
      <c r="D552" s="483"/>
      <c r="E552" s="573"/>
      <c r="F552" s="573"/>
    </row>
    <row r="553">
      <c r="A553" s="573"/>
      <c r="C553" s="483"/>
      <c r="D553" s="483"/>
      <c r="E553" s="573"/>
      <c r="F553" s="573"/>
    </row>
    <row r="554">
      <c r="A554" s="573"/>
      <c r="C554" s="483"/>
      <c r="D554" s="483"/>
      <c r="E554" s="573"/>
      <c r="F554" s="573"/>
    </row>
    <row r="555">
      <c r="A555" s="573"/>
      <c r="C555" s="483"/>
      <c r="D555" s="483"/>
      <c r="E555" s="573"/>
      <c r="F555" s="573"/>
    </row>
    <row r="556">
      <c r="A556" s="573"/>
      <c r="C556" s="483"/>
      <c r="D556" s="483"/>
      <c r="E556" s="573"/>
      <c r="F556" s="573"/>
    </row>
    <row r="557">
      <c r="A557" s="573"/>
      <c r="C557" s="483"/>
      <c r="D557" s="483"/>
      <c r="E557" s="573"/>
      <c r="F557" s="573"/>
    </row>
    <row r="558">
      <c r="A558" s="573"/>
      <c r="C558" s="483"/>
      <c r="D558" s="483"/>
      <c r="E558" s="573"/>
      <c r="F558" s="573"/>
    </row>
    <row r="559">
      <c r="A559" s="573"/>
      <c r="C559" s="483"/>
      <c r="D559" s="483"/>
      <c r="E559" s="573"/>
      <c r="F559" s="573"/>
    </row>
    <row r="560">
      <c r="A560" s="573"/>
      <c r="C560" s="483"/>
      <c r="D560" s="483"/>
      <c r="E560" s="573"/>
      <c r="F560" s="573"/>
    </row>
    <row r="561">
      <c r="A561" s="573"/>
      <c r="C561" s="483"/>
      <c r="D561" s="483"/>
      <c r="E561" s="573"/>
      <c r="F561" s="573"/>
    </row>
    <row r="562">
      <c r="A562" s="573"/>
      <c r="C562" s="483"/>
      <c r="D562" s="483"/>
      <c r="E562" s="573"/>
      <c r="F562" s="573"/>
    </row>
    <row r="563">
      <c r="A563" s="573"/>
      <c r="C563" s="483"/>
      <c r="D563" s="483"/>
      <c r="E563" s="573"/>
      <c r="F563" s="573"/>
    </row>
    <row r="564">
      <c r="A564" s="573"/>
      <c r="C564" s="483"/>
      <c r="D564" s="483"/>
      <c r="E564" s="573"/>
      <c r="F564" s="573"/>
    </row>
    <row r="565">
      <c r="A565" s="573"/>
      <c r="C565" s="483"/>
      <c r="D565" s="483"/>
      <c r="E565" s="573"/>
      <c r="F565" s="573"/>
    </row>
    <row r="566">
      <c r="A566" s="573"/>
      <c r="C566" s="483"/>
      <c r="D566" s="483"/>
      <c r="E566" s="573"/>
      <c r="F566" s="573"/>
    </row>
    <row r="567">
      <c r="A567" s="573"/>
      <c r="C567" s="483"/>
      <c r="D567" s="483"/>
      <c r="E567" s="573"/>
      <c r="F567" s="573"/>
    </row>
    <row r="568">
      <c r="A568" s="573"/>
      <c r="C568" s="483"/>
      <c r="D568" s="483"/>
      <c r="E568" s="573"/>
      <c r="F568" s="573"/>
    </row>
    <row r="569">
      <c r="A569" s="573"/>
      <c r="C569" s="483"/>
      <c r="D569" s="483"/>
      <c r="E569" s="573"/>
      <c r="F569" s="573"/>
    </row>
    <row r="570">
      <c r="A570" s="573"/>
      <c r="C570" s="483"/>
      <c r="D570" s="483"/>
      <c r="E570" s="573"/>
      <c r="F570" s="573"/>
    </row>
    <row r="571">
      <c r="A571" s="573"/>
      <c r="C571" s="483"/>
      <c r="D571" s="483"/>
      <c r="E571" s="573"/>
      <c r="F571" s="573"/>
    </row>
    <row r="572">
      <c r="A572" s="573"/>
      <c r="C572" s="483"/>
      <c r="D572" s="483"/>
      <c r="E572" s="573"/>
      <c r="F572" s="573"/>
    </row>
    <row r="573">
      <c r="A573" s="573"/>
      <c r="C573" s="483"/>
      <c r="D573" s="483"/>
      <c r="E573" s="573"/>
      <c r="F573" s="573"/>
    </row>
    <row r="574">
      <c r="A574" s="573"/>
      <c r="C574" s="483"/>
      <c r="D574" s="483"/>
      <c r="E574" s="573"/>
      <c r="F574" s="573"/>
    </row>
    <row r="575">
      <c r="A575" s="573"/>
      <c r="C575" s="483"/>
      <c r="D575" s="483"/>
      <c r="E575" s="573"/>
      <c r="F575" s="573"/>
    </row>
    <row r="576">
      <c r="A576" s="573"/>
      <c r="C576" s="483"/>
      <c r="D576" s="483"/>
      <c r="E576" s="573"/>
      <c r="F576" s="573"/>
    </row>
    <row r="577">
      <c r="A577" s="573"/>
      <c r="C577" s="483"/>
      <c r="D577" s="483"/>
      <c r="E577" s="573"/>
      <c r="F577" s="573"/>
    </row>
    <row r="578">
      <c r="A578" s="573"/>
      <c r="C578" s="483"/>
      <c r="D578" s="483"/>
      <c r="E578" s="573"/>
      <c r="F578" s="573"/>
    </row>
    <row r="579">
      <c r="A579" s="573"/>
      <c r="C579" s="483"/>
      <c r="D579" s="483"/>
      <c r="E579" s="573"/>
      <c r="F579" s="573"/>
    </row>
    <row r="580">
      <c r="A580" s="573"/>
      <c r="C580" s="483"/>
      <c r="D580" s="483"/>
      <c r="E580" s="573"/>
      <c r="F580" s="573"/>
    </row>
    <row r="581">
      <c r="A581" s="573"/>
      <c r="C581" s="483"/>
      <c r="D581" s="483"/>
      <c r="E581" s="573"/>
      <c r="F581" s="573"/>
    </row>
    <row r="582">
      <c r="A582" s="573"/>
      <c r="C582" s="483"/>
      <c r="D582" s="483"/>
      <c r="E582" s="573"/>
      <c r="F582" s="573"/>
    </row>
    <row r="583">
      <c r="A583" s="573"/>
      <c r="C583" s="483"/>
      <c r="D583" s="483"/>
      <c r="E583" s="573"/>
      <c r="F583" s="573"/>
    </row>
    <row r="584">
      <c r="A584" s="573"/>
      <c r="C584" s="483"/>
      <c r="D584" s="483"/>
      <c r="E584" s="573"/>
      <c r="F584" s="573"/>
    </row>
    <row r="585">
      <c r="A585" s="573"/>
      <c r="C585" s="483"/>
      <c r="D585" s="483"/>
      <c r="E585" s="573"/>
      <c r="F585" s="573"/>
    </row>
    <row r="586">
      <c r="A586" s="573"/>
      <c r="C586" s="483"/>
      <c r="D586" s="483"/>
      <c r="E586" s="573"/>
      <c r="F586" s="573"/>
    </row>
    <row r="587">
      <c r="A587" s="573"/>
      <c r="C587" s="483"/>
      <c r="D587" s="483"/>
      <c r="E587" s="573"/>
      <c r="F587" s="573"/>
    </row>
    <row r="588">
      <c r="A588" s="573"/>
      <c r="C588" s="483"/>
      <c r="D588" s="483"/>
      <c r="E588" s="573"/>
      <c r="F588" s="573"/>
    </row>
    <row r="589">
      <c r="A589" s="573"/>
      <c r="C589" s="483"/>
      <c r="D589" s="483"/>
      <c r="E589" s="573"/>
      <c r="F589" s="573"/>
    </row>
    <row r="590">
      <c r="A590" s="573"/>
      <c r="C590" s="483"/>
      <c r="D590" s="483"/>
      <c r="E590" s="573"/>
      <c r="F590" s="573"/>
    </row>
    <row r="591">
      <c r="A591" s="573"/>
      <c r="C591" s="483"/>
      <c r="D591" s="483"/>
      <c r="E591" s="573"/>
      <c r="F591" s="573"/>
    </row>
    <row r="592">
      <c r="A592" s="573"/>
      <c r="C592" s="483"/>
      <c r="D592" s="483"/>
      <c r="E592" s="573"/>
      <c r="F592" s="573"/>
    </row>
    <row r="593">
      <c r="A593" s="573"/>
      <c r="C593" s="483"/>
      <c r="D593" s="483"/>
      <c r="E593" s="573"/>
      <c r="F593" s="573"/>
    </row>
    <row r="594">
      <c r="A594" s="573"/>
      <c r="C594" s="483"/>
      <c r="D594" s="483"/>
      <c r="E594" s="573"/>
      <c r="F594" s="573"/>
    </row>
    <row r="595">
      <c r="A595" s="573"/>
      <c r="C595" s="483"/>
      <c r="D595" s="483"/>
      <c r="E595" s="573"/>
      <c r="F595" s="573"/>
    </row>
    <row r="596">
      <c r="A596" s="573"/>
      <c r="C596" s="483"/>
      <c r="D596" s="483"/>
      <c r="E596" s="573"/>
      <c r="F596" s="573"/>
    </row>
    <row r="597">
      <c r="A597" s="573"/>
      <c r="C597" s="483"/>
      <c r="D597" s="483"/>
      <c r="E597" s="573"/>
      <c r="F597" s="573"/>
    </row>
    <row r="598">
      <c r="A598" s="573"/>
      <c r="C598" s="483"/>
      <c r="D598" s="483"/>
      <c r="E598" s="573"/>
      <c r="F598" s="573"/>
    </row>
    <row r="599">
      <c r="A599" s="573"/>
      <c r="C599" s="483"/>
      <c r="D599" s="483"/>
      <c r="E599" s="573"/>
      <c r="F599" s="573"/>
    </row>
    <row r="600">
      <c r="A600" s="573"/>
      <c r="C600" s="483"/>
      <c r="D600" s="483"/>
      <c r="E600" s="573"/>
      <c r="F600" s="573"/>
    </row>
    <row r="601">
      <c r="A601" s="573"/>
      <c r="C601" s="483"/>
      <c r="D601" s="483"/>
      <c r="E601" s="573"/>
      <c r="F601" s="573"/>
    </row>
    <row r="602">
      <c r="A602" s="573"/>
      <c r="C602" s="483"/>
      <c r="D602" s="483"/>
      <c r="E602" s="573"/>
      <c r="F602" s="573"/>
    </row>
    <row r="603">
      <c r="A603" s="573"/>
      <c r="C603" s="483"/>
      <c r="D603" s="483"/>
      <c r="E603" s="573"/>
      <c r="F603" s="573"/>
    </row>
    <row r="604">
      <c r="A604" s="573"/>
      <c r="C604" s="483"/>
      <c r="D604" s="483"/>
      <c r="E604" s="573"/>
      <c r="F604" s="573"/>
    </row>
    <row r="605">
      <c r="A605" s="573"/>
      <c r="C605" s="483"/>
      <c r="D605" s="483"/>
      <c r="E605" s="573"/>
      <c r="F605" s="573"/>
    </row>
    <row r="606">
      <c r="A606" s="573"/>
      <c r="C606" s="483"/>
      <c r="D606" s="483"/>
      <c r="E606" s="573"/>
      <c r="F606" s="573"/>
    </row>
    <row r="607">
      <c r="A607" s="573"/>
      <c r="C607" s="483"/>
      <c r="D607" s="483"/>
      <c r="E607" s="573"/>
      <c r="F607" s="573"/>
    </row>
    <row r="608">
      <c r="A608" s="573"/>
      <c r="C608" s="483"/>
      <c r="D608" s="483"/>
      <c r="E608" s="573"/>
      <c r="F608" s="573"/>
    </row>
    <row r="609">
      <c r="A609" s="573"/>
      <c r="C609" s="483"/>
      <c r="D609" s="483"/>
      <c r="E609" s="573"/>
      <c r="F609" s="573"/>
    </row>
    <row r="610">
      <c r="A610" s="573"/>
      <c r="C610" s="483"/>
      <c r="D610" s="483"/>
      <c r="E610" s="573"/>
      <c r="F610" s="573"/>
    </row>
    <row r="611">
      <c r="A611" s="573"/>
      <c r="C611" s="483"/>
      <c r="D611" s="483"/>
      <c r="E611" s="573"/>
      <c r="F611" s="573"/>
    </row>
    <row r="612">
      <c r="A612" s="573"/>
      <c r="C612" s="483"/>
      <c r="D612" s="483"/>
      <c r="E612" s="573"/>
      <c r="F612" s="573"/>
    </row>
    <row r="613">
      <c r="A613" s="573"/>
      <c r="C613" s="483"/>
      <c r="D613" s="483"/>
      <c r="E613" s="573"/>
      <c r="F613" s="573"/>
    </row>
    <row r="614">
      <c r="A614" s="573"/>
      <c r="C614" s="483"/>
      <c r="D614" s="483"/>
      <c r="E614" s="573"/>
      <c r="F614" s="573"/>
    </row>
    <row r="615">
      <c r="A615" s="573"/>
      <c r="C615" s="483"/>
      <c r="D615" s="483"/>
      <c r="E615" s="573"/>
      <c r="F615" s="573"/>
    </row>
    <row r="616">
      <c r="A616" s="573"/>
      <c r="C616" s="483"/>
      <c r="D616" s="483"/>
      <c r="E616" s="573"/>
      <c r="F616" s="573"/>
    </row>
    <row r="617">
      <c r="A617" s="573"/>
      <c r="C617" s="483"/>
      <c r="D617" s="483"/>
      <c r="E617" s="573"/>
      <c r="F617" s="573"/>
    </row>
    <row r="618">
      <c r="A618" s="573"/>
      <c r="C618" s="483"/>
      <c r="D618" s="483"/>
      <c r="E618" s="573"/>
      <c r="F618" s="573"/>
    </row>
    <row r="619">
      <c r="A619" s="573"/>
      <c r="C619" s="483"/>
      <c r="D619" s="483"/>
      <c r="E619" s="573"/>
      <c r="F619" s="573"/>
    </row>
    <row r="620">
      <c r="A620" s="573"/>
      <c r="C620" s="483"/>
      <c r="D620" s="483"/>
      <c r="E620" s="573"/>
      <c r="F620" s="573"/>
    </row>
    <row r="621">
      <c r="A621" s="573"/>
      <c r="C621" s="483"/>
      <c r="D621" s="483"/>
      <c r="E621" s="573"/>
      <c r="F621" s="573"/>
    </row>
    <row r="622">
      <c r="A622" s="573"/>
      <c r="C622" s="483"/>
      <c r="D622" s="483"/>
      <c r="E622" s="573"/>
      <c r="F622" s="573"/>
    </row>
    <row r="623">
      <c r="A623" s="573"/>
      <c r="C623" s="483"/>
      <c r="D623" s="483"/>
      <c r="E623" s="573"/>
      <c r="F623" s="573"/>
    </row>
    <row r="624">
      <c r="A624" s="573"/>
      <c r="C624" s="483"/>
      <c r="D624" s="483"/>
      <c r="E624" s="573"/>
      <c r="F624" s="573"/>
    </row>
    <row r="625">
      <c r="A625" s="573"/>
      <c r="C625" s="483"/>
      <c r="D625" s="483"/>
      <c r="E625" s="573"/>
      <c r="F625" s="573"/>
    </row>
    <row r="626">
      <c r="A626" s="573"/>
      <c r="C626" s="483"/>
      <c r="D626" s="483"/>
      <c r="E626" s="573"/>
      <c r="F626" s="573"/>
    </row>
    <row r="627">
      <c r="A627" s="573"/>
      <c r="C627" s="483"/>
      <c r="D627" s="483"/>
      <c r="E627" s="573"/>
      <c r="F627" s="573"/>
    </row>
    <row r="628">
      <c r="A628" s="573"/>
      <c r="C628" s="483"/>
      <c r="D628" s="483"/>
      <c r="E628" s="573"/>
      <c r="F628" s="573"/>
    </row>
    <row r="629">
      <c r="A629" s="573"/>
      <c r="C629" s="483"/>
      <c r="D629" s="483"/>
      <c r="E629" s="573"/>
      <c r="F629" s="573"/>
    </row>
    <row r="630">
      <c r="A630" s="573"/>
      <c r="C630" s="483"/>
      <c r="D630" s="483"/>
      <c r="E630" s="573"/>
      <c r="F630" s="573"/>
    </row>
    <row r="631">
      <c r="A631" s="573"/>
      <c r="C631" s="483"/>
      <c r="D631" s="483"/>
      <c r="E631" s="573"/>
      <c r="F631" s="573"/>
    </row>
    <row r="632">
      <c r="A632" s="573"/>
      <c r="C632" s="483"/>
      <c r="D632" s="483"/>
      <c r="E632" s="573"/>
      <c r="F632" s="573"/>
    </row>
    <row r="633">
      <c r="A633" s="573"/>
      <c r="C633" s="483"/>
      <c r="D633" s="483"/>
      <c r="E633" s="573"/>
      <c r="F633" s="573"/>
    </row>
    <row r="634">
      <c r="A634" s="573"/>
      <c r="C634" s="483"/>
      <c r="D634" s="483"/>
      <c r="E634" s="573"/>
      <c r="F634" s="573"/>
    </row>
    <row r="635">
      <c r="A635" s="573"/>
      <c r="C635" s="483"/>
      <c r="D635" s="483"/>
      <c r="E635" s="573"/>
      <c r="F635" s="573"/>
    </row>
    <row r="636">
      <c r="A636" s="573"/>
      <c r="C636" s="483"/>
      <c r="D636" s="483"/>
      <c r="E636" s="573"/>
      <c r="F636" s="573"/>
    </row>
    <row r="637">
      <c r="A637" s="573"/>
      <c r="C637" s="483"/>
      <c r="D637" s="483"/>
      <c r="E637" s="573"/>
      <c r="F637" s="573"/>
    </row>
    <row r="638">
      <c r="A638" s="573"/>
      <c r="C638" s="483"/>
      <c r="D638" s="483"/>
      <c r="E638" s="573"/>
      <c r="F638" s="573"/>
    </row>
    <row r="639">
      <c r="A639" s="573"/>
      <c r="C639" s="483"/>
      <c r="D639" s="483"/>
      <c r="E639" s="573"/>
      <c r="F639" s="573"/>
    </row>
    <row r="640">
      <c r="A640" s="573"/>
      <c r="C640" s="483"/>
      <c r="D640" s="483"/>
      <c r="E640" s="573"/>
      <c r="F640" s="573"/>
    </row>
    <row r="641">
      <c r="A641" s="573"/>
      <c r="C641" s="483"/>
      <c r="D641" s="483"/>
      <c r="E641" s="573"/>
      <c r="F641" s="573"/>
    </row>
    <row r="642">
      <c r="A642" s="573"/>
      <c r="C642" s="483"/>
      <c r="D642" s="483"/>
      <c r="E642" s="573"/>
      <c r="F642" s="573"/>
    </row>
    <row r="643">
      <c r="A643" s="573"/>
      <c r="C643" s="483"/>
      <c r="D643" s="483"/>
      <c r="E643" s="573"/>
      <c r="F643" s="573"/>
    </row>
    <row r="644">
      <c r="A644" s="573"/>
      <c r="C644" s="483"/>
      <c r="D644" s="483"/>
      <c r="E644" s="573"/>
      <c r="F644" s="573"/>
    </row>
    <row r="645">
      <c r="A645" s="573"/>
      <c r="C645" s="483"/>
      <c r="D645" s="483"/>
      <c r="E645" s="573"/>
      <c r="F645" s="573"/>
    </row>
    <row r="646">
      <c r="A646" s="573"/>
      <c r="C646" s="483"/>
      <c r="D646" s="483"/>
      <c r="E646" s="573"/>
      <c r="F646" s="573"/>
    </row>
    <row r="647">
      <c r="A647" s="573"/>
      <c r="C647" s="483"/>
      <c r="D647" s="483"/>
      <c r="E647" s="573"/>
      <c r="F647" s="573"/>
    </row>
    <row r="648">
      <c r="A648" s="573"/>
      <c r="C648" s="483"/>
      <c r="D648" s="483"/>
      <c r="E648" s="573"/>
      <c r="F648" s="573"/>
    </row>
    <row r="649">
      <c r="A649" s="573"/>
      <c r="C649" s="483"/>
      <c r="D649" s="483"/>
      <c r="E649" s="573"/>
      <c r="F649" s="573"/>
    </row>
    <row r="650">
      <c r="A650" s="573"/>
      <c r="C650" s="483"/>
      <c r="D650" s="483"/>
      <c r="E650" s="573"/>
      <c r="F650" s="573"/>
    </row>
    <row r="651">
      <c r="A651" s="573"/>
      <c r="C651" s="483"/>
      <c r="D651" s="483"/>
      <c r="E651" s="573"/>
      <c r="F651" s="573"/>
    </row>
    <row r="652">
      <c r="A652" s="573"/>
      <c r="C652" s="483"/>
      <c r="D652" s="483"/>
      <c r="E652" s="573"/>
      <c r="F652" s="573"/>
    </row>
    <row r="653">
      <c r="A653" s="573"/>
      <c r="C653" s="483"/>
      <c r="D653" s="483"/>
      <c r="E653" s="573"/>
      <c r="F653" s="573"/>
    </row>
    <row r="654">
      <c r="A654" s="573"/>
      <c r="C654" s="483"/>
      <c r="D654" s="483"/>
      <c r="E654" s="573"/>
      <c r="F654" s="573"/>
    </row>
    <row r="655">
      <c r="A655" s="573"/>
      <c r="C655" s="483"/>
      <c r="D655" s="483"/>
      <c r="E655" s="573"/>
      <c r="F655" s="573"/>
    </row>
    <row r="656">
      <c r="A656" s="573"/>
      <c r="C656" s="483"/>
      <c r="D656" s="483"/>
      <c r="E656" s="573"/>
      <c r="F656" s="573"/>
    </row>
    <row r="657">
      <c r="A657" s="573"/>
      <c r="C657" s="483"/>
      <c r="D657" s="483"/>
      <c r="E657" s="573"/>
      <c r="F657" s="573"/>
    </row>
    <row r="658">
      <c r="A658" s="573"/>
      <c r="C658" s="483"/>
      <c r="D658" s="483"/>
      <c r="E658" s="573"/>
      <c r="F658" s="573"/>
    </row>
    <row r="659">
      <c r="A659" s="573"/>
      <c r="C659" s="483"/>
      <c r="D659" s="483"/>
      <c r="E659" s="573"/>
      <c r="F659" s="573"/>
    </row>
    <row r="660">
      <c r="A660" s="573"/>
      <c r="C660" s="483"/>
      <c r="D660" s="483"/>
      <c r="E660" s="573"/>
      <c r="F660" s="573"/>
    </row>
    <row r="661">
      <c r="A661" s="573"/>
      <c r="C661" s="483"/>
      <c r="D661" s="483"/>
      <c r="E661" s="573"/>
      <c r="F661" s="573"/>
    </row>
    <row r="662">
      <c r="A662" s="573"/>
      <c r="C662" s="483"/>
      <c r="D662" s="483"/>
      <c r="E662" s="573"/>
      <c r="F662" s="573"/>
    </row>
    <row r="663">
      <c r="A663" s="573"/>
      <c r="C663" s="483"/>
      <c r="D663" s="483"/>
      <c r="E663" s="573"/>
      <c r="F663" s="573"/>
    </row>
    <row r="664">
      <c r="A664" s="573"/>
      <c r="C664" s="483"/>
      <c r="D664" s="483"/>
      <c r="E664" s="573"/>
      <c r="F664" s="573"/>
    </row>
    <row r="665">
      <c r="A665" s="573"/>
      <c r="C665" s="483"/>
      <c r="D665" s="483"/>
      <c r="E665" s="573"/>
      <c r="F665" s="573"/>
    </row>
    <row r="666">
      <c r="A666" s="573"/>
      <c r="C666" s="483"/>
      <c r="D666" s="483"/>
      <c r="E666" s="573"/>
      <c r="F666" s="573"/>
    </row>
    <row r="667">
      <c r="A667" s="573"/>
      <c r="C667" s="483"/>
      <c r="D667" s="483"/>
      <c r="E667" s="573"/>
      <c r="F667" s="573"/>
    </row>
    <row r="668">
      <c r="A668" s="573"/>
      <c r="C668" s="483"/>
      <c r="D668" s="483"/>
      <c r="E668" s="573"/>
      <c r="F668" s="573"/>
    </row>
    <row r="669">
      <c r="A669" s="573"/>
      <c r="C669" s="483"/>
      <c r="D669" s="483"/>
      <c r="E669" s="573"/>
      <c r="F669" s="573"/>
    </row>
    <row r="670">
      <c r="A670" s="573"/>
      <c r="C670" s="483"/>
      <c r="D670" s="483"/>
      <c r="E670" s="573"/>
      <c r="F670" s="573"/>
    </row>
    <row r="671">
      <c r="A671" s="573"/>
      <c r="C671" s="483"/>
      <c r="D671" s="483"/>
      <c r="E671" s="573"/>
      <c r="F671" s="573"/>
    </row>
    <row r="672">
      <c r="A672" s="573"/>
      <c r="C672" s="483"/>
      <c r="D672" s="483"/>
      <c r="E672" s="573"/>
      <c r="F672" s="573"/>
    </row>
    <row r="673">
      <c r="A673" s="573"/>
      <c r="C673" s="483"/>
      <c r="D673" s="483"/>
      <c r="E673" s="573"/>
      <c r="F673" s="573"/>
    </row>
    <row r="674">
      <c r="A674" s="573"/>
      <c r="C674" s="483"/>
      <c r="D674" s="483"/>
      <c r="E674" s="573"/>
      <c r="F674" s="573"/>
    </row>
    <row r="675">
      <c r="A675" s="573"/>
      <c r="C675" s="483"/>
      <c r="D675" s="483"/>
      <c r="E675" s="573"/>
      <c r="F675" s="573"/>
    </row>
    <row r="676">
      <c r="A676" s="573"/>
      <c r="C676" s="483"/>
      <c r="D676" s="483"/>
      <c r="E676" s="573"/>
      <c r="F676" s="573"/>
    </row>
    <row r="677">
      <c r="A677" s="573"/>
      <c r="C677" s="483"/>
      <c r="D677" s="483"/>
      <c r="E677" s="573"/>
      <c r="F677" s="573"/>
    </row>
    <row r="678">
      <c r="A678" s="573"/>
      <c r="C678" s="483"/>
      <c r="D678" s="483"/>
      <c r="E678" s="573"/>
      <c r="F678" s="573"/>
    </row>
    <row r="679">
      <c r="A679" s="573"/>
      <c r="C679" s="483"/>
      <c r="D679" s="483"/>
      <c r="E679" s="573"/>
      <c r="F679" s="573"/>
    </row>
    <row r="680">
      <c r="A680" s="573"/>
      <c r="C680" s="483"/>
      <c r="D680" s="483"/>
      <c r="E680" s="573"/>
      <c r="F680" s="573"/>
    </row>
    <row r="681">
      <c r="A681" s="573"/>
      <c r="C681" s="483"/>
      <c r="D681" s="483"/>
      <c r="E681" s="573"/>
      <c r="F681" s="573"/>
    </row>
    <row r="682">
      <c r="A682" s="573"/>
      <c r="C682" s="483"/>
      <c r="D682" s="483"/>
      <c r="E682" s="573"/>
      <c r="F682" s="573"/>
    </row>
    <row r="683">
      <c r="A683" s="573"/>
      <c r="C683" s="483"/>
      <c r="D683" s="483"/>
      <c r="E683" s="573"/>
      <c r="F683" s="573"/>
    </row>
    <row r="684">
      <c r="A684" s="573"/>
      <c r="C684" s="483"/>
      <c r="D684" s="483"/>
      <c r="E684" s="573"/>
      <c r="F684" s="573"/>
    </row>
    <row r="685">
      <c r="A685" s="573"/>
      <c r="C685" s="483"/>
      <c r="D685" s="483"/>
      <c r="E685" s="573"/>
      <c r="F685" s="573"/>
    </row>
    <row r="686">
      <c r="A686" s="573"/>
      <c r="C686" s="483"/>
      <c r="D686" s="483"/>
      <c r="E686" s="573"/>
      <c r="F686" s="573"/>
    </row>
    <row r="687">
      <c r="A687" s="573"/>
      <c r="C687" s="483"/>
      <c r="D687" s="483"/>
      <c r="E687" s="573"/>
      <c r="F687" s="573"/>
    </row>
    <row r="688">
      <c r="A688" s="573"/>
      <c r="C688" s="483"/>
      <c r="D688" s="483"/>
      <c r="E688" s="573"/>
      <c r="F688" s="573"/>
    </row>
    <row r="689">
      <c r="A689" s="573"/>
      <c r="C689" s="483"/>
      <c r="D689" s="483"/>
      <c r="E689" s="573"/>
      <c r="F689" s="573"/>
    </row>
    <row r="690">
      <c r="A690" s="573"/>
      <c r="C690" s="483"/>
      <c r="D690" s="483"/>
      <c r="E690" s="573"/>
      <c r="F690" s="573"/>
    </row>
    <row r="691">
      <c r="A691" s="573"/>
      <c r="C691" s="483"/>
      <c r="D691" s="483"/>
      <c r="E691" s="573"/>
      <c r="F691" s="573"/>
    </row>
    <row r="692">
      <c r="A692" s="573"/>
      <c r="C692" s="483"/>
      <c r="D692" s="483"/>
      <c r="E692" s="573"/>
      <c r="F692" s="573"/>
    </row>
    <row r="693">
      <c r="A693" s="573"/>
      <c r="C693" s="483"/>
      <c r="D693" s="483"/>
      <c r="E693" s="573"/>
      <c r="F693" s="573"/>
    </row>
    <row r="694">
      <c r="A694" s="573"/>
      <c r="C694" s="483"/>
      <c r="D694" s="483"/>
      <c r="E694" s="573"/>
      <c r="F694" s="573"/>
    </row>
    <row r="695">
      <c r="A695" s="573"/>
      <c r="C695" s="483"/>
      <c r="D695" s="483"/>
      <c r="E695" s="573"/>
      <c r="F695" s="573"/>
    </row>
    <row r="696">
      <c r="A696" s="573"/>
      <c r="C696" s="483"/>
      <c r="D696" s="483"/>
      <c r="E696" s="573"/>
      <c r="F696" s="573"/>
    </row>
    <row r="697">
      <c r="A697" s="573"/>
      <c r="C697" s="483"/>
      <c r="D697" s="483"/>
      <c r="E697" s="573"/>
      <c r="F697" s="573"/>
    </row>
    <row r="698">
      <c r="A698" s="573"/>
      <c r="C698" s="483"/>
      <c r="D698" s="483"/>
      <c r="E698" s="573"/>
      <c r="F698" s="573"/>
    </row>
    <row r="699">
      <c r="A699" s="573"/>
      <c r="C699" s="483"/>
      <c r="D699" s="483"/>
      <c r="E699" s="573"/>
      <c r="F699" s="573"/>
    </row>
    <row r="700">
      <c r="A700" s="573"/>
      <c r="C700" s="483"/>
      <c r="D700" s="483"/>
      <c r="E700" s="573"/>
      <c r="F700" s="573"/>
    </row>
    <row r="701">
      <c r="A701" s="573"/>
      <c r="C701" s="483"/>
      <c r="D701" s="483"/>
      <c r="E701" s="573"/>
      <c r="F701" s="573"/>
    </row>
    <row r="702">
      <c r="A702" s="573"/>
      <c r="C702" s="483"/>
      <c r="D702" s="483"/>
      <c r="E702" s="573"/>
      <c r="F702" s="573"/>
    </row>
    <row r="703">
      <c r="A703" s="573"/>
      <c r="C703" s="483"/>
      <c r="D703" s="483"/>
      <c r="E703" s="573"/>
      <c r="F703" s="573"/>
    </row>
    <row r="704">
      <c r="A704" s="573"/>
      <c r="C704" s="483"/>
      <c r="D704" s="483"/>
      <c r="E704" s="573"/>
      <c r="F704" s="573"/>
    </row>
    <row r="705">
      <c r="A705" s="573"/>
      <c r="C705" s="483"/>
      <c r="D705" s="483"/>
      <c r="E705" s="573"/>
      <c r="F705" s="573"/>
    </row>
    <row r="706">
      <c r="A706" s="573"/>
      <c r="C706" s="483"/>
      <c r="D706" s="483"/>
      <c r="E706" s="573"/>
      <c r="F706" s="573"/>
    </row>
    <row r="707">
      <c r="A707" s="573"/>
      <c r="C707" s="483"/>
      <c r="D707" s="483"/>
      <c r="E707" s="573"/>
      <c r="F707" s="573"/>
    </row>
    <row r="708">
      <c r="A708" s="573"/>
      <c r="C708" s="483"/>
      <c r="D708" s="483"/>
      <c r="E708" s="573"/>
      <c r="F708" s="573"/>
    </row>
    <row r="709">
      <c r="A709" s="573"/>
      <c r="C709" s="483"/>
      <c r="D709" s="483"/>
      <c r="E709" s="573"/>
      <c r="F709" s="573"/>
    </row>
    <row r="710">
      <c r="A710" s="573"/>
      <c r="C710" s="483"/>
      <c r="D710" s="483"/>
      <c r="E710" s="573"/>
      <c r="F710" s="573"/>
    </row>
    <row r="711">
      <c r="A711" s="573"/>
      <c r="C711" s="483"/>
      <c r="D711" s="483"/>
      <c r="E711" s="573"/>
      <c r="F711" s="573"/>
    </row>
    <row r="712">
      <c r="A712" s="573"/>
      <c r="C712" s="483"/>
      <c r="D712" s="483"/>
      <c r="E712" s="573"/>
      <c r="F712" s="573"/>
    </row>
    <row r="713">
      <c r="A713" s="573"/>
      <c r="C713" s="483"/>
      <c r="D713" s="483"/>
      <c r="E713" s="573"/>
      <c r="F713" s="573"/>
    </row>
    <row r="714">
      <c r="A714" s="573"/>
      <c r="C714" s="483"/>
      <c r="D714" s="483"/>
      <c r="E714" s="573"/>
      <c r="F714" s="573"/>
    </row>
    <row r="715">
      <c r="A715" s="573"/>
      <c r="C715" s="483"/>
      <c r="D715" s="483"/>
      <c r="E715" s="573"/>
      <c r="F715" s="573"/>
    </row>
    <row r="716">
      <c r="A716" s="573"/>
      <c r="C716" s="483"/>
      <c r="D716" s="483"/>
      <c r="E716" s="573"/>
      <c r="F716" s="573"/>
    </row>
    <row r="717">
      <c r="A717" s="573"/>
      <c r="C717" s="483"/>
      <c r="D717" s="483"/>
      <c r="E717" s="573"/>
      <c r="F717" s="573"/>
    </row>
    <row r="718">
      <c r="A718" s="573"/>
      <c r="C718" s="483"/>
      <c r="D718" s="483"/>
      <c r="E718" s="573"/>
      <c r="F718" s="573"/>
    </row>
    <row r="719">
      <c r="A719" s="573"/>
      <c r="C719" s="483"/>
      <c r="D719" s="483"/>
      <c r="E719" s="573"/>
      <c r="F719" s="573"/>
    </row>
    <row r="720">
      <c r="A720" s="573"/>
      <c r="C720" s="483"/>
      <c r="D720" s="483"/>
      <c r="E720" s="573"/>
      <c r="F720" s="573"/>
    </row>
    <row r="721">
      <c r="A721" s="573"/>
      <c r="C721" s="483"/>
      <c r="D721" s="483"/>
      <c r="E721" s="573"/>
      <c r="F721" s="573"/>
    </row>
    <row r="722">
      <c r="A722" s="573"/>
      <c r="C722" s="483"/>
      <c r="D722" s="483"/>
      <c r="E722" s="573"/>
      <c r="F722" s="573"/>
    </row>
    <row r="723">
      <c r="A723" s="573"/>
      <c r="C723" s="483"/>
      <c r="D723" s="483"/>
      <c r="E723" s="573"/>
      <c r="F723" s="573"/>
    </row>
    <row r="724">
      <c r="A724" s="573"/>
      <c r="C724" s="483"/>
      <c r="D724" s="483"/>
      <c r="E724" s="573"/>
      <c r="F724" s="573"/>
    </row>
    <row r="725">
      <c r="A725" s="573"/>
      <c r="C725" s="483"/>
      <c r="D725" s="483"/>
      <c r="E725" s="573"/>
      <c r="F725" s="573"/>
    </row>
    <row r="726">
      <c r="A726" s="573"/>
      <c r="C726" s="483"/>
      <c r="D726" s="483"/>
      <c r="E726" s="573"/>
      <c r="F726" s="573"/>
    </row>
    <row r="727">
      <c r="A727" s="573"/>
      <c r="C727" s="483"/>
      <c r="D727" s="483"/>
      <c r="E727" s="573"/>
      <c r="F727" s="573"/>
    </row>
    <row r="728">
      <c r="A728" s="573"/>
      <c r="C728" s="483"/>
      <c r="D728" s="483"/>
      <c r="E728" s="573"/>
      <c r="F728" s="573"/>
    </row>
    <row r="729">
      <c r="A729" s="573"/>
      <c r="C729" s="483"/>
      <c r="D729" s="483"/>
      <c r="E729" s="573"/>
      <c r="F729" s="573"/>
    </row>
    <row r="730">
      <c r="A730" s="573"/>
      <c r="C730" s="483"/>
      <c r="D730" s="483"/>
      <c r="E730" s="573"/>
      <c r="F730" s="573"/>
    </row>
    <row r="731">
      <c r="A731" s="573"/>
      <c r="C731" s="483"/>
      <c r="D731" s="483"/>
      <c r="E731" s="573"/>
      <c r="F731" s="573"/>
    </row>
    <row r="732">
      <c r="A732" s="573"/>
      <c r="C732" s="483"/>
      <c r="D732" s="483"/>
      <c r="E732" s="573"/>
      <c r="F732" s="573"/>
    </row>
    <row r="733">
      <c r="A733" s="573"/>
      <c r="C733" s="483"/>
      <c r="D733" s="483"/>
      <c r="E733" s="573"/>
      <c r="F733" s="573"/>
    </row>
    <row r="734">
      <c r="A734" s="573"/>
      <c r="C734" s="483"/>
      <c r="D734" s="483"/>
      <c r="E734" s="573"/>
      <c r="F734" s="573"/>
    </row>
    <row r="735">
      <c r="A735" s="573"/>
      <c r="C735" s="483"/>
      <c r="D735" s="483"/>
      <c r="E735" s="573"/>
      <c r="F735" s="573"/>
    </row>
    <row r="736">
      <c r="A736" s="573"/>
      <c r="C736" s="483"/>
      <c r="D736" s="483"/>
      <c r="E736" s="573"/>
      <c r="F736" s="573"/>
    </row>
    <row r="737">
      <c r="A737" s="573"/>
      <c r="C737" s="483"/>
      <c r="D737" s="483"/>
      <c r="E737" s="573"/>
      <c r="F737" s="573"/>
    </row>
    <row r="738">
      <c r="A738" s="573"/>
      <c r="C738" s="483"/>
      <c r="D738" s="483"/>
      <c r="E738" s="573"/>
      <c r="F738" s="573"/>
    </row>
    <row r="739">
      <c r="A739" s="573"/>
      <c r="C739" s="483"/>
      <c r="D739" s="483"/>
      <c r="E739" s="573"/>
      <c r="F739" s="573"/>
    </row>
    <row r="740">
      <c r="A740" s="573"/>
      <c r="C740" s="483"/>
      <c r="D740" s="483"/>
      <c r="E740" s="573"/>
      <c r="F740" s="573"/>
    </row>
    <row r="741">
      <c r="A741" s="573"/>
      <c r="C741" s="483"/>
      <c r="D741" s="483"/>
      <c r="E741" s="573"/>
      <c r="F741" s="573"/>
    </row>
    <row r="742">
      <c r="A742" s="573"/>
      <c r="C742" s="483"/>
      <c r="D742" s="483"/>
      <c r="E742" s="573"/>
      <c r="F742" s="573"/>
    </row>
    <row r="743">
      <c r="A743" s="573"/>
      <c r="C743" s="483"/>
      <c r="D743" s="483"/>
      <c r="E743" s="573"/>
      <c r="F743" s="573"/>
    </row>
    <row r="744">
      <c r="A744" s="573"/>
      <c r="C744" s="483"/>
      <c r="D744" s="483"/>
      <c r="E744" s="573"/>
      <c r="F744" s="573"/>
    </row>
    <row r="745">
      <c r="A745" s="573"/>
      <c r="C745" s="483"/>
      <c r="D745" s="483"/>
      <c r="E745" s="573"/>
      <c r="F745" s="573"/>
    </row>
    <row r="746">
      <c r="A746" s="573"/>
      <c r="C746" s="483"/>
      <c r="D746" s="483"/>
      <c r="E746" s="573"/>
      <c r="F746" s="573"/>
    </row>
    <row r="747">
      <c r="A747" s="573"/>
      <c r="C747" s="483"/>
      <c r="D747" s="483"/>
      <c r="E747" s="573"/>
      <c r="F747" s="573"/>
    </row>
    <row r="748">
      <c r="A748" s="573"/>
      <c r="C748" s="483"/>
      <c r="D748" s="483"/>
      <c r="E748" s="573"/>
      <c r="F748" s="573"/>
    </row>
    <row r="749">
      <c r="A749" s="573"/>
      <c r="C749" s="483"/>
      <c r="D749" s="483"/>
      <c r="E749" s="573"/>
      <c r="F749" s="573"/>
    </row>
    <row r="750">
      <c r="A750" s="573"/>
      <c r="C750" s="483"/>
      <c r="D750" s="483"/>
      <c r="E750" s="573"/>
      <c r="F750" s="573"/>
    </row>
    <row r="751">
      <c r="A751" s="573"/>
      <c r="C751" s="483"/>
      <c r="D751" s="483"/>
      <c r="E751" s="573"/>
      <c r="F751" s="573"/>
    </row>
    <row r="752">
      <c r="A752" s="573"/>
      <c r="C752" s="483"/>
      <c r="D752" s="483"/>
      <c r="E752" s="573"/>
      <c r="F752" s="573"/>
    </row>
    <row r="753">
      <c r="A753" s="573"/>
      <c r="C753" s="483"/>
      <c r="D753" s="483"/>
      <c r="E753" s="573"/>
      <c r="F753" s="573"/>
    </row>
    <row r="754">
      <c r="A754" s="573"/>
      <c r="C754" s="483"/>
      <c r="D754" s="483"/>
      <c r="E754" s="573"/>
      <c r="F754" s="573"/>
    </row>
    <row r="755">
      <c r="A755" s="573"/>
      <c r="C755" s="483"/>
      <c r="D755" s="483"/>
      <c r="E755" s="573"/>
      <c r="F755" s="573"/>
    </row>
    <row r="756">
      <c r="A756" s="573"/>
      <c r="C756" s="483"/>
      <c r="D756" s="483"/>
      <c r="E756" s="573"/>
      <c r="F756" s="573"/>
    </row>
    <row r="757">
      <c r="A757" s="573"/>
      <c r="C757" s="483"/>
      <c r="D757" s="483"/>
      <c r="E757" s="573"/>
      <c r="F757" s="573"/>
    </row>
    <row r="758">
      <c r="A758" s="573"/>
      <c r="C758" s="483"/>
      <c r="D758" s="483"/>
      <c r="E758" s="573"/>
      <c r="F758" s="573"/>
    </row>
    <row r="759">
      <c r="A759" s="573"/>
      <c r="C759" s="483"/>
      <c r="D759" s="483"/>
      <c r="E759" s="573"/>
      <c r="F759" s="573"/>
    </row>
    <row r="760">
      <c r="A760" s="573"/>
      <c r="C760" s="483"/>
      <c r="D760" s="483"/>
      <c r="E760" s="573"/>
      <c r="F760" s="573"/>
    </row>
    <row r="761">
      <c r="A761" s="573"/>
      <c r="C761" s="483"/>
      <c r="D761" s="483"/>
      <c r="E761" s="573"/>
      <c r="F761" s="573"/>
    </row>
    <row r="762">
      <c r="A762" s="573"/>
      <c r="C762" s="483"/>
      <c r="D762" s="483"/>
      <c r="E762" s="573"/>
      <c r="F762" s="573"/>
    </row>
    <row r="763">
      <c r="A763" s="573"/>
      <c r="C763" s="483"/>
      <c r="D763" s="483"/>
      <c r="E763" s="573"/>
      <c r="F763" s="573"/>
    </row>
    <row r="764">
      <c r="A764" s="573"/>
      <c r="C764" s="483"/>
      <c r="D764" s="483"/>
      <c r="E764" s="573"/>
      <c r="F764" s="573"/>
    </row>
    <row r="765">
      <c r="A765" s="573"/>
      <c r="C765" s="483"/>
      <c r="D765" s="483"/>
      <c r="E765" s="573"/>
      <c r="F765" s="573"/>
    </row>
    <row r="766">
      <c r="A766" s="573"/>
      <c r="C766" s="483"/>
      <c r="D766" s="483"/>
      <c r="E766" s="573"/>
      <c r="F766" s="573"/>
    </row>
    <row r="767">
      <c r="A767" s="573"/>
      <c r="C767" s="483"/>
      <c r="D767" s="483"/>
      <c r="E767" s="573"/>
      <c r="F767" s="573"/>
    </row>
    <row r="768">
      <c r="A768" s="573"/>
      <c r="C768" s="483"/>
      <c r="D768" s="483"/>
      <c r="E768" s="573"/>
      <c r="F768" s="573"/>
    </row>
    <row r="769">
      <c r="A769" s="573"/>
      <c r="C769" s="483"/>
      <c r="D769" s="483"/>
      <c r="E769" s="573"/>
      <c r="F769" s="573"/>
    </row>
    <row r="770">
      <c r="A770" s="573"/>
      <c r="C770" s="483"/>
      <c r="D770" s="483"/>
      <c r="E770" s="573"/>
      <c r="F770" s="573"/>
    </row>
    <row r="771">
      <c r="A771" s="573"/>
      <c r="C771" s="483"/>
      <c r="D771" s="483"/>
      <c r="E771" s="573"/>
      <c r="F771" s="573"/>
    </row>
    <row r="772">
      <c r="A772" s="573"/>
      <c r="C772" s="483"/>
      <c r="D772" s="483"/>
      <c r="E772" s="573"/>
      <c r="F772" s="573"/>
    </row>
    <row r="773">
      <c r="A773" s="573"/>
      <c r="C773" s="483"/>
      <c r="D773" s="483"/>
      <c r="E773" s="573"/>
      <c r="F773" s="573"/>
    </row>
    <row r="774">
      <c r="A774" s="573"/>
      <c r="C774" s="483"/>
      <c r="D774" s="483"/>
      <c r="E774" s="573"/>
      <c r="F774" s="573"/>
    </row>
    <row r="775">
      <c r="A775" s="573"/>
      <c r="C775" s="483"/>
      <c r="D775" s="483"/>
      <c r="E775" s="573"/>
      <c r="F775" s="573"/>
    </row>
    <row r="776">
      <c r="A776" s="573"/>
      <c r="C776" s="483"/>
      <c r="D776" s="483"/>
      <c r="E776" s="573"/>
      <c r="F776" s="573"/>
    </row>
    <row r="777">
      <c r="A777" s="573"/>
      <c r="C777" s="483"/>
      <c r="D777" s="483"/>
      <c r="E777" s="573"/>
      <c r="F777" s="573"/>
    </row>
    <row r="778">
      <c r="A778" s="573"/>
      <c r="C778" s="483"/>
      <c r="D778" s="483"/>
      <c r="E778" s="573"/>
      <c r="F778" s="573"/>
    </row>
    <row r="779">
      <c r="A779" s="573"/>
      <c r="C779" s="483"/>
      <c r="D779" s="483"/>
      <c r="E779" s="573"/>
      <c r="F779" s="573"/>
    </row>
    <row r="780">
      <c r="A780" s="573"/>
      <c r="C780" s="483"/>
      <c r="D780" s="483"/>
      <c r="E780" s="573"/>
      <c r="F780" s="573"/>
    </row>
    <row r="781">
      <c r="A781" s="573"/>
      <c r="C781" s="483"/>
      <c r="D781" s="483"/>
      <c r="E781" s="573"/>
      <c r="F781" s="573"/>
    </row>
    <row r="782">
      <c r="A782" s="573"/>
      <c r="C782" s="483"/>
      <c r="D782" s="483"/>
      <c r="E782" s="573"/>
      <c r="F782" s="573"/>
    </row>
    <row r="783">
      <c r="A783" s="573"/>
      <c r="C783" s="483"/>
      <c r="D783" s="483"/>
      <c r="E783" s="573"/>
      <c r="F783" s="573"/>
    </row>
    <row r="784">
      <c r="A784" s="573"/>
      <c r="C784" s="483"/>
      <c r="D784" s="483"/>
      <c r="E784" s="573"/>
      <c r="F784" s="573"/>
    </row>
    <row r="785">
      <c r="A785" s="573"/>
      <c r="C785" s="483"/>
      <c r="D785" s="483"/>
      <c r="E785" s="573"/>
      <c r="F785" s="573"/>
    </row>
    <row r="786">
      <c r="A786" s="573"/>
      <c r="C786" s="483"/>
      <c r="D786" s="483"/>
      <c r="E786" s="573"/>
      <c r="F786" s="573"/>
    </row>
    <row r="787">
      <c r="A787" s="573"/>
      <c r="C787" s="483"/>
      <c r="D787" s="483"/>
      <c r="E787" s="573"/>
      <c r="F787" s="573"/>
    </row>
    <row r="788">
      <c r="A788" s="573"/>
      <c r="C788" s="483"/>
      <c r="D788" s="483"/>
      <c r="E788" s="573"/>
      <c r="F788" s="573"/>
    </row>
    <row r="789">
      <c r="A789" s="573"/>
      <c r="C789" s="483"/>
      <c r="D789" s="483"/>
      <c r="E789" s="573"/>
      <c r="F789" s="573"/>
    </row>
    <row r="790">
      <c r="A790" s="573"/>
      <c r="C790" s="483"/>
      <c r="D790" s="483"/>
      <c r="E790" s="573"/>
      <c r="F790" s="573"/>
    </row>
    <row r="791">
      <c r="A791" s="573"/>
      <c r="C791" s="483"/>
      <c r="D791" s="483"/>
      <c r="E791" s="573"/>
      <c r="F791" s="573"/>
    </row>
    <row r="792">
      <c r="A792" s="573"/>
      <c r="C792" s="483"/>
      <c r="D792" s="483"/>
      <c r="E792" s="573"/>
      <c r="F792" s="573"/>
    </row>
    <row r="793">
      <c r="A793" s="573"/>
      <c r="C793" s="483"/>
      <c r="D793" s="483"/>
      <c r="E793" s="573"/>
      <c r="F793" s="573"/>
    </row>
    <row r="794">
      <c r="A794" s="573"/>
      <c r="C794" s="483"/>
      <c r="D794" s="483"/>
      <c r="E794" s="573"/>
      <c r="F794" s="573"/>
    </row>
    <row r="795">
      <c r="A795" s="573"/>
      <c r="C795" s="483"/>
      <c r="D795" s="483"/>
      <c r="E795" s="573"/>
      <c r="F795" s="573"/>
    </row>
    <row r="796">
      <c r="A796" s="573"/>
      <c r="C796" s="483"/>
      <c r="D796" s="483"/>
      <c r="E796" s="573"/>
      <c r="F796" s="573"/>
    </row>
    <row r="797">
      <c r="A797" s="573"/>
      <c r="C797" s="483"/>
      <c r="D797" s="483"/>
      <c r="E797" s="573"/>
      <c r="F797" s="573"/>
    </row>
    <row r="798">
      <c r="A798" s="573"/>
      <c r="C798" s="483"/>
      <c r="D798" s="483"/>
      <c r="E798" s="573"/>
      <c r="F798" s="573"/>
    </row>
    <row r="799">
      <c r="A799" s="573"/>
      <c r="C799" s="483"/>
      <c r="D799" s="483"/>
      <c r="E799" s="573"/>
      <c r="F799" s="573"/>
    </row>
    <row r="800">
      <c r="A800" s="573"/>
      <c r="C800" s="483"/>
      <c r="D800" s="483"/>
      <c r="E800" s="573"/>
      <c r="F800" s="573"/>
    </row>
    <row r="801">
      <c r="A801" s="573"/>
      <c r="C801" s="483"/>
      <c r="D801" s="483"/>
      <c r="E801" s="573"/>
      <c r="F801" s="573"/>
    </row>
    <row r="802">
      <c r="A802" s="573"/>
      <c r="C802" s="483"/>
      <c r="D802" s="483"/>
      <c r="E802" s="573"/>
      <c r="F802" s="573"/>
    </row>
    <row r="803">
      <c r="A803" s="573"/>
      <c r="C803" s="483"/>
      <c r="D803" s="483"/>
      <c r="E803" s="573"/>
      <c r="F803" s="573"/>
    </row>
    <row r="804">
      <c r="A804" s="573"/>
      <c r="C804" s="483"/>
      <c r="D804" s="483"/>
      <c r="E804" s="573"/>
      <c r="F804" s="573"/>
    </row>
  </sheetData>
  <autoFilter ref="$A$1:$E$56">
    <sortState ref="A1:E56">
      <sortCondition descending="1" ref="E1:E56"/>
    </sortState>
  </autoFilter>
  <mergeCells count="2">
    <mergeCell ref="C57:D57"/>
    <mergeCell ref="C64:G64"/>
  </mergeCells>
  <hyperlinks>
    <hyperlink r:id="rId1" ref="H2"/>
    <hyperlink r:id="rId2" ref="H3"/>
    <hyperlink r:id="rId3" location="slide=id.g2edd551b383_0_886" ref="C64"/>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1.38"/>
    <col customWidth="1" min="3" max="3" width="14.0"/>
    <col customWidth="1" min="4" max="4" width="14.63"/>
    <col customWidth="1" min="5" max="5" width="12.88"/>
    <col customWidth="1" min="6" max="6" width="11.13"/>
    <col customWidth="1" min="7" max="7" width="11.75"/>
    <col customWidth="1" min="8" max="8" width="10.5"/>
    <col customWidth="1" min="9" max="9" width="19.13"/>
    <col customWidth="1" min="10" max="10" width="10.13"/>
    <col customWidth="1" min="11" max="11" width="41.13"/>
    <col customWidth="1" min="12" max="12" width="9.63"/>
    <col customWidth="1" min="13" max="13" width="71.0"/>
  </cols>
  <sheetData>
    <row r="1">
      <c r="A1" s="614" t="s">
        <v>161</v>
      </c>
      <c r="B1" s="615" t="s">
        <v>641</v>
      </c>
      <c r="C1" s="615" t="s">
        <v>644</v>
      </c>
      <c r="D1" s="615" t="s">
        <v>646</v>
      </c>
      <c r="E1" s="615" t="s">
        <v>647</v>
      </c>
      <c r="F1" s="615" t="s">
        <v>648</v>
      </c>
      <c r="G1" s="615" t="s">
        <v>649</v>
      </c>
      <c r="H1" s="615" t="s">
        <v>650</v>
      </c>
      <c r="I1" s="615" t="s">
        <v>651</v>
      </c>
      <c r="J1" s="614" t="s">
        <v>652</v>
      </c>
      <c r="K1" s="614" t="s">
        <v>653</v>
      </c>
      <c r="L1" s="617" t="s">
        <v>307</v>
      </c>
      <c r="M1" s="614" t="s">
        <v>377</v>
      </c>
      <c r="N1" s="619"/>
      <c r="O1" s="619"/>
      <c r="P1" s="619"/>
      <c r="Q1" s="619"/>
      <c r="R1" s="619"/>
      <c r="S1" s="619"/>
      <c r="T1" s="619"/>
      <c r="U1" s="619"/>
      <c r="V1" s="619"/>
      <c r="W1" s="619"/>
      <c r="X1" s="619"/>
      <c r="Y1" s="619"/>
      <c r="Z1" s="619"/>
    </row>
    <row r="2">
      <c r="A2" s="507" t="s">
        <v>207</v>
      </c>
      <c r="B2" s="265">
        <v>2873352.73657226</v>
      </c>
      <c r="C2" s="265">
        <v>22.85</v>
      </c>
      <c r="D2" s="265">
        <v>27.6395559877177</v>
      </c>
      <c r="E2" s="265">
        <v>79.0963305176548</v>
      </c>
      <c r="F2" s="265">
        <v>457.0</v>
      </c>
      <c r="G2" s="265">
        <v>276.395559877177</v>
      </c>
      <c r="H2" s="265">
        <v>164.78402191178</v>
      </c>
      <c r="I2" s="265">
        <v>193.230922658867</v>
      </c>
      <c r="J2" s="507" t="s">
        <v>654</v>
      </c>
      <c r="K2" s="507" t="str">
        <f t="shared" ref="K2:K55" si="1">IF(I2 &lt;100, "Low leverage", IF(I2 &lt;=200, "Medium leverage", "High leverage"))</f>
        <v>Medium leverage</v>
      </c>
      <c r="L2" s="625">
        <f t="shared" ref="L2:L55" si="2">IF(I2 &lt;100, (1/3), IF(I2 &lt;=200, (2/3), 1))</f>
        <v>0.6666666667</v>
      </c>
      <c r="M2" s="515" t="s">
        <v>655</v>
      </c>
      <c r="N2" s="507"/>
      <c r="O2" s="507"/>
      <c r="P2" s="507"/>
      <c r="Q2" s="507"/>
      <c r="R2" s="507"/>
      <c r="S2" s="507"/>
      <c r="T2" s="507"/>
      <c r="U2" s="507"/>
      <c r="V2" s="507"/>
      <c r="W2" s="507"/>
      <c r="X2" s="507"/>
      <c r="Y2" s="507"/>
      <c r="Z2" s="507"/>
    </row>
    <row r="3">
      <c r="A3" s="507" t="s">
        <v>240</v>
      </c>
      <c r="B3" s="265">
        <v>2.0146016372359E7</v>
      </c>
      <c r="C3" s="265">
        <v>32.32</v>
      </c>
      <c r="D3" s="265">
        <v>13.1709762021874</v>
      </c>
      <c r="E3" s="265">
        <v>166.418969286147</v>
      </c>
      <c r="F3" s="265">
        <v>646.4</v>
      </c>
      <c r="G3" s="265">
        <v>131.709762021874</v>
      </c>
      <c r="H3" s="265">
        <v>346.706186012808</v>
      </c>
      <c r="I3" s="265">
        <v>320.401337745777</v>
      </c>
      <c r="J3" s="507" t="s">
        <v>657</v>
      </c>
      <c r="K3" s="507" t="str">
        <f t="shared" si="1"/>
        <v>High leverage</v>
      </c>
      <c r="L3" s="625">
        <f t="shared" si="2"/>
        <v>1</v>
      </c>
      <c r="M3" s="507"/>
      <c r="N3" s="507"/>
      <c r="O3" s="507"/>
      <c r="P3" s="507"/>
      <c r="Q3" s="507"/>
      <c r="R3" s="507"/>
      <c r="S3" s="507"/>
      <c r="T3" s="507"/>
      <c r="U3" s="507"/>
      <c r="V3" s="507"/>
      <c r="W3" s="507"/>
      <c r="X3" s="507"/>
      <c r="Y3" s="507"/>
      <c r="Z3" s="507"/>
    </row>
    <row r="4">
      <c r="A4" s="507" t="s">
        <v>268</v>
      </c>
      <c r="B4" s="265">
        <v>5803206.6297816</v>
      </c>
      <c r="C4" s="265">
        <v>31.78</v>
      </c>
      <c r="D4" s="265">
        <v>10.5135785113613</v>
      </c>
      <c r="E4" s="265">
        <v>152.79386591201</v>
      </c>
      <c r="F4" s="265">
        <v>635.6</v>
      </c>
      <c r="G4" s="265">
        <v>105.135785113613</v>
      </c>
      <c r="H4" s="265">
        <v>318.320553983354</v>
      </c>
      <c r="I4" s="265">
        <v>292.901649735113</v>
      </c>
      <c r="J4" s="507" t="s">
        <v>657</v>
      </c>
      <c r="K4" s="507" t="str">
        <f t="shared" si="1"/>
        <v>High leverage</v>
      </c>
      <c r="L4" s="625">
        <f t="shared" si="2"/>
        <v>1</v>
      </c>
      <c r="M4" s="507"/>
      <c r="N4" s="507"/>
      <c r="O4" s="507"/>
      <c r="P4" s="507"/>
      <c r="Q4" s="507"/>
      <c r="R4" s="507"/>
      <c r="S4" s="507"/>
      <c r="T4" s="507"/>
      <c r="U4" s="507"/>
      <c r="V4" s="507"/>
      <c r="W4" s="507"/>
      <c r="X4" s="507"/>
      <c r="Y4" s="507"/>
      <c r="Z4" s="507"/>
    </row>
    <row r="5">
      <c r="A5" s="507" t="s">
        <v>329</v>
      </c>
      <c r="B5" s="265">
        <v>1596329.94558744</v>
      </c>
      <c r="C5" s="265">
        <v>14.42</v>
      </c>
      <c r="D5" s="265">
        <v>9.76289607287356</v>
      </c>
      <c r="E5" s="265">
        <v>105.991826526124</v>
      </c>
      <c r="F5" s="265">
        <v>288.4</v>
      </c>
      <c r="G5" s="265">
        <v>97.6289607287356</v>
      </c>
      <c r="H5" s="265">
        <v>220.816305262758</v>
      </c>
      <c r="I5" s="265">
        <v>202.304685348738</v>
      </c>
      <c r="J5" s="507" t="s">
        <v>654</v>
      </c>
      <c r="K5" s="507" t="str">
        <f t="shared" si="1"/>
        <v>High leverage</v>
      </c>
      <c r="L5" s="625">
        <f t="shared" si="2"/>
        <v>1</v>
      </c>
      <c r="M5" s="507"/>
      <c r="N5" s="507"/>
      <c r="O5" s="507"/>
      <c r="P5" s="507"/>
      <c r="Q5" s="507"/>
      <c r="R5" s="507"/>
      <c r="S5" s="507"/>
      <c r="T5" s="507"/>
      <c r="U5" s="507"/>
      <c r="V5" s="507"/>
      <c r="W5" s="507"/>
      <c r="X5" s="507"/>
      <c r="Y5" s="507"/>
      <c r="Z5" s="507"/>
    </row>
    <row r="6">
      <c r="A6" s="507" t="s">
        <v>331</v>
      </c>
      <c r="B6" s="265">
        <v>5555957.74717237</v>
      </c>
      <c r="C6" s="265">
        <v>46.04</v>
      </c>
      <c r="D6" s="265">
        <v>10.8145740175958</v>
      </c>
      <c r="E6" s="265">
        <v>122.036905862644</v>
      </c>
      <c r="F6" s="265">
        <v>920.8</v>
      </c>
      <c r="G6" s="265">
        <v>108.145740175958</v>
      </c>
      <c r="H6" s="265">
        <v>254.243553880508</v>
      </c>
      <c r="I6" s="265">
        <v>251.65867511685</v>
      </c>
      <c r="J6" s="507" t="s">
        <v>654</v>
      </c>
      <c r="K6" s="507" t="str">
        <f t="shared" si="1"/>
        <v>High leverage</v>
      </c>
      <c r="L6" s="625">
        <f t="shared" si="2"/>
        <v>1</v>
      </c>
      <c r="M6" s="507"/>
      <c r="N6" s="507"/>
      <c r="O6" s="507"/>
      <c r="P6" s="507"/>
      <c r="Q6" s="507"/>
      <c r="R6" s="507"/>
      <c r="S6" s="507"/>
      <c r="T6" s="507"/>
      <c r="U6" s="507"/>
      <c r="V6" s="507"/>
      <c r="W6" s="507"/>
      <c r="X6" s="507"/>
      <c r="Y6" s="507"/>
      <c r="Z6" s="507"/>
    </row>
    <row r="7">
      <c r="A7" s="507" t="s">
        <v>333</v>
      </c>
      <c r="B7" s="265">
        <v>1437386.40820133</v>
      </c>
      <c r="C7" s="265">
        <v>28.38</v>
      </c>
      <c r="D7" s="265">
        <v>9.03527611044396</v>
      </c>
      <c r="E7" s="265">
        <v>148.600851882364</v>
      </c>
      <c r="F7" s="265">
        <v>567.6</v>
      </c>
      <c r="G7" s="265">
        <v>90.3527611044396</v>
      </c>
      <c r="H7" s="265">
        <v>309.585108088259</v>
      </c>
      <c r="I7" s="265">
        <v>281.190256580297</v>
      </c>
      <c r="J7" s="507" t="s">
        <v>654</v>
      </c>
      <c r="K7" s="507" t="str">
        <f t="shared" si="1"/>
        <v>High leverage</v>
      </c>
      <c r="L7" s="625">
        <f t="shared" si="2"/>
        <v>1</v>
      </c>
      <c r="M7" s="507"/>
      <c r="N7" s="507"/>
      <c r="O7" s="507"/>
      <c r="P7" s="507"/>
      <c r="Q7" s="507"/>
      <c r="R7" s="507"/>
      <c r="S7" s="507"/>
      <c r="T7" s="507"/>
      <c r="U7" s="507"/>
      <c r="V7" s="507"/>
      <c r="W7" s="507"/>
      <c r="X7" s="507"/>
      <c r="Y7" s="507"/>
      <c r="Z7" s="507"/>
    </row>
    <row r="8">
      <c r="A8" s="507" t="s">
        <v>225</v>
      </c>
      <c r="B8" s="265">
        <v>7041.50207519531</v>
      </c>
      <c r="C8" s="265">
        <v>32.63</v>
      </c>
      <c r="D8" s="265">
        <v>5.66675807964008</v>
      </c>
      <c r="E8" s="265">
        <v>89.2626428450637</v>
      </c>
      <c r="F8" s="265">
        <v>652.6</v>
      </c>
      <c r="G8" s="265">
        <v>56.6675807964008</v>
      </c>
      <c r="H8" s="265">
        <v>185.963839260549</v>
      </c>
      <c r="I8" s="265">
        <v>179.604653377799</v>
      </c>
      <c r="J8" s="507" t="s">
        <v>663</v>
      </c>
      <c r="K8" s="507" t="str">
        <f t="shared" si="1"/>
        <v>Medium leverage</v>
      </c>
      <c r="L8" s="625">
        <f t="shared" si="2"/>
        <v>0.6666666667</v>
      </c>
      <c r="M8" s="507"/>
      <c r="N8" s="507"/>
      <c r="O8" s="507"/>
      <c r="P8" s="507"/>
      <c r="Q8" s="507"/>
      <c r="R8" s="507"/>
      <c r="S8" s="507"/>
      <c r="T8" s="507"/>
      <c r="U8" s="507"/>
      <c r="V8" s="507"/>
      <c r="W8" s="507"/>
      <c r="X8" s="507"/>
      <c r="Y8" s="507"/>
      <c r="Z8" s="507"/>
    </row>
    <row r="9">
      <c r="A9" s="507" t="s">
        <v>338</v>
      </c>
      <c r="B9" s="265">
        <v>1.37259495076587E7</v>
      </c>
      <c r="C9" s="265">
        <v>61.63</v>
      </c>
      <c r="D9" s="265">
        <v>10.4395048520282</v>
      </c>
      <c r="E9" s="265">
        <v>147.385606588795</v>
      </c>
      <c r="F9" s="265">
        <v>1232.6</v>
      </c>
      <c r="G9" s="265">
        <v>104.395048520282</v>
      </c>
      <c r="H9" s="265">
        <v>307.05334705999</v>
      </c>
      <c r="I9" s="265">
        <v>303.498762655596</v>
      </c>
      <c r="J9" s="507" t="s">
        <v>657</v>
      </c>
      <c r="K9" s="507" t="str">
        <f t="shared" si="1"/>
        <v>High leverage</v>
      </c>
      <c r="L9" s="625">
        <f t="shared" si="2"/>
        <v>1</v>
      </c>
      <c r="M9" s="507"/>
      <c r="N9" s="507"/>
      <c r="O9" s="507"/>
      <c r="P9" s="507"/>
      <c r="Q9" s="507"/>
      <c r="R9" s="507"/>
      <c r="S9" s="507"/>
      <c r="T9" s="507"/>
      <c r="U9" s="507"/>
      <c r="V9" s="507"/>
      <c r="W9" s="507"/>
      <c r="X9" s="507"/>
      <c r="Y9" s="507"/>
      <c r="Z9" s="507"/>
    </row>
    <row r="10">
      <c r="A10" s="507" t="s">
        <v>340</v>
      </c>
      <c r="B10" s="265">
        <v>1920382.88827281</v>
      </c>
      <c r="C10" s="265">
        <v>32.17</v>
      </c>
      <c r="D10" s="265">
        <v>11.7661393969114</v>
      </c>
      <c r="E10" s="265">
        <v>169.814437511116</v>
      </c>
      <c r="F10" s="265">
        <v>643.4</v>
      </c>
      <c r="G10" s="265">
        <v>117.661393969114</v>
      </c>
      <c r="H10" s="265">
        <v>353.780078148159</v>
      </c>
      <c r="I10" s="265">
        <v>323.585620977105</v>
      </c>
      <c r="J10" s="507" t="s">
        <v>657</v>
      </c>
      <c r="K10" s="507" t="str">
        <f t="shared" si="1"/>
        <v>High leverage</v>
      </c>
      <c r="L10" s="625">
        <f t="shared" si="2"/>
        <v>1</v>
      </c>
      <c r="M10" s="507"/>
      <c r="N10" s="507"/>
      <c r="O10" s="507"/>
      <c r="P10" s="507"/>
      <c r="Q10" s="507"/>
      <c r="R10" s="507"/>
      <c r="S10" s="507"/>
      <c r="T10" s="507"/>
      <c r="U10" s="507"/>
      <c r="V10" s="507"/>
      <c r="W10" s="507"/>
      <c r="X10" s="507"/>
      <c r="Y10" s="507"/>
      <c r="Z10" s="507"/>
    </row>
    <row r="11">
      <c r="A11" s="507" t="s">
        <v>342</v>
      </c>
      <c r="B11" s="265">
        <v>3392445.34241115</v>
      </c>
      <c r="C11" s="265">
        <v>54.01</v>
      </c>
      <c r="D11" s="265">
        <v>10.5771701322235</v>
      </c>
      <c r="E11" s="265">
        <v>132.693272219468</v>
      </c>
      <c r="F11" s="265">
        <v>1080.2</v>
      </c>
      <c r="G11" s="265">
        <v>105.771701322235</v>
      </c>
      <c r="H11" s="265">
        <v>276.444317123893</v>
      </c>
      <c r="I11" s="265">
        <v>274.253034557993</v>
      </c>
      <c r="J11" s="507" t="s">
        <v>654</v>
      </c>
      <c r="K11" s="507" t="str">
        <f t="shared" si="1"/>
        <v>High leverage</v>
      </c>
      <c r="L11" s="625">
        <f t="shared" si="2"/>
        <v>1</v>
      </c>
      <c r="M11" s="507"/>
      <c r="N11" s="507"/>
      <c r="O11" s="507"/>
      <c r="P11" s="507"/>
      <c r="Q11" s="507"/>
      <c r="R11" s="507"/>
      <c r="S11" s="507"/>
      <c r="T11" s="507"/>
      <c r="U11" s="507"/>
      <c r="V11" s="507"/>
      <c r="W11" s="507"/>
      <c r="X11" s="507"/>
      <c r="Y11" s="507"/>
      <c r="Z11" s="507"/>
    </row>
    <row r="12">
      <c r="A12" s="507" t="s">
        <v>346</v>
      </c>
      <c r="B12" s="265">
        <v>192006.572021484</v>
      </c>
      <c r="C12" s="265">
        <v>14.49</v>
      </c>
      <c r="D12" s="265">
        <v>5.9877110194824</v>
      </c>
      <c r="E12" s="265">
        <v>83.7675447435848</v>
      </c>
      <c r="F12" s="265">
        <v>289.8</v>
      </c>
      <c r="G12" s="265">
        <v>59.877110194824</v>
      </c>
      <c r="H12" s="265">
        <v>174.515718215801</v>
      </c>
      <c r="I12" s="265">
        <v>159.019254670167</v>
      </c>
      <c r="J12" s="507" t="s">
        <v>663</v>
      </c>
      <c r="K12" s="507" t="str">
        <f t="shared" si="1"/>
        <v>Medium leverage</v>
      </c>
      <c r="L12" s="625">
        <f t="shared" si="2"/>
        <v>0.6666666667</v>
      </c>
      <c r="M12" s="507"/>
      <c r="N12" s="507"/>
      <c r="O12" s="507"/>
      <c r="P12" s="507"/>
      <c r="Q12" s="507"/>
      <c r="R12" s="507"/>
      <c r="S12" s="507"/>
      <c r="T12" s="507"/>
      <c r="U12" s="507"/>
      <c r="V12" s="507"/>
      <c r="W12" s="507"/>
      <c r="X12" s="507"/>
      <c r="Y12" s="507"/>
      <c r="Z12" s="507"/>
    </row>
    <row r="13">
      <c r="A13" s="507" t="s">
        <v>351</v>
      </c>
      <c r="B13" s="265">
        <v>3580808.98462721</v>
      </c>
      <c r="C13" s="265">
        <v>37.81</v>
      </c>
      <c r="D13" s="265">
        <v>14.6226950666819</v>
      </c>
      <c r="E13" s="265">
        <v>213.712687920736</v>
      </c>
      <c r="F13" s="265">
        <v>756.2</v>
      </c>
      <c r="G13" s="265">
        <v>146.226950666819</v>
      </c>
      <c r="H13" s="265">
        <v>445.234766501534</v>
      </c>
      <c r="I13" s="265">
        <v>405.155229449329</v>
      </c>
      <c r="J13" s="507" t="s">
        <v>669</v>
      </c>
      <c r="K13" s="507" t="str">
        <f t="shared" si="1"/>
        <v>High leverage</v>
      </c>
      <c r="L13" s="625">
        <f t="shared" si="2"/>
        <v>1</v>
      </c>
      <c r="M13" s="507"/>
      <c r="N13" s="507"/>
      <c r="O13" s="507"/>
      <c r="P13" s="507"/>
      <c r="Q13" s="507"/>
      <c r="R13" s="507"/>
      <c r="S13" s="507"/>
      <c r="T13" s="507"/>
      <c r="U13" s="507"/>
      <c r="V13" s="507"/>
      <c r="W13" s="507"/>
      <c r="X13" s="507"/>
      <c r="Y13" s="507"/>
      <c r="Z13" s="507"/>
    </row>
    <row r="14">
      <c r="A14" s="507" t="s">
        <v>356</v>
      </c>
      <c r="B14" s="265">
        <v>1.26113601903389E7</v>
      </c>
      <c r="C14" s="265">
        <v>46.58</v>
      </c>
      <c r="D14" s="265">
        <v>10.7073828699972</v>
      </c>
      <c r="E14" s="265">
        <v>152.415851684531</v>
      </c>
      <c r="F14" s="265">
        <v>931.599999999999</v>
      </c>
      <c r="G14" s="265">
        <v>107.073828699972</v>
      </c>
      <c r="H14" s="265">
        <v>317.533024342774</v>
      </c>
      <c r="I14" s="265">
        <v>302.376304712845</v>
      </c>
      <c r="J14" s="507" t="s">
        <v>657</v>
      </c>
      <c r="K14" s="507" t="str">
        <f t="shared" si="1"/>
        <v>High leverage</v>
      </c>
      <c r="L14" s="625">
        <f t="shared" si="2"/>
        <v>1</v>
      </c>
      <c r="M14" s="507"/>
      <c r="N14" s="507"/>
      <c r="O14" s="507"/>
      <c r="P14" s="507"/>
      <c r="Q14" s="507"/>
      <c r="R14" s="507"/>
      <c r="S14" s="507"/>
      <c r="T14" s="507"/>
      <c r="U14" s="507"/>
      <c r="V14" s="507"/>
      <c r="W14" s="507"/>
      <c r="X14" s="507"/>
      <c r="Y14" s="507"/>
      <c r="Z14" s="507"/>
    </row>
    <row r="15">
      <c r="A15" s="507" t="s">
        <v>357</v>
      </c>
      <c r="B15" s="265">
        <v>750312.604886955</v>
      </c>
      <c r="C15" s="265">
        <v>20.72</v>
      </c>
      <c r="D15" s="265">
        <v>8.63942269393092</v>
      </c>
      <c r="E15" s="265">
        <v>80.3196214228512</v>
      </c>
      <c r="F15" s="265">
        <v>414.4</v>
      </c>
      <c r="G15" s="265">
        <v>86.3942269393092</v>
      </c>
      <c r="H15" s="265">
        <v>167.33254463094</v>
      </c>
      <c r="I15" s="265">
        <v>161.863942055809</v>
      </c>
      <c r="J15" s="507" t="s">
        <v>663</v>
      </c>
      <c r="K15" s="507" t="str">
        <f t="shared" si="1"/>
        <v>Medium leverage</v>
      </c>
      <c r="L15" s="625">
        <f t="shared" si="2"/>
        <v>0.6666666667</v>
      </c>
      <c r="M15" s="507"/>
      <c r="N15" s="507"/>
      <c r="O15" s="507"/>
      <c r="P15" s="507"/>
      <c r="Q15" s="507"/>
      <c r="R15" s="507"/>
      <c r="S15" s="507"/>
      <c r="T15" s="507"/>
      <c r="U15" s="507"/>
      <c r="V15" s="507"/>
      <c r="W15" s="507"/>
      <c r="X15" s="507"/>
      <c r="Y15" s="507"/>
      <c r="Z15" s="507"/>
    </row>
    <row r="16">
      <c r="A16" s="507" t="s">
        <v>276</v>
      </c>
      <c r="B16" s="265">
        <v>3.66427996496481E7</v>
      </c>
      <c r="C16" s="265">
        <v>37.44</v>
      </c>
      <c r="D16" s="265">
        <v>11.4797431538537</v>
      </c>
      <c r="E16" s="265">
        <v>150.094428254764</v>
      </c>
      <c r="F16" s="265">
        <v>748.8</v>
      </c>
      <c r="G16" s="265">
        <v>114.797431538537</v>
      </c>
      <c r="H16" s="265">
        <v>312.696725530759</v>
      </c>
      <c r="I16" s="265">
        <v>293.776680556636</v>
      </c>
      <c r="J16" s="507" t="s">
        <v>657</v>
      </c>
      <c r="K16" s="507" t="str">
        <f t="shared" si="1"/>
        <v>High leverage</v>
      </c>
      <c r="L16" s="625">
        <f t="shared" si="2"/>
        <v>1</v>
      </c>
      <c r="M16" s="507"/>
      <c r="N16" s="507"/>
      <c r="O16" s="507"/>
      <c r="P16" s="507"/>
      <c r="Q16" s="507"/>
      <c r="R16" s="507"/>
      <c r="S16" s="507"/>
      <c r="T16" s="507"/>
      <c r="U16" s="507"/>
      <c r="V16" s="507"/>
      <c r="W16" s="507"/>
      <c r="X16" s="507"/>
      <c r="Y16" s="507"/>
      <c r="Z16" s="507"/>
    </row>
    <row r="17">
      <c r="A17" s="507" t="s">
        <v>285</v>
      </c>
      <c r="B17" s="265">
        <v>3.62455043474426E7</v>
      </c>
      <c r="C17" s="265">
        <v>64.1</v>
      </c>
      <c r="D17" s="265">
        <v>40.320517466174</v>
      </c>
      <c r="E17" s="265">
        <v>88.4280190061903</v>
      </c>
      <c r="F17" s="265">
        <v>1281.99999999999</v>
      </c>
      <c r="G17" s="265">
        <v>403.20517466174</v>
      </c>
      <c r="H17" s="265">
        <v>184.225039596229</v>
      </c>
      <c r="I17" s="265">
        <v>257.360634219044</v>
      </c>
      <c r="J17" s="507" t="s">
        <v>654</v>
      </c>
      <c r="K17" s="507" t="str">
        <f t="shared" si="1"/>
        <v>High leverage</v>
      </c>
      <c r="L17" s="625">
        <f t="shared" si="2"/>
        <v>1</v>
      </c>
      <c r="M17" s="507"/>
      <c r="N17" s="507"/>
      <c r="O17" s="507"/>
      <c r="P17" s="507"/>
      <c r="Q17" s="507"/>
      <c r="R17" s="507"/>
      <c r="S17" s="507"/>
      <c r="T17" s="507"/>
      <c r="U17" s="507"/>
      <c r="V17" s="507"/>
      <c r="W17" s="507"/>
      <c r="X17" s="507"/>
      <c r="Y17" s="507"/>
      <c r="Z17" s="507"/>
    </row>
    <row r="18">
      <c r="A18" s="507" t="s">
        <v>360</v>
      </c>
      <c r="B18" s="265">
        <v>958837.97324258</v>
      </c>
      <c r="C18" s="265">
        <v>27.06</v>
      </c>
      <c r="D18" s="265">
        <v>10.7430545023576</v>
      </c>
      <c r="E18" s="265">
        <v>156.225113941942</v>
      </c>
      <c r="F18" s="265">
        <v>541.2</v>
      </c>
      <c r="G18" s="265">
        <v>107.430545023576</v>
      </c>
      <c r="H18" s="265">
        <v>325.468987379046</v>
      </c>
      <c r="I18" s="265">
        <v>295.878499445916</v>
      </c>
      <c r="J18" s="507" t="s">
        <v>657</v>
      </c>
      <c r="K18" s="507" t="str">
        <f t="shared" si="1"/>
        <v>High leverage</v>
      </c>
      <c r="L18" s="625">
        <f t="shared" si="2"/>
        <v>1</v>
      </c>
      <c r="M18" s="507"/>
      <c r="N18" s="507"/>
      <c r="O18" s="507"/>
      <c r="P18" s="507"/>
      <c r="Q18" s="507"/>
      <c r="R18" s="507"/>
      <c r="S18" s="507"/>
      <c r="T18" s="507"/>
      <c r="U18" s="507"/>
      <c r="V18" s="507"/>
      <c r="W18" s="507"/>
      <c r="X18" s="507"/>
      <c r="Y18" s="507"/>
      <c r="Z18" s="507"/>
    </row>
    <row r="19">
      <c r="A19" s="507" t="s">
        <v>362</v>
      </c>
      <c r="B19" s="265">
        <v>2025758.85301075</v>
      </c>
      <c r="C19" s="265">
        <v>24.04</v>
      </c>
      <c r="D19" s="265">
        <v>7.34462601438386</v>
      </c>
      <c r="E19" s="265">
        <v>75.9308793234929</v>
      </c>
      <c r="F19" s="265">
        <v>480.799999999999</v>
      </c>
      <c r="G19" s="265">
        <v>73.4462601438386</v>
      </c>
      <c r="H19" s="265">
        <v>158.189331923943</v>
      </c>
      <c r="I19" s="265">
        <v>154.575306929806</v>
      </c>
      <c r="J19" s="507" t="s">
        <v>663</v>
      </c>
      <c r="K19" s="507" t="str">
        <f t="shared" si="1"/>
        <v>Medium leverage</v>
      </c>
      <c r="L19" s="625">
        <f t="shared" si="2"/>
        <v>0.6666666667</v>
      </c>
      <c r="M19" s="507"/>
      <c r="N19" s="507"/>
      <c r="O19" s="507"/>
      <c r="P19" s="507"/>
      <c r="Q19" s="507"/>
      <c r="R19" s="507"/>
      <c r="S19" s="507"/>
      <c r="T19" s="507"/>
      <c r="U19" s="507"/>
      <c r="V19" s="507"/>
      <c r="W19" s="507"/>
      <c r="X19" s="507"/>
      <c r="Y19" s="507"/>
      <c r="Z19" s="507"/>
    </row>
    <row r="20">
      <c r="A20" s="507" t="s">
        <v>363</v>
      </c>
      <c r="B20" s="265">
        <v>289212.58483</v>
      </c>
      <c r="C20" s="265">
        <v>15.94</v>
      </c>
      <c r="D20" s="265">
        <v>25.0284474483152</v>
      </c>
      <c r="E20" s="265">
        <v>100.586017650285</v>
      </c>
      <c r="F20" s="265">
        <v>318.799999999999</v>
      </c>
      <c r="G20" s="265">
        <v>250.284474483152</v>
      </c>
      <c r="H20" s="265">
        <v>209.554203438095</v>
      </c>
      <c r="I20" s="265">
        <v>220.021435365797</v>
      </c>
      <c r="J20" s="507" t="s">
        <v>654</v>
      </c>
      <c r="K20" s="507" t="str">
        <f t="shared" si="1"/>
        <v>High leverage</v>
      </c>
      <c r="L20" s="625">
        <f t="shared" si="2"/>
        <v>1</v>
      </c>
      <c r="M20" s="507"/>
      <c r="N20" s="507"/>
      <c r="O20" s="507"/>
      <c r="P20" s="507"/>
      <c r="Q20" s="507"/>
      <c r="R20" s="507"/>
      <c r="S20" s="507"/>
      <c r="T20" s="507"/>
      <c r="U20" s="507"/>
      <c r="V20" s="507"/>
      <c r="W20" s="507"/>
      <c r="X20" s="507"/>
      <c r="Y20" s="507"/>
      <c r="Z20" s="507"/>
    </row>
    <row r="21">
      <c r="A21" s="507" t="s">
        <v>255</v>
      </c>
      <c r="B21" s="265">
        <v>2.21094396207717E7</v>
      </c>
      <c r="C21" s="265">
        <v>22.94</v>
      </c>
      <c r="D21" s="265">
        <v>7.605365940221</v>
      </c>
      <c r="E21" s="265">
        <v>69.3198040701567</v>
      </c>
      <c r="F21" s="265">
        <v>458.8</v>
      </c>
      <c r="G21" s="265">
        <v>76.0536594022099</v>
      </c>
      <c r="H21" s="265">
        <v>144.416258479493</v>
      </c>
      <c r="I21" s="265">
        <v>143.288858905304</v>
      </c>
      <c r="J21" s="507" t="s">
        <v>663</v>
      </c>
      <c r="K21" s="507" t="str">
        <f t="shared" si="1"/>
        <v>Medium leverage</v>
      </c>
      <c r="L21" s="625">
        <f t="shared" si="2"/>
        <v>0.6666666667</v>
      </c>
      <c r="M21" s="507"/>
      <c r="N21" s="507"/>
      <c r="O21" s="507"/>
      <c r="P21" s="507"/>
      <c r="Q21" s="507"/>
      <c r="R21" s="507"/>
      <c r="S21" s="507"/>
      <c r="T21" s="507"/>
      <c r="U21" s="507"/>
      <c r="V21" s="507"/>
      <c r="W21" s="507"/>
      <c r="X21" s="507"/>
      <c r="Y21" s="507"/>
      <c r="Z21" s="507"/>
    </row>
    <row r="22">
      <c r="A22" s="507" t="s">
        <v>374</v>
      </c>
      <c r="B22" s="265">
        <v>1822047.34167722</v>
      </c>
      <c r="C22" s="265">
        <v>32.87</v>
      </c>
      <c r="D22" s="265">
        <v>9.21570756362334</v>
      </c>
      <c r="E22" s="265">
        <v>190.829472622181</v>
      </c>
      <c r="F22" s="265">
        <v>657.4</v>
      </c>
      <c r="G22" s="265">
        <v>92.1570756362334</v>
      </c>
      <c r="H22" s="265">
        <v>397.561401296212</v>
      </c>
      <c r="I22" s="265">
        <v>354.715963383193</v>
      </c>
      <c r="J22" s="507" t="s">
        <v>657</v>
      </c>
      <c r="K22" s="507" t="str">
        <f t="shared" si="1"/>
        <v>High leverage</v>
      </c>
      <c r="L22" s="625">
        <f t="shared" si="2"/>
        <v>1</v>
      </c>
      <c r="M22" s="507"/>
      <c r="N22" s="507"/>
      <c r="O22" s="507"/>
      <c r="P22" s="507"/>
      <c r="Q22" s="507"/>
      <c r="R22" s="507"/>
      <c r="S22" s="507"/>
      <c r="T22" s="507"/>
      <c r="U22" s="507"/>
      <c r="V22" s="507"/>
      <c r="W22" s="507"/>
      <c r="X22" s="507"/>
      <c r="Y22" s="507"/>
      <c r="Z22" s="507"/>
    </row>
    <row r="23">
      <c r="A23" s="507" t="s">
        <v>263</v>
      </c>
      <c r="B23" s="265">
        <v>1313233.45033833</v>
      </c>
      <c r="C23" s="265">
        <v>41.4</v>
      </c>
      <c r="D23" s="265">
        <v>10.4646248701178</v>
      </c>
      <c r="E23" s="265">
        <v>96.3011494519829</v>
      </c>
      <c r="F23" s="265">
        <v>827.999999999999</v>
      </c>
      <c r="G23" s="265">
        <v>104.646248701178</v>
      </c>
      <c r="H23" s="265">
        <v>200.627394691631</v>
      </c>
      <c r="I23" s="265">
        <v>205.187566267543</v>
      </c>
      <c r="J23" s="507" t="s">
        <v>654</v>
      </c>
      <c r="K23" s="507" t="str">
        <f t="shared" si="1"/>
        <v>High leverage</v>
      </c>
      <c r="L23" s="625">
        <f t="shared" si="2"/>
        <v>1</v>
      </c>
      <c r="M23" s="507"/>
      <c r="N23" s="507"/>
      <c r="O23" s="507"/>
      <c r="P23" s="507"/>
      <c r="Q23" s="507"/>
      <c r="R23" s="507"/>
      <c r="S23" s="507"/>
      <c r="T23" s="507"/>
      <c r="U23" s="507"/>
      <c r="V23" s="507"/>
      <c r="W23" s="507"/>
      <c r="X23" s="507"/>
      <c r="Y23" s="507"/>
      <c r="Z23" s="507"/>
    </row>
    <row r="24">
      <c r="A24" s="507" t="s">
        <v>266</v>
      </c>
      <c r="B24" s="265">
        <v>1.64258843702617E7</v>
      </c>
      <c r="C24" s="265">
        <v>50.42</v>
      </c>
      <c r="D24" s="265">
        <v>10.5295688890199</v>
      </c>
      <c r="E24" s="265">
        <v>140.538835760776</v>
      </c>
      <c r="F24" s="265">
        <v>1008.4</v>
      </c>
      <c r="G24" s="265">
        <v>105.295688890199</v>
      </c>
      <c r="H24" s="265">
        <v>292.789241168285</v>
      </c>
      <c r="I24" s="265">
        <v>284.853894735717</v>
      </c>
      <c r="J24" s="507" t="s">
        <v>657</v>
      </c>
      <c r="K24" s="507" t="str">
        <f t="shared" si="1"/>
        <v>High leverage</v>
      </c>
      <c r="L24" s="625">
        <f t="shared" si="2"/>
        <v>1</v>
      </c>
      <c r="M24" s="507"/>
      <c r="N24" s="507"/>
      <c r="O24" s="507"/>
      <c r="P24" s="507"/>
      <c r="Q24" s="507"/>
      <c r="R24" s="507"/>
      <c r="S24" s="507"/>
      <c r="T24" s="507"/>
      <c r="U24" s="507"/>
      <c r="V24" s="507"/>
      <c r="W24" s="507"/>
      <c r="X24" s="507"/>
      <c r="Y24" s="507"/>
      <c r="Z24" s="507"/>
    </row>
    <row r="25">
      <c r="A25" s="507" t="s">
        <v>385</v>
      </c>
      <c r="B25" s="265">
        <v>4620375.40648938</v>
      </c>
      <c r="C25" s="265">
        <v>42.38</v>
      </c>
      <c r="D25" s="265">
        <v>10.0166470239941</v>
      </c>
      <c r="E25" s="265">
        <v>151.367649302673</v>
      </c>
      <c r="F25" s="265">
        <v>847.6</v>
      </c>
      <c r="G25" s="265">
        <v>100.166470239941</v>
      </c>
      <c r="H25" s="265">
        <v>315.34926938057</v>
      </c>
      <c r="I25" s="265">
        <v>296.694644694707</v>
      </c>
      <c r="J25" s="507" t="s">
        <v>657</v>
      </c>
      <c r="K25" s="507" t="str">
        <f t="shared" si="1"/>
        <v>High leverage</v>
      </c>
      <c r="L25" s="625">
        <f t="shared" si="2"/>
        <v>1</v>
      </c>
      <c r="M25" s="507"/>
      <c r="N25" s="507"/>
      <c r="O25" s="507"/>
      <c r="P25" s="507"/>
      <c r="Q25" s="507"/>
      <c r="R25" s="507"/>
      <c r="S25" s="507"/>
      <c r="T25" s="507"/>
      <c r="U25" s="507"/>
      <c r="V25" s="507"/>
      <c r="W25" s="507"/>
      <c r="X25" s="507"/>
      <c r="Y25" s="507"/>
      <c r="Z25" s="507"/>
    </row>
    <row r="26">
      <c r="A26" s="507" t="s">
        <v>386</v>
      </c>
      <c r="B26" s="265">
        <v>817566.746609467</v>
      </c>
      <c r="C26" s="265">
        <v>40.06</v>
      </c>
      <c r="D26" s="265">
        <v>10.0166470239941</v>
      </c>
      <c r="E26" s="265">
        <v>118.836832801371</v>
      </c>
      <c r="F26" s="265">
        <v>801.2</v>
      </c>
      <c r="G26" s="265">
        <v>100.166470239941</v>
      </c>
      <c r="H26" s="265">
        <v>247.576735002857</v>
      </c>
      <c r="I26" s="265">
        <v>241.040541788152</v>
      </c>
      <c r="J26" s="507" t="s">
        <v>654</v>
      </c>
      <c r="K26" s="507" t="str">
        <f t="shared" si="1"/>
        <v>High leverage</v>
      </c>
      <c r="L26" s="625">
        <f t="shared" si="2"/>
        <v>1</v>
      </c>
      <c r="M26" s="507"/>
      <c r="N26" s="507"/>
      <c r="O26" s="507"/>
      <c r="P26" s="507"/>
      <c r="Q26" s="507"/>
      <c r="R26" s="507"/>
      <c r="S26" s="507"/>
      <c r="T26" s="507"/>
      <c r="U26" s="507"/>
      <c r="V26" s="507"/>
      <c r="W26" s="507"/>
      <c r="X26" s="507"/>
      <c r="Y26" s="507"/>
      <c r="Z26" s="507"/>
    </row>
    <row r="27">
      <c r="A27" s="507" t="s">
        <v>280</v>
      </c>
      <c r="B27" s="265">
        <v>1.35151952173435E7</v>
      </c>
      <c r="C27" s="265">
        <v>12.33</v>
      </c>
      <c r="D27" s="265">
        <v>7.92275827053127</v>
      </c>
      <c r="E27" s="265">
        <v>77.3506295036285</v>
      </c>
      <c r="F27" s="265">
        <v>246.6</v>
      </c>
      <c r="G27" s="265">
        <v>79.2275827053127</v>
      </c>
      <c r="H27" s="265">
        <v>161.147144799226</v>
      </c>
      <c r="I27" s="265">
        <v>150.17500067411</v>
      </c>
      <c r="J27" s="507" t="s">
        <v>663</v>
      </c>
      <c r="K27" s="507" t="str">
        <f t="shared" si="1"/>
        <v>Medium leverage</v>
      </c>
      <c r="L27" s="625">
        <f t="shared" si="2"/>
        <v>0.6666666667</v>
      </c>
      <c r="M27" s="507"/>
      <c r="N27" s="507"/>
      <c r="O27" s="507"/>
      <c r="P27" s="507"/>
      <c r="Q27" s="507"/>
      <c r="R27" s="507"/>
      <c r="S27" s="507"/>
      <c r="T27" s="507"/>
      <c r="U27" s="507"/>
      <c r="V27" s="507"/>
      <c r="W27" s="507"/>
      <c r="X27" s="507"/>
      <c r="Y27" s="507"/>
      <c r="Z27" s="507"/>
    </row>
    <row r="28">
      <c r="A28" s="507" t="s">
        <v>392</v>
      </c>
      <c r="B28" s="265">
        <v>644270.167900128</v>
      </c>
      <c r="C28" s="265">
        <v>18.55</v>
      </c>
      <c r="D28" s="265">
        <v>8.96016000557297</v>
      </c>
      <c r="E28" s="265">
        <v>90.5426123220163</v>
      </c>
      <c r="F28" s="265">
        <v>371.0</v>
      </c>
      <c r="G28" s="265">
        <v>89.6016000557297</v>
      </c>
      <c r="H28" s="265">
        <v>188.630442337534</v>
      </c>
      <c r="I28" s="265">
        <v>177.978465943438</v>
      </c>
      <c r="J28" s="507" t="s">
        <v>663</v>
      </c>
      <c r="K28" s="507" t="str">
        <f t="shared" si="1"/>
        <v>Medium leverage</v>
      </c>
      <c r="L28" s="625">
        <f t="shared" si="2"/>
        <v>0.6666666667</v>
      </c>
      <c r="M28" s="507"/>
      <c r="N28" s="507"/>
      <c r="O28" s="507"/>
      <c r="P28" s="507"/>
      <c r="Q28" s="507"/>
      <c r="R28" s="507"/>
      <c r="S28" s="507"/>
      <c r="T28" s="507"/>
      <c r="U28" s="507"/>
      <c r="V28" s="507"/>
      <c r="W28" s="507"/>
      <c r="X28" s="507"/>
      <c r="Y28" s="507"/>
      <c r="Z28" s="507"/>
    </row>
    <row r="29">
      <c r="A29" s="507" t="s">
        <v>394</v>
      </c>
      <c r="B29" s="265">
        <v>2441312.55430298</v>
      </c>
      <c r="C29" s="265">
        <v>40.53</v>
      </c>
      <c r="D29" s="265">
        <v>8.28672841414041</v>
      </c>
      <c r="E29" s="265">
        <v>143.051757359512</v>
      </c>
      <c r="F29" s="265">
        <v>810.6</v>
      </c>
      <c r="G29" s="265">
        <v>82.8672841414041</v>
      </c>
      <c r="H29" s="265">
        <v>298.024494498985</v>
      </c>
      <c r="I29" s="265">
        <v>278.724284711149</v>
      </c>
      <c r="J29" s="507" t="s">
        <v>654</v>
      </c>
      <c r="K29" s="507" t="str">
        <f t="shared" si="1"/>
        <v>High leverage</v>
      </c>
      <c r="L29" s="625">
        <f t="shared" si="2"/>
        <v>1</v>
      </c>
      <c r="M29" s="507"/>
      <c r="N29" s="507"/>
      <c r="O29" s="507"/>
      <c r="P29" s="507"/>
      <c r="Q29" s="507"/>
      <c r="R29" s="507"/>
      <c r="S29" s="507"/>
      <c r="T29" s="507"/>
      <c r="U29" s="507"/>
      <c r="V29" s="507"/>
      <c r="W29" s="507"/>
      <c r="X29" s="507"/>
      <c r="Y29" s="507"/>
      <c r="Z29" s="507"/>
    </row>
    <row r="30">
      <c r="A30" s="507" t="s">
        <v>396</v>
      </c>
      <c r="B30" s="265">
        <v>3585443.0</v>
      </c>
      <c r="C30" s="265">
        <v>28.26</v>
      </c>
      <c r="D30" s="265">
        <v>19.6509380825303</v>
      </c>
      <c r="E30" s="265">
        <v>85.6721897963034</v>
      </c>
      <c r="F30" s="265">
        <v>565.2</v>
      </c>
      <c r="G30" s="265">
        <v>196.509380825303</v>
      </c>
      <c r="H30" s="265">
        <v>178.483728742298</v>
      </c>
      <c r="I30" s="265">
        <v>194.292795695487</v>
      </c>
      <c r="J30" s="507" t="s">
        <v>654</v>
      </c>
      <c r="K30" s="507" t="str">
        <f t="shared" si="1"/>
        <v>Medium leverage</v>
      </c>
      <c r="L30" s="625">
        <f t="shared" si="2"/>
        <v>0.6666666667</v>
      </c>
      <c r="M30" s="507"/>
      <c r="N30" s="507"/>
      <c r="O30" s="507"/>
      <c r="P30" s="507"/>
      <c r="Q30" s="507"/>
      <c r="R30" s="507"/>
      <c r="S30" s="507"/>
      <c r="T30" s="507"/>
      <c r="U30" s="507"/>
      <c r="V30" s="507"/>
      <c r="W30" s="507"/>
      <c r="X30" s="507"/>
      <c r="Y30" s="507"/>
      <c r="Z30" s="507"/>
    </row>
    <row r="31">
      <c r="A31" s="507" t="s">
        <v>336</v>
      </c>
      <c r="B31" s="265">
        <v>9760999.66758602</v>
      </c>
      <c r="C31" s="265">
        <v>18.43</v>
      </c>
      <c r="D31" s="265">
        <v>7.94444218935115</v>
      </c>
      <c r="E31" s="265">
        <v>97.6171744561957</v>
      </c>
      <c r="F31" s="265">
        <v>368.6</v>
      </c>
      <c r="G31" s="265">
        <v>79.4444218935115</v>
      </c>
      <c r="H31" s="265">
        <v>203.369113450407</v>
      </c>
      <c r="I31" s="265">
        <v>187.958721876078</v>
      </c>
      <c r="J31" s="507" t="s">
        <v>663</v>
      </c>
      <c r="K31" s="507" t="str">
        <f t="shared" si="1"/>
        <v>Medium leverage</v>
      </c>
      <c r="L31" s="625">
        <f t="shared" si="2"/>
        <v>0.6666666667</v>
      </c>
      <c r="M31" s="507"/>
      <c r="N31" s="507"/>
      <c r="O31" s="507"/>
      <c r="P31" s="507"/>
      <c r="Q31" s="507"/>
      <c r="R31" s="507"/>
      <c r="S31" s="507"/>
      <c r="T31" s="507"/>
      <c r="U31" s="507"/>
      <c r="V31" s="507"/>
      <c r="W31" s="507"/>
      <c r="X31" s="507"/>
      <c r="Y31" s="507"/>
      <c r="Z31" s="507"/>
    </row>
    <row r="32">
      <c r="A32" s="507" t="s">
        <v>343</v>
      </c>
      <c r="B32" s="265">
        <v>3118280.96529964</v>
      </c>
      <c r="C32" s="265">
        <v>20.18</v>
      </c>
      <c r="D32" s="265">
        <v>9.26913775198681</v>
      </c>
      <c r="E32" s="265">
        <v>120.728652848069</v>
      </c>
      <c r="F32" s="265">
        <v>403.599999999999</v>
      </c>
      <c r="G32" s="265">
        <v>92.6913775198681</v>
      </c>
      <c r="H32" s="265">
        <v>251.51802676681</v>
      </c>
      <c r="I32" s="265">
        <v>229.79603961052</v>
      </c>
      <c r="J32" s="507" t="s">
        <v>654</v>
      </c>
      <c r="K32" s="507" t="str">
        <f t="shared" si="1"/>
        <v>High leverage</v>
      </c>
      <c r="L32" s="625">
        <f t="shared" si="2"/>
        <v>1</v>
      </c>
      <c r="M32" s="507"/>
      <c r="N32" s="507"/>
      <c r="O32" s="507"/>
      <c r="P32" s="507"/>
      <c r="Q32" s="507"/>
      <c r="R32" s="507"/>
      <c r="S32" s="507"/>
      <c r="T32" s="507"/>
      <c r="U32" s="507"/>
      <c r="V32" s="507"/>
      <c r="W32" s="507"/>
      <c r="X32" s="507"/>
      <c r="Y32" s="507"/>
      <c r="Z32" s="507"/>
    </row>
    <row r="33">
      <c r="A33" s="507" t="s">
        <v>399</v>
      </c>
      <c r="B33" s="265">
        <v>7860188.37865806</v>
      </c>
      <c r="C33" s="265">
        <v>45.06</v>
      </c>
      <c r="D33" s="265">
        <v>11.7222010426074</v>
      </c>
      <c r="E33" s="265">
        <v>121.555898307098</v>
      </c>
      <c r="F33" s="265">
        <v>901.2</v>
      </c>
      <c r="G33" s="265">
        <v>117.222010426074</v>
      </c>
      <c r="H33" s="265">
        <v>253.241454806455</v>
      </c>
      <c r="I33" s="265">
        <v>251.739401869908</v>
      </c>
      <c r="J33" s="507" t="s">
        <v>654</v>
      </c>
      <c r="K33" s="507" t="str">
        <f t="shared" si="1"/>
        <v>High leverage</v>
      </c>
      <c r="L33" s="625">
        <f t="shared" si="2"/>
        <v>1</v>
      </c>
      <c r="M33" s="507"/>
      <c r="N33" s="507"/>
      <c r="O33" s="507"/>
      <c r="P33" s="507"/>
      <c r="Q33" s="507"/>
      <c r="R33" s="507"/>
      <c r="S33" s="507"/>
      <c r="T33" s="507"/>
      <c r="U33" s="507"/>
      <c r="V33" s="507"/>
      <c r="W33" s="507"/>
      <c r="X33" s="507"/>
      <c r="Y33" s="507"/>
      <c r="Z33" s="507"/>
    </row>
    <row r="34">
      <c r="A34" s="507" t="s">
        <v>401</v>
      </c>
      <c r="B34" s="265">
        <v>2441721.4179007</v>
      </c>
      <c r="C34" s="265">
        <v>51.29</v>
      </c>
      <c r="D34" s="265">
        <v>7.75723966709766</v>
      </c>
      <c r="E34" s="265">
        <v>85.0193766721757</v>
      </c>
      <c r="F34" s="265">
        <v>1025.8</v>
      </c>
      <c r="G34" s="265">
        <v>77.5723966709766</v>
      </c>
      <c r="H34" s="265">
        <v>177.123701400366</v>
      </c>
      <c r="I34" s="265">
        <v>188.392582228695</v>
      </c>
      <c r="J34" s="507" t="s">
        <v>663</v>
      </c>
      <c r="K34" s="507" t="str">
        <f t="shared" si="1"/>
        <v>Medium leverage</v>
      </c>
      <c r="L34" s="625">
        <f t="shared" si="2"/>
        <v>0.6666666667</v>
      </c>
      <c r="M34" s="507"/>
      <c r="N34" s="507"/>
      <c r="O34" s="507"/>
      <c r="P34" s="507"/>
      <c r="Q34" s="507"/>
      <c r="R34" s="507"/>
      <c r="S34" s="507"/>
      <c r="T34" s="507"/>
      <c r="U34" s="507"/>
      <c r="V34" s="507"/>
      <c r="W34" s="507"/>
      <c r="X34" s="507"/>
      <c r="Y34" s="507"/>
      <c r="Z34" s="507"/>
    </row>
    <row r="35">
      <c r="A35" s="507" t="s">
        <v>354</v>
      </c>
      <c r="B35" s="265">
        <v>501276.713256835</v>
      </c>
      <c r="C35" s="265">
        <v>10.48</v>
      </c>
      <c r="D35" s="265">
        <v>8.46980554921276</v>
      </c>
      <c r="E35" s="265">
        <v>103.261427845514</v>
      </c>
      <c r="F35" s="265">
        <v>209.6</v>
      </c>
      <c r="G35" s="265">
        <v>84.6980554921277</v>
      </c>
      <c r="H35" s="265">
        <v>215.127974678156</v>
      </c>
      <c r="I35" s="265">
        <v>192.981792231942</v>
      </c>
      <c r="J35" s="507" t="s">
        <v>654</v>
      </c>
      <c r="K35" s="507" t="str">
        <f t="shared" si="1"/>
        <v>Medium leverage</v>
      </c>
      <c r="L35" s="625">
        <f t="shared" si="2"/>
        <v>0.6666666667</v>
      </c>
      <c r="M35" s="507"/>
      <c r="N35" s="507"/>
      <c r="O35" s="507"/>
      <c r="P35" s="507"/>
      <c r="Q35" s="507"/>
      <c r="R35" s="507"/>
      <c r="S35" s="507"/>
      <c r="T35" s="507"/>
      <c r="U35" s="507"/>
      <c r="V35" s="507"/>
      <c r="W35" s="507"/>
      <c r="X35" s="507"/>
      <c r="Y35" s="507"/>
      <c r="Z35" s="507"/>
    </row>
    <row r="36">
      <c r="A36" s="507" t="s">
        <v>290</v>
      </c>
      <c r="B36" s="265">
        <v>6356788.9281311</v>
      </c>
      <c r="C36" s="265">
        <v>13.73</v>
      </c>
      <c r="D36" s="265">
        <v>19.5044346871072</v>
      </c>
      <c r="E36" s="265">
        <v>77.6082499799123</v>
      </c>
      <c r="F36" s="265">
        <v>274.6</v>
      </c>
      <c r="G36" s="265">
        <v>195.044346871072</v>
      </c>
      <c r="H36" s="265">
        <v>161.683854124817</v>
      </c>
      <c r="I36" s="265">
        <v>171.031296840918</v>
      </c>
      <c r="J36" s="507" t="s">
        <v>663</v>
      </c>
      <c r="K36" s="507" t="str">
        <f t="shared" si="1"/>
        <v>Medium leverage</v>
      </c>
      <c r="L36" s="625">
        <f t="shared" si="2"/>
        <v>0.6666666667</v>
      </c>
      <c r="M36" s="507"/>
      <c r="N36" s="507"/>
      <c r="O36" s="507"/>
      <c r="P36" s="507"/>
      <c r="Q36" s="507"/>
      <c r="R36" s="507"/>
      <c r="S36" s="507"/>
      <c r="T36" s="507"/>
      <c r="U36" s="507"/>
      <c r="V36" s="507"/>
      <c r="W36" s="507"/>
      <c r="X36" s="507"/>
      <c r="Y36" s="507"/>
      <c r="Z36" s="507"/>
    </row>
    <row r="37">
      <c r="A37" s="507" t="s">
        <v>291</v>
      </c>
      <c r="B37" s="265">
        <v>520014.280761718</v>
      </c>
      <c r="C37" s="265">
        <v>17.51</v>
      </c>
      <c r="D37" s="265">
        <v>15.7139415527182</v>
      </c>
      <c r="E37" s="265">
        <v>118.929756007112</v>
      </c>
      <c r="F37" s="265">
        <v>350.2</v>
      </c>
      <c r="G37" s="265">
        <v>157.139415527182</v>
      </c>
      <c r="H37" s="265">
        <v>247.770325014818</v>
      </c>
      <c r="I37" s="265">
        <v>235.892006982084</v>
      </c>
      <c r="J37" s="507" t="s">
        <v>654</v>
      </c>
      <c r="K37" s="507" t="str">
        <f t="shared" si="1"/>
        <v>High leverage</v>
      </c>
      <c r="L37" s="625">
        <f t="shared" si="2"/>
        <v>1</v>
      </c>
      <c r="M37" s="507"/>
      <c r="N37" s="507"/>
      <c r="O37" s="507"/>
      <c r="P37" s="507"/>
      <c r="Q37" s="507"/>
      <c r="R37" s="507"/>
      <c r="S37" s="507"/>
      <c r="T37" s="507"/>
      <c r="U37" s="507"/>
      <c r="V37" s="507"/>
      <c r="W37" s="507"/>
      <c r="X37" s="507"/>
      <c r="Y37" s="507"/>
      <c r="Z37" s="507"/>
    </row>
    <row r="38">
      <c r="A38" s="507" t="s">
        <v>296</v>
      </c>
      <c r="B38" s="265">
        <v>1277788.73026177</v>
      </c>
      <c r="C38" s="265">
        <v>13.13</v>
      </c>
      <c r="D38" s="265">
        <v>8.73977370522562</v>
      </c>
      <c r="E38" s="265">
        <v>90.1632212230662</v>
      </c>
      <c r="F38" s="265">
        <v>262.6</v>
      </c>
      <c r="G38" s="265">
        <v>87.3977370522562</v>
      </c>
      <c r="H38" s="265">
        <v>187.840044214721</v>
      </c>
      <c r="I38" s="265">
        <v>173.395586884933</v>
      </c>
      <c r="J38" s="507" t="s">
        <v>663</v>
      </c>
      <c r="K38" s="507" t="str">
        <f t="shared" si="1"/>
        <v>Medium leverage</v>
      </c>
      <c r="L38" s="625">
        <f t="shared" si="2"/>
        <v>0.6666666667</v>
      </c>
      <c r="M38" s="507"/>
      <c r="N38" s="507"/>
      <c r="O38" s="507"/>
      <c r="P38" s="507"/>
      <c r="Q38" s="507"/>
      <c r="R38" s="507"/>
      <c r="S38" s="507"/>
      <c r="T38" s="507"/>
      <c r="U38" s="507"/>
      <c r="V38" s="507"/>
      <c r="W38" s="507"/>
      <c r="X38" s="507"/>
      <c r="Y38" s="507"/>
      <c r="Z38" s="507"/>
    </row>
    <row r="39">
      <c r="A39" s="507" t="s">
        <v>407</v>
      </c>
      <c r="B39" s="265">
        <v>3118328.08150128</v>
      </c>
      <c r="C39" s="265">
        <v>55.52</v>
      </c>
      <c r="D39" s="265">
        <v>9.71940400096636</v>
      </c>
      <c r="E39" s="265">
        <v>102.337581625616</v>
      </c>
      <c r="F39" s="265">
        <v>1110.4</v>
      </c>
      <c r="G39" s="265">
        <v>97.1940400096636</v>
      </c>
      <c r="H39" s="265">
        <v>213.203295053367</v>
      </c>
      <c r="I39" s="265">
        <v>223.303441193856</v>
      </c>
      <c r="J39" s="507" t="s">
        <v>654</v>
      </c>
      <c r="K39" s="507" t="str">
        <f t="shared" si="1"/>
        <v>High leverage</v>
      </c>
      <c r="L39" s="625">
        <f t="shared" si="2"/>
        <v>1</v>
      </c>
      <c r="M39" s="507"/>
      <c r="N39" s="507"/>
      <c r="O39" s="507"/>
      <c r="P39" s="507"/>
      <c r="Q39" s="507"/>
      <c r="R39" s="507"/>
      <c r="S39" s="507"/>
      <c r="T39" s="507"/>
      <c r="U39" s="507"/>
      <c r="V39" s="507"/>
      <c r="W39" s="507"/>
      <c r="X39" s="507"/>
      <c r="Y39" s="507"/>
      <c r="Z39" s="507"/>
    </row>
    <row r="40">
      <c r="A40" s="507" t="s">
        <v>299</v>
      </c>
      <c r="B40" s="265">
        <v>9.77087926995054E7</v>
      </c>
      <c r="C40" s="265">
        <v>55.33</v>
      </c>
      <c r="D40" s="265">
        <v>14.1702099705864</v>
      </c>
      <c r="E40" s="265">
        <v>141.718352020631</v>
      </c>
      <c r="F40" s="265">
        <v>1106.6</v>
      </c>
      <c r="G40" s="265">
        <v>141.702099705864</v>
      </c>
      <c r="H40" s="265">
        <v>295.246566709649</v>
      </c>
      <c r="I40" s="265">
        <v>296.190519868214</v>
      </c>
      <c r="J40" s="507" t="s">
        <v>657</v>
      </c>
      <c r="K40" s="507" t="str">
        <f t="shared" si="1"/>
        <v>High leverage</v>
      </c>
      <c r="L40" s="625">
        <f t="shared" si="2"/>
        <v>1</v>
      </c>
      <c r="M40" s="507"/>
      <c r="N40" s="507"/>
      <c r="O40" s="507"/>
      <c r="P40" s="507"/>
      <c r="Q40" s="507"/>
      <c r="R40" s="507"/>
      <c r="S40" s="507"/>
      <c r="T40" s="507"/>
      <c r="U40" s="507"/>
      <c r="V40" s="507"/>
      <c r="W40" s="507"/>
      <c r="X40" s="507"/>
      <c r="Y40" s="507"/>
      <c r="Z40" s="507"/>
    </row>
    <row r="41">
      <c r="A41" s="507" t="s">
        <v>302</v>
      </c>
      <c r="B41" s="265">
        <v>2230988.1875599</v>
      </c>
      <c r="C41" s="265">
        <v>35.72</v>
      </c>
      <c r="D41" s="265">
        <v>7.27818161635666</v>
      </c>
      <c r="E41" s="265">
        <v>112.933487695727</v>
      </c>
      <c r="F41" s="265">
        <v>714.4</v>
      </c>
      <c r="G41" s="265">
        <v>72.7818161635666</v>
      </c>
      <c r="H41" s="265">
        <v>235.278099366098</v>
      </c>
      <c r="I41" s="265">
        <v>223.740653316662</v>
      </c>
      <c r="J41" s="507" t="s">
        <v>654</v>
      </c>
      <c r="K41" s="507" t="str">
        <f t="shared" si="1"/>
        <v>High leverage</v>
      </c>
      <c r="L41" s="625">
        <f t="shared" si="2"/>
        <v>1</v>
      </c>
      <c r="M41" s="507"/>
      <c r="N41" s="507"/>
      <c r="O41" s="507"/>
      <c r="P41" s="507"/>
      <c r="Q41" s="507"/>
      <c r="R41" s="507"/>
      <c r="S41" s="507"/>
      <c r="T41" s="507"/>
      <c r="U41" s="507"/>
      <c r="V41" s="507"/>
      <c r="W41" s="507"/>
      <c r="X41" s="507"/>
      <c r="Y41" s="507"/>
      <c r="Z41" s="507"/>
    </row>
    <row r="42">
      <c r="A42" s="515" t="s">
        <v>410</v>
      </c>
      <c r="B42" s="265">
        <v>82657.0703125</v>
      </c>
      <c r="C42" s="265">
        <v>36.24</v>
      </c>
      <c r="D42" s="265">
        <v>8.00287939711896</v>
      </c>
      <c r="E42" s="265">
        <v>149.810308890295</v>
      </c>
      <c r="F42" s="265">
        <v>724.8</v>
      </c>
      <c r="G42" s="265">
        <v>80.0287939711896</v>
      </c>
      <c r="H42" s="265">
        <v>312.104810188116</v>
      </c>
      <c r="I42" s="265">
        <v>286.656423182938</v>
      </c>
      <c r="J42" s="507" t="s">
        <v>657</v>
      </c>
      <c r="K42" s="507" t="str">
        <f t="shared" si="1"/>
        <v>High leverage</v>
      </c>
      <c r="L42" s="625">
        <f t="shared" si="2"/>
        <v>1</v>
      </c>
      <c r="M42" s="507"/>
      <c r="N42" s="507"/>
      <c r="O42" s="507"/>
      <c r="P42" s="507"/>
      <c r="Q42" s="507"/>
      <c r="R42" s="507"/>
      <c r="S42" s="507"/>
      <c r="T42" s="507"/>
      <c r="U42" s="507"/>
      <c r="V42" s="507"/>
      <c r="W42" s="507"/>
      <c r="X42" s="507"/>
      <c r="Y42" s="507"/>
      <c r="Z42" s="507"/>
    </row>
    <row r="43">
      <c r="A43" s="507" t="s">
        <v>411</v>
      </c>
      <c r="B43" s="265">
        <v>7594850.64618396</v>
      </c>
      <c r="C43" s="265">
        <v>42.18</v>
      </c>
      <c r="D43" s="265">
        <v>11.7328628356571</v>
      </c>
      <c r="E43" s="265">
        <v>92.3739799002486</v>
      </c>
      <c r="F43" s="265">
        <v>843.6</v>
      </c>
      <c r="G43" s="265">
        <v>117.328628356571</v>
      </c>
      <c r="H43" s="265">
        <v>192.445791458851</v>
      </c>
      <c r="I43" s="265">
        <v>201.30486026002</v>
      </c>
      <c r="J43" s="507" t="s">
        <v>654</v>
      </c>
      <c r="K43" s="507" t="str">
        <f t="shared" si="1"/>
        <v>High leverage</v>
      </c>
      <c r="L43" s="625">
        <f t="shared" si="2"/>
        <v>1</v>
      </c>
      <c r="M43" s="507"/>
      <c r="N43" s="507"/>
      <c r="O43" s="507"/>
      <c r="P43" s="507"/>
      <c r="Q43" s="507"/>
      <c r="R43" s="507"/>
      <c r="S43" s="507"/>
      <c r="T43" s="507"/>
      <c r="U43" s="507"/>
      <c r="V43" s="507"/>
      <c r="W43" s="507"/>
      <c r="X43" s="507"/>
      <c r="Y43" s="507"/>
      <c r="Z43" s="507"/>
    </row>
    <row r="44">
      <c r="A44" s="507" t="s">
        <v>309</v>
      </c>
      <c r="B44" s="265">
        <v>26450.0</v>
      </c>
      <c r="C44" s="265">
        <v>17.44</v>
      </c>
      <c r="D44" s="265">
        <v>6.67015596703607</v>
      </c>
      <c r="E44" s="265">
        <v>101.626999502953</v>
      </c>
      <c r="F44" s="265">
        <v>348.8</v>
      </c>
      <c r="G44" s="265">
        <v>66.7015596703607</v>
      </c>
      <c r="H44" s="265">
        <v>211.722915631153</v>
      </c>
      <c r="I44" s="265">
        <v>191.830026222478</v>
      </c>
      <c r="J44" s="507" t="s">
        <v>654</v>
      </c>
      <c r="K44" s="507" t="str">
        <f t="shared" si="1"/>
        <v>Medium leverage</v>
      </c>
      <c r="L44" s="625">
        <f t="shared" si="2"/>
        <v>0.6666666667</v>
      </c>
      <c r="M44" s="507"/>
      <c r="N44" s="507"/>
      <c r="O44" s="507"/>
      <c r="P44" s="507"/>
      <c r="Q44" s="507"/>
      <c r="R44" s="507"/>
      <c r="S44" s="507"/>
      <c r="T44" s="507"/>
      <c r="U44" s="507"/>
      <c r="V44" s="507"/>
      <c r="W44" s="507"/>
      <c r="X44" s="507"/>
      <c r="Y44" s="507"/>
      <c r="Z44" s="507"/>
    </row>
    <row r="45">
      <c r="A45" s="507" t="s">
        <v>412</v>
      </c>
      <c r="B45" s="265">
        <v>3172815.23074746</v>
      </c>
      <c r="C45" s="265">
        <v>43.32</v>
      </c>
      <c r="D45" s="265">
        <v>10.3911818461403</v>
      </c>
      <c r="E45" s="265">
        <v>223.502991460533</v>
      </c>
      <c r="F45" s="265">
        <v>866.4</v>
      </c>
      <c r="G45" s="265">
        <v>103.911818461403</v>
      </c>
      <c r="H45" s="265">
        <v>465.631232209444</v>
      </c>
      <c r="I45" s="265">
        <v>417.957760436664</v>
      </c>
      <c r="J45" s="507" t="s">
        <v>669</v>
      </c>
      <c r="K45" s="507" t="str">
        <f t="shared" si="1"/>
        <v>High leverage</v>
      </c>
      <c r="L45" s="625">
        <f t="shared" si="2"/>
        <v>1</v>
      </c>
      <c r="M45" s="507"/>
      <c r="N45" s="507"/>
      <c r="O45" s="507"/>
      <c r="P45" s="507"/>
      <c r="Q45" s="507"/>
      <c r="R45" s="507"/>
      <c r="S45" s="507"/>
      <c r="T45" s="507"/>
      <c r="U45" s="507"/>
      <c r="V45" s="507"/>
      <c r="W45" s="507"/>
      <c r="X45" s="507"/>
      <c r="Y45" s="507"/>
      <c r="Z45" s="507"/>
    </row>
    <row r="46">
      <c r="A46" s="507" t="s">
        <v>415</v>
      </c>
      <c r="B46" s="265">
        <v>6770122.77321519</v>
      </c>
      <c r="C46" s="265">
        <v>14.41</v>
      </c>
      <c r="D46" s="265">
        <v>5.53877791150224</v>
      </c>
      <c r="E46" s="265">
        <v>73.729448304053</v>
      </c>
      <c r="F46" s="265">
        <v>288.2</v>
      </c>
      <c r="G46" s="265">
        <v>55.3877791150224</v>
      </c>
      <c r="H46" s="265">
        <v>153.60301730011</v>
      </c>
      <c r="I46" s="265">
        <v>141.510066645687</v>
      </c>
      <c r="J46" s="507" t="s">
        <v>663</v>
      </c>
      <c r="K46" s="507" t="str">
        <f t="shared" si="1"/>
        <v>Medium leverage</v>
      </c>
      <c r="L46" s="625">
        <f t="shared" si="2"/>
        <v>0.6666666667</v>
      </c>
      <c r="M46" s="507"/>
      <c r="N46" s="507"/>
      <c r="O46" s="507"/>
      <c r="P46" s="507"/>
      <c r="Q46" s="507"/>
      <c r="R46" s="507"/>
      <c r="S46" s="507"/>
      <c r="T46" s="507"/>
      <c r="U46" s="507"/>
      <c r="V46" s="507"/>
      <c r="W46" s="507"/>
      <c r="X46" s="507"/>
      <c r="Y46" s="507"/>
      <c r="Z46" s="507"/>
    </row>
    <row r="47">
      <c r="A47" s="507" t="s">
        <v>313</v>
      </c>
      <c r="B47" s="265">
        <v>3.7610505016875E7</v>
      </c>
      <c r="C47" s="265">
        <v>21.69</v>
      </c>
      <c r="D47" s="265">
        <v>25.4169565218718</v>
      </c>
      <c r="E47" s="265">
        <v>85.4308263552709</v>
      </c>
      <c r="F47" s="265">
        <v>433.8</v>
      </c>
      <c r="G47" s="265">
        <v>254.169565218718</v>
      </c>
      <c r="H47" s="265">
        <v>177.980888240147</v>
      </c>
      <c r="I47" s="265">
        <v>199.260571345187</v>
      </c>
      <c r="J47" s="507" t="s">
        <v>654</v>
      </c>
      <c r="K47" s="507" t="str">
        <f t="shared" si="1"/>
        <v>Medium leverage</v>
      </c>
      <c r="L47" s="625">
        <f t="shared" si="2"/>
        <v>0.6666666667</v>
      </c>
      <c r="M47" s="507"/>
      <c r="N47" s="507"/>
      <c r="O47" s="507"/>
      <c r="P47" s="507"/>
      <c r="Q47" s="507"/>
      <c r="R47" s="507"/>
      <c r="S47" s="507"/>
      <c r="T47" s="507"/>
      <c r="U47" s="507"/>
      <c r="V47" s="507"/>
      <c r="W47" s="507"/>
      <c r="X47" s="507"/>
      <c r="Y47" s="507"/>
      <c r="Z47" s="507"/>
    </row>
    <row r="48">
      <c r="A48" s="507" t="s">
        <v>416</v>
      </c>
      <c r="B48" s="265">
        <v>2686579.65240101</v>
      </c>
      <c r="C48" s="265">
        <v>21.36</v>
      </c>
      <c r="D48" s="265">
        <v>7.72284862014935</v>
      </c>
      <c r="E48" s="265">
        <v>118.34664867138</v>
      </c>
      <c r="F48" s="265">
        <v>427.2</v>
      </c>
      <c r="G48" s="265">
        <v>77.2284862014935</v>
      </c>
      <c r="H48" s="265">
        <v>246.555518065376</v>
      </c>
      <c r="I48" s="265">
        <v>224.008782504532</v>
      </c>
      <c r="J48" s="507" t="s">
        <v>654</v>
      </c>
      <c r="K48" s="507" t="str">
        <f t="shared" si="1"/>
        <v>High leverage</v>
      </c>
      <c r="L48" s="625">
        <f t="shared" si="2"/>
        <v>1</v>
      </c>
      <c r="M48" s="507"/>
      <c r="N48" s="507"/>
      <c r="O48" s="507"/>
      <c r="P48" s="507"/>
      <c r="Q48" s="507"/>
      <c r="R48" s="507"/>
      <c r="S48" s="507"/>
      <c r="T48" s="507"/>
      <c r="U48" s="507"/>
      <c r="V48" s="507"/>
      <c r="W48" s="507"/>
      <c r="X48" s="507"/>
      <c r="Y48" s="507"/>
      <c r="Z48" s="507"/>
    </row>
    <row r="49">
      <c r="A49" s="507" t="s">
        <v>417</v>
      </c>
      <c r="B49" s="265">
        <v>1.16484875063997E7</v>
      </c>
      <c r="C49" s="265">
        <v>23.46</v>
      </c>
      <c r="D49" s="265">
        <v>10.9752431199109</v>
      </c>
      <c r="E49" s="265">
        <v>103.397961123281</v>
      </c>
      <c r="F49" s="265">
        <v>469.2</v>
      </c>
      <c r="G49" s="265">
        <v>109.752431199109</v>
      </c>
      <c r="H49" s="265">
        <v>215.412419006837</v>
      </c>
      <c r="I49" s="265">
        <v>206.002813955439</v>
      </c>
      <c r="J49" s="507" t="s">
        <v>654</v>
      </c>
      <c r="K49" s="507" t="str">
        <f t="shared" si="1"/>
        <v>High leverage</v>
      </c>
      <c r="L49" s="625">
        <f t="shared" si="2"/>
        <v>1</v>
      </c>
      <c r="M49" s="507"/>
      <c r="N49" s="507"/>
      <c r="O49" s="507"/>
      <c r="P49" s="507"/>
      <c r="Q49" s="507"/>
      <c r="R49" s="507"/>
      <c r="S49" s="507"/>
      <c r="T49" s="507"/>
      <c r="U49" s="507"/>
      <c r="V49" s="507"/>
      <c r="W49" s="507"/>
      <c r="X49" s="507"/>
      <c r="Y49" s="507"/>
      <c r="Z49" s="507"/>
    </row>
    <row r="50">
      <c r="A50" s="507" t="s">
        <v>418</v>
      </c>
      <c r="B50" s="265">
        <v>1.96809794875944E7</v>
      </c>
      <c r="C50" s="265">
        <v>16.12</v>
      </c>
      <c r="D50" s="265">
        <v>7.21252418492669</v>
      </c>
      <c r="E50" s="265">
        <v>86.946272053459</v>
      </c>
      <c r="F50" s="265">
        <v>322.4</v>
      </c>
      <c r="G50" s="265">
        <v>72.1252418492669</v>
      </c>
      <c r="H50" s="265">
        <v>181.138066778039</v>
      </c>
      <c r="I50" s="265">
        <v>167.447020218997</v>
      </c>
      <c r="J50" s="507" t="s">
        <v>663</v>
      </c>
      <c r="K50" s="507" t="str">
        <f t="shared" si="1"/>
        <v>Medium leverage</v>
      </c>
      <c r="L50" s="625">
        <f t="shared" si="2"/>
        <v>0.6666666667</v>
      </c>
      <c r="M50" s="507"/>
      <c r="N50" s="507"/>
      <c r="O50" s="507"/>
      <c r="P50" s="507"/>
      <c r="Q50" s="507"/>
      <c r="R50" s="507"/>
      <c r="S50" s="507"/>
      <c r="T50" s="507"/>
      <c r="U50" s="507"/>
      <c r="V50" s="507"/>
      <c r="W50" s="507"/>
      <c r="X50" s="507"/>
      <c r="Y50" s="507"/>
      <c r="Z50" s="507"/>
    </row>
    <row r="51">
      <c r="A51" s="507" t="s">
        <v>398</v>
      </c>
      <c r="B51" s="265">
        <v>3332631.17720695</v>
      </c>
      <c r="C51" s="265">
        <v>37.88</v>
      </c>
      <c r="D51" s="265">
        <v>10.394227343401</v>
      </c>
      <c r="E51" s="265">
        <v>158.068944483783</v>
      </c>
      <c r="F51" s="265">
        <v>757.6</v>
      </c>
      <c r="G51" s="265">
        <v>103.94227343401</v>
      </c>
      <c r="H51" s="265">
        <v>329.310301007882</v>
      </c>
      <c r="I51" s="265">
        <v>305.506601188835</v>
      </c>
      <c r="J51" s="507" t="s">
        <v>657</v>
      </c>
      <c r="K51" s="507" t="str">
        <f t="shared" si="1"/>
        <v>High leverage</v>
      </c>
      <c r="L51" s="625">
        <f t="shared" si="2"/>
        <v>1</v>
      </c>
      <c r="M51" s="507"/>
      <c r="N51" s="507"/>
      <c r="O51" s="507"/>
      <c r="P51" s="507"/>
      <c r="Q51" s="507"/>
      <c r="R51" s="507"/>
      <c r="S51" s="507"/>
      <c r="T51" s="507"/>
      <c r="U51" s="507"/>
      <c r="V51" s="507"/>
      <c r="W51" s="507"/>
      <c r="X51" s="507"/>
      <c r="Y51" s="507"/>
      <c r="Z51" s="507"/>
    </row>
    <row r="52">
      <c r="A52" s="507" t="s">
        <v>318</v>
      </c>
      <c r="B52" s="265">
        <v>391905.638610839</v>
      </c>
      <c r="C52" s="265">
        <v>27.39</v>
      </c>
      <c r="D52" s="265">
        <v>17.322569982961</v>
      </c>
      <c r="E52" s="265">
        <v>81.0910777992335</v>
      </c>
      <c r="F52" s="265">
        <v>547.8</v>
      </c>
      <c r="G52" s="265">
        <v>173.22569982961</v>
      </c>
      <c r="H52" s="265">
        <v>168.939745415069</v>
      </c>
      <c r="I52" s="265">
        <v>182.175639930362</v>
      </c>
      <c r="J52" s="507" t="s">
        <v>663</v>
      </c>
      <c r="K52" s="507" t="str">
        <f t="shared" si="1"/>
        <v>Medium leverage</v>
      </c>
      <c r="L52" s="625">
        <f t="shared" si="2"/>
        <v>0.6666666667</v>
      </c>
      <c r="M52" s="507"/>
      <c r="N52" s="507"/>
      <c r="O52" s="507"/>
      <c r="P52" s="507"/>
      <c r="Q52" s="507"/>
      <c r="R52" s="507"/>
      <c r="S52" s="507"/>
      <c r="T52" s="507"/>
      <c r="U52" s="507"/>
      <c r="V52" s="507"/>
      <c r="W52" s="507"/>
      <c r="X52" s="507"/>
      <c r="Y52" s="507"/>
      <c r="Z52" s="507"/>
    </row>
    <row r="53">
      <c r="A53" s="507" t="s">
        <v>405</v>
      </c>
      <c r="B53" s="265">
        <v>1.02201681794896E7</v>
      </c>
      <c r="C53" s="265">
        <v>32.29</v>
      </c>
      <c r="D53" s="265">
        <v>7.8662649799943</v>
      </c>
      <c r="E53" s="265">
        <v>94.7671048307664</v>
      </c>
      <c r="F53" s="265">
        <v>645.8</v>
      </c>
      <c r="G53" s="265">
        <v>78.662649799943</v>
      </c>
      <c r="H53" s="265">
        <v>197.43146839743</v>
      </c>
      <c r="I53" s="265">
        <v>192.241638265554</v>
      </c>
      <c r="J53" s="507" t="s">
        <v>654</v>
      </c>
      <c r="K53" s="507" t="str">
        <f t="shared" si="1"/>
        <v>Medium leverage</v>
      </c>
      <c r="L53" s="625">
        <f t="shared" si="2"/>
        <v>0.6666666667</v>
      </c>
      <c r="M53" s="507"/>
      <c r="N53" s="507"/>
      <c r="O53" s="507"/>
      <c r="P53" s="507"/>
      <c r="Q53" s="507"/>
      <c r="R53" s="507"/>
      <c r="S53" s="507"/>
      <c r="T53" s="507"/>
      <c r="U53" s="507"/>
      <c r="V53" s="507"/>
      <c r="W53" s="507"/>
      <c r="X53" s="507"/>
      <c r="Y53" s="507"/>
      <c r="Z53" s="507"/>
    </row>
    <row r="54">
      <c r="A54" s="507" t="s">
        <v>408</v>
      </c>
      <c r="B54" s="265">
        <v>7612018.46424037</v>
      </c>
      <c r="C54" s="265">
        <v>18.85</v>
      </c>
      <c r="D54" s="265">
        <v>11.3209264560233</v>
      </c>
      <c r="E54" s="265">
        <v>143.759114772477</v>
      </c>
      <c r="F54" s="265">
        <v>377.0</v>
      </c>
      <c r="G54" s="265">
        <v>113.209264560233</v>
      </c>
      <c r="H54" s="265">
        <v>299.498155775994</v>
      </c>
      <c r="I54" s="265">
        <v>270.688235011309</v>
      </c>
      <c r="J54" s="507" t="s">
        <v>654</v>
      </c>
      <c r="K54" s="507" t="str">
        <f t="shared" si="1"/>
        <v>High leverage</v>
      </c>
      <c r="L54" s="625">
        <f t="shared" si="2"/>
        <v>1</v>
      </c>
      <c r="M54" s="507"/>
      <c r="N54" s="507"/>
      <c r="O54" s="507"/>
      <c r="P54" s="507"/>
      <c r="Q54" s="507"/>
      <c r="R54" s="507"/>
      <c r="S54" s="507"/>
      <c r="T54" s="507"/>
      <c r="U54" s="507"/>
      <c r="V54" s="507"/>
      <c r="W54" s="507"/>
      <c r="X54" s="507"/>
      <c r="Y54" s="507"/>
      <c r="Z54" s="507"/>
    </row>
    <row r="55">
      <c r="A55" s="521" t="s">
        <v>320</v>
      </c>
      <c r="B55" s="350">
        <v>5250679.780886</v>
      </c>
      <c r="C55" s="350">
        <v>14.47</v>
      </c>
      <c r="D55" s="350">
        <v>10.3081273954949</v>
      </c>
      <c r="E55" s="350">
        <v>126.733955773833</v>
      </c>
      <c r="F55" s="350">
        <v>289.4</v>
      </c>
      <c r="G55" s="350">
        <v>103.081273954949</v>
      </c>
      <c r="H55" s="350">
        <v>264.02907452882</v>
      </c>
      <c r="I55" s="350">
        <v>237.764494897877</v>
      </c>
      <c r="J55" s="521" t="s">
        <v>654</v>
      </c>
      <c r="K55" s="521" t="str">
        <f t="shared" si="1"/>
        <v>High leverage</v>
      </c>
      <c r="L55" s="646">
        <f t="shared" si="2"/>
        <v>1</v>
      </c>
      <c r="M55" s="507"/>
      <c r="N55" s="507"/>
      <c r="O55" s="507"/>
      <c r="P55" s="507"/>
      <c r="Q55" s="507"/>
      <c r="R55" s="507"/>
      <c r="S55" s="507"/>
      <c r="T55" s="507"/>
      <c r="U55" s="507"/>
      <c r="V55" s="507"/>
      <c r="W55" s="507"/>
      <c r="X55" s="507"/>
      <c r="Y55" s="507"/>
      <c r="Z55" s="507"/>
    </row>
    <row r="56">
      <c r="A56" s="507"/>
      <c r="B56" s="572"/>
      <c r="C56" s="572"/>
      <c r="D56" s="572"/>
      <c r="E56" s="572"/>
      <c r="F56" s="572"/>
      <c r="G56" s="572"/>
      <c r="H56" s="572"/>
      <c r="I56" s="572"/>
      <c r="J56" s="507"/>
      <c r="K56" s="507"/>
      <c r="L56" s="507"/>
      <c r="M56" s="507"/>
      <c r="N56" s="507"/>
      <c r="O56" s="507"/>
      <c r="P56" s="507"/>
      <c r="Q56" s="507"/>
      <c r="R56" s="507"/>
      <c r="S56" s="507"/>
      <c r="T56" s="507"/>
      <c r="U56" s="507"/>
      <c r="V56" s="507"/>
      <c r="W56" s="507"/>
      <c r="X56" s="507"/>
      <c r="Y56" s="507"/>
      <c r="Z56" s="507"/>
    </row>
    <row r="57">
      <c r="A57" s="507"/>
      <c r="C57" s="574" t="s">
        <v>671</v>
      </c>
      <c r="D57" s="62"/>
      <c r="E57" s="418" t="s">
        <v>421</v>
      </c>
      <c r="I57" s="572"/>
      <c r="J57" s="507"/>
      <c r="K57" s="507"/>
      <c r="L57" s="507"/>
      <c r="M57" s="507"/>
      <c r="N57" s="507"/>
      <c r="O57" s="507"/>
      <c r="P57" s="507"/>
      <c r="Q57" s="507"/>
      <c r="R57" s="507"/>
      <c r="S57" s="507"/>
      <c r="T57" s="507"/>
      <c r="U57" s="507"/>
      <c r="V57" s="507"/>
      <c r="W57" s="507"/>
      <c r="X57" s="507"/>
      <c r="Y57" s="507"/>
      <c r="Z57" s="507"/>
    </row>
    <row r="58">
      <c r="A58" s="507"/>
      <c r="C58" s="650">
        <f>max(I2:I55)</f>
        <v>417.9577604</v>
      </c>
      <c r="D58" s="650" t="s">
        <v>422</v>
      </c>
      <c r="E58" s="651" t="s">
        <v>412</v>
      </c>
      <c r="I58" s="572"/>
      <c r="J58" s="507"/>
      <c r="K58" s="507"/>
      <c r="L58" s="507"/>
      <c r="M58" s="507"/>
      <c r="N58" s="507"/>
      <c r="O58" s="507"/>
      <c r="P58" s="507"/>
      <c r="Q58" s="507"/>
      <c r="R58" s="507"/>
      <c r="S58" s="507"/>
      <c r="T58" s="507"/>
      <c r="U58" s="507"/>
      <c r="V58" s="507"/>
      <c r="W58" s="507"/>
      <c r="X58" s="507"/>
      <c r="Y58" s="507"/>
      <c r="Z58" s="507"/>
    </row>
    <row r="59">
      <c r="C59" s="650">
        <f>min(I2:I55)</f>
        <v>141.5100666</v>
      </c>
      <c r="D59" s="650" t="s">
        <v>423</v>
      </c>
      <c r="E59" s="653" t="s">
        <v>415</v>
      </c>
      <c r="I59" s="572"/>
      <c r="J59" s="507"/>
      <c r="K59" s="507"/>
      <c r="L59" s="507"/>
      <c r="M59" s="507"/>
      <c r="N59" s="507"/>
      <c r="O59" s="507"/>
      <c r="P59" s="507"/>
      <c r="Q59" s="507"/>
      <c r="R59" s="507"/>
      <c r="S59" s="507"/>
      <c r="T59" s="507"/>
      <c r="U59" s="507"/>
      <c r="V59" s="507"/>
      <c r="W59" s="507"/>
      <c r="X59" s="507"/>
      <c r="Y59" s="507"/>
      <c r="Z59" s="507"/>
    </row>
    <row r="60">
      <c r="A60" s="507"/>
      <c r="C60" s="650">
        <f>average(I2:I55)</f>
        <v>237.0071459</v>
      </c>
      <c r="D60" s="650" t="s">
        <v>424</v>
      </c>
      <c r="E60" s="572"/>
      <c r="I60" s="572"/>
      <c r="J60" s="507"/>
      <c r="K60" s="507"/>
      <c r="L60" s="507"/>
      <c r="M60" s="507"/>
      <c r="N60" s="507"/>
      <c r="O60" s="507"/>
      <c r="P60" s="507"/>
      <c r="Q60" s="507"/>
      <c r="R60" s="507"/>
      <c r="S60" s="507"/>
      <c r="T60" s="507"/>
      <c r="U60" s="507"/>
      <c r="V60" s="507"/>
      <c r="W60" s="507"/>
      <c r="X60" s="507"/>
      <c r="Y60" s="507"/>
      <c r="Z60" s="507"/>
    </row>
    <row r="61">
      <c r="A61" s="507"/>
      <c r="C61" s="650">
        <f>MEDIAN(I2:I55)</f>
        <v>223.8747179</v>
      </c>
      <c r="D61" s="650" t="s">
        <v>425</v>
      </c>
      <c r="E61" s="572"/>
      <c r="I61" s="572"/>
      <c r="J61" s="507"/>
      <c r="K61" s="507"/>
      <c r="L61" s="507"/>
      <c r="M61" s="507"/>
      <c r="N61" s="507"/>
      <c r="O61" s="507"/>
      <c r="P61" s="507"/>
      <c r="Q61" s="507"/>
      <c r="R61" s="507"/>
      <c r="S61" s="507"/>
      <c r="T61" s="507"/>
      <c r="U61" s="507"/>
      <c r="V61" s="507"/>
      <c r="W61" s="507"/>
      <c r="X61" s="507"/>
      <c r="Y61" s="507"/>
      <c r="Z61" s="507"/>
    </row>
    <row r="62">
      <c r="A62" s="507"/>
      <c r="C62" s="657">
        <f>STDEV(I2:I55)</f>
        <v>64.37708576</v>
      </c>
      <c r="D62" s="657" t="s">
        <v>446</v>
      </c>
      <c r="E62" s="572"/>
      <c r="I62" s="572"/>
      <c r="J62" s="507"/>
      <c r="K62" s="507"/>
      <c r="L62" s="507"/>
      <c r="M62" s="507"/>
      <c r="N62" s="507"/>
      <c r="O62" s="507"/>
      <c r="P62" s="507"/>
      <c r="Q62" s="507"/>
      <c r="R62" s="507"/>
      <c r="S62" s="507"/>
      <c r="T62" s="507"/>
      <c r="U62" s="507"/>
      <c r="V62" s="507"/>
      <c r="W62" s="507"/>
      <c r="X62" s="507"/>
      <c r="Y62" s="507"/>
      <c r="Z62" s="507"/>
    </row>
    <row r="63">
      <c r="A63" s="507"/>
      <c r="B63" s="572"/>
      <c r="C63" s="572"/>
      <c r="D63" s="572"/>
      <c r="E63" s="572"/>
      <c r="F63" s="572"/>
      <c r="G63" s="572"/>
      <c r="H63" s="572"/>
      <c r="I63" s="572"/>
      <c r="J63" s="507"/>
      <c r="K63" s="507"/>
      <c r="L63" s="507"/>
      <c r="M63" s="507"/>
      <c r="N63" s="507"/>
      <c r="O63" s="507"/>
      <c r="P63" s="507"/>
      <c r="Q63" s="507"/>
      <c r="R63" s="507"/>
      <c r="S63" s="507"/>
      <c r="T63" s="507"/>
      <c r="U63" s="507"/>
      <c r="V63" s="507"/>
      <c r="W63" s="507"/>
      <c r="X63" s="507"/>
      <c r="Y63" s="507"/>
      <c r="Z63" s="507"/>
    </row>
    <row r="64">
      <c r="A64" s="507"/>
      <c r="B64" s="572"/>
      <c r="C64" s="578" t="s">
        <v>325</v>
      </c>
      <c r="K64" s="507"/>
      <c r="L64" s="507"/>
      <c r="M64" s="507"/>
      <c r="N64" s="507"/>
      <c r="O64" s="507"/>
      <c r="P64" s="507"/>
      <c r="Q64" s="507"/>
      <c r="R64" s="507"/>
      <c r="S64" s="507"/>
      <c r="T64" s="507"/>
      <c r="U64" s="507"/>
      <c r="V64" s="507"/>
      <c r="W64" s="507"/>
      <c r="X64" s="507"/>
      <c r="Y64" s="507"/>
      <c r="Z64" s="507"/>
    </row>
    <row r="65">
      <c r="A65" s="507"/>
      <c r="B65" s="572"/>
      <c r="C65" s="662" t="str">
        <f t="array" ref="C65:C82">{"INDICATOR INFORMATION";
  "Index Category: "&amp;CHAR(10)&amp;
  "EV Impact Index - Measures broader benefits of EV adoption";
  "";
  "Sub-Category: "&amp;CHAR(10)&amp;
  "Public Health";
  "";
  "Indicator Name: "&amp;CHAR(10)&amp;
  "Urban Air Quality";
  "";
  "Description: "&amp;CHAR(10)&amp;
  "Measures urban air quality using a composite Air Quality Index that considers multiple pollutants with emphasis on vehicle emissions";
  "";
  "Components Measured: "&amp;CHAR(10)&amp;
  "• Urban PM2.5"&amp;CHAR(10)&amp;
  "• Nitrogen Dioxide (NO2)"&amp;CHAR(10)&amp;
  "• Carbon Monoxide (CO)";
  "";
  "Summary Statistics: "&amp;CHAR(10)&amp;
  "• Maximum: 417.96 (Sierra Leone)"&amp;CHAR(10)&amp;
  "• Minimum: 141.51 (Somalia)"&amp;CHAR(10)&amp;
  "• Average: 237.01"&amp;CHAR(10)&amp;
  "• Median: 223.87"&amp;CHAR(10)&amp;
  "• Standard Deviation: 64.38";
  "";
  "Scoring Categories: "&amp;CHAR(10)&amp;
  "• Low (AQI &lt;100) = Low Impact (1/3)"&amp;CHAR(10)&amp;
  "• Medium (AQI 100-200) = Medium Impact (2/3)"&amp;CHAR(10)&amp;
  "• High (AQI &gt;200) = High Impact (3/3)";
  "";
  "Methodology Note: "&amp;CHAR(10)&amp;
  "• Based on US EPA AQI categories"&amp;CHAR(10)&amp;
  "• Combines measurements of key vehicle emission pollutants"&amp;CHAR(10)&amp;
  "• Weighted to reflect vehicle emission contributions";
  "";
  "Data Sources: "&amp;CHAR(10)&amp;
  "• Ground-level measurements"&amp;CHAR(10)&amp;
  "• Satellite remote sensing"&amp;CHAR(10)&amp;
  "• Population demographics"&amp;CHAR(10)&amp;
  "• Latest data: 2019"}</f>
        <v>INDICATOR INFORMATION</v>
      </c>
      <c r="D65" s="663"/>
      <c r="E65" s="663"/>
      <c r="F65" s="663"/>
      <c r="G65" s="663"/>
      <c r="H65" s="663"/>
      <c r="I65" s="663"/>
      <c r="J65" s="664"/>
      <c r="K65" s="665"/>
      <c r="L65" s="507"/>
      <c r="M65" s="507"/>
      <c r="N65" s="507"/>
      <c r="O65" s="507"/>
      <c r="P65" s="507"/>
      <c r="Q65" s="507"/>
      <c r="R65" s="507"/>
      <c r="S65" s="507"/>
      <c r="T65" s="507"/>
      <c r="U65" s="507"/>
      <c r="V65" s="507"/>
      <c r="W65" s="507"/>
      <c r="X65" s="507"/>
      <c r="Y65" s="507"/>
      <c r="Z65" s="507"/>
    </row>
    <row r="66">
      <c r="A66" s="507"/>
      <c r="B66" s="572"/>
      <c r="C66" s="583" t="s">
        <v>631</v>
      </c>
      <c r="D66" s="572"/>
      <c r="E66" s="572"/>
      <c r="F66" s="572"/>
      <c r="G66" s="572"/>
      <c r="H66" s="572"/>
      <c r="I66" s="572"/>
      <c r="J66" s="666"/>
      <c r="K66" s="507"/>
      <c r="L66" s="507"/>
      <c r="M66" s="507"/>
      <c r="N66" s="507"/>
      <c r="O66" s="507"/>
      <c r="P66" s="507"/>
      <c r="Q66" s="507"/>
      <c r="R66" s="507"/>
      <c r="S66" s="507"/>
      <c r="T66" s="507"/>
      <c r="U66" s="507"/>
      <c r="V66" s="507"/>
      <c r="W66" s="507"/>
      <c r="X66" s="507"/>
      <c r="Y66" s="507"/>
      <c r="Z66" s="507"/>
    </row>
    <row r="67">
      <c r="A67" s="507"/>
      <c r="B67" s="572"/>
      <c r="C67" s="583" t="s">
        <v>126</v>
      </c>
      <c r="D67" s="572"/>
      <c r="E67" s="572"/>
      <c r="F67" s="572"/>
      <c r="G67" s="572"/>
      <c r="H67" s="572"/>
      <c r="I67" s="572"/>
      <c r="J67" s="666"/>
      <c r="K67" s="507"/>
      <c r="L67" s="507"/>
      <c r="M67" s="507"/>
      <c r="N67" s="507"/>
      <c r="O67" s="507"/>
      <c r="P67" s="507"/>
      <c r="Q67" s="507"/>
      <c r="R67" s="507"/>
      <c r="S67" s="507"/>
      <c r="T67" s="507"/>
      <c r="U67" s="507"/>
      <c r="V67" s="507"/>
      <c r="W67" s="507"/>
      <c r="X67" s="507"/>
      <c r="Y67" s="507"/>
      <c r="Z67" s="507"/>
    </row>
    <row r="68">
      <c r="A68" s="507"/>
      <c r="B68" s="572"/>
      <c r="C68" s="583" t="s">
        <v>686</v>
      </c>
      <c r="D68" s="572"/>
      <c r="E68" s="572"/>
      <c r="F68" s="572"/>
      <c r="G68" s="572"/>
      <c r="H68" s="572"/>
      <c r="I68" s="572"/>
      <c r="J68" s="666"/>
      <c r="K68" s="507"/>
      <c r="L68" s="507"/>
      <c r="M68" s="507"/>
      <c r="N68" s="507"/>
      <c r="O68" s="507"/>
      <c r="P68" s="507"/>
      <c r="Q68" s="507"/>
      <c r="R68" s="507"/>
      <c r="S68" s="507"/>
      <c r="T68" s="507"/>
      <c r="U68" s="507"/>
      <c r="V68" s="507"/>
      <c r="W68" s="507"/>
      <c r="X68" s="507"/>
      <c r="Y68" s="507"/>
      <c r="Z68" s="507"/>
    </row>
    <row r="69">
      <c r="A69" s="507"/>
      <c r="B69" s="572"/>
      <c r="C69" s="583" t="s">
        <v>126</v>
      </c>
      <c r="D69" s="572"/>
      <c r="E69" s="572"/>
      <c r="F69" s="572"/>
      <c r="G69" s="572"/>
      <c r="H69" s="572"/>
      <c r="I69" s="572"/>
      <c r="J69" s="666"/>
      <c r="K69" s="507"/>
      <c r="L69" s="507"/>
      <c r="M69" s="507"/>
      <c r="N69" s="507"/>
      <c r="O69" s="507"/>
      <c r="P69" s="507"/>
      <c r="Q69" s="507"/>
      <c r="R69" s="507"/>
      <c r="S69" s="507"/>
      <c r="T69" s="507"/>
      <c r="U69" s="507"/>
      <c r="V69" s="507"/>
      <c r="W69" s="507"/>
      <c r="X69" s="507"/>
      <c r="Y69" s="507"/>
      <c r="Z69" s="507"/>
    </row>
    <row r="70">
      <c r="A70" s="507"/>
      <c r="B70" s="572"/>
      <c r="C70" s="583" t="s">
        <v>687</v>
      </c>
      <c r="D70" s="572"/>
      <c r="E70" s="572"/>
      <c r="F70" s="572"/>
      <c r="G70" s="572"/>
      <c r="H70" s="572"/>
      <c r="I70" s="572"/>
      <c r="J70" s="666"/>
      <c r="K70" s="507"/>
      <c r="L70" s="507"/>
      <c r="M70" s="507"/>
      <c r="N70" s="507"/>
      <c r="O70" s="507"/>
      <c r="P70" s="507"/>
      <c r="Q70" s="507"/>
      <c r="R70" s="507"/>
      <c r="S70" s="507"/>
      <c r="T70" s="507"/>
      <c r="U70" s="507"/>
      <c r="V70" s="507"/>
      <c r="W70" s="507"/>
      <c r="X70" s="507"/>
      <c r="Y70" s="507"/>
      <c r="Z70" s="507"/>
    </row>
    <row r="71">
      <c r="A71" s="507"/>
      <c r="B71" s="572"/>
      <c r="C71" s="583" t="s">
        <v>126</v>
      </c>
      <c r="D71" s="572"/>
      <c r="E71" s="572"/>
      <c r="F71" s="572"/>
      <c r="G71" s="572"/>
      <c r="H71" s="572"/>
      <c r="I71" s="572"/>
      <c r="J71" s="666"/>
      <c r="K71" s="507"/>
      <c r="L71" s="507"/>
      <c r="M71" s="507"/>
      <c r="N71" s="507"/>
      <c r="O71" s="507"/>
      <c r="P71" s="507"/>
      <c r="Q71" s="507"/>
      <c r="R71" s="507"/>
      <c r="S71" s="507"/>
      <c r="T71" s="507"/>
      <c r="U71" s="507"/>
      <c r="V71" s="507"/>
      <c r="W71" s="507"/>
      <c r="X71" s="507"/>
      <c r="Y71" s="507"/>
      <c r="Z71" s="507"/>
    </row>
    <row r="72">
      <c r="A72" s="507"/>
      <c r="B72" s="572"/>
      <c r="C72" s="583" t="s">
        <v>688</v>
      </c>
      <c r="D72" s="572"/>
      <c r="E72" s="572"/>
      <c r="F72" s="572"/>
      <c r="G72" s="572"/>
      <c r="H72" s="572"/>
      <c r="I72" s="572"/>
      <c r="J72" s="666"/>
      <c r="K72" s="507"/>
      <c r="L72" s="507"/>
      <c r="M72" s="507"/>
      <c r="N72" s="507"/>
      <c r="O72" s="507"/>
      <c r="P72" s="507"/>
      <c r="Q72" s="507"/>
      <c r="R72" s="507"/>
      <c r="S72" s="507"/>
      <c r="T72" s="507"/>
      <c r="U72" s="507"/>
      <c r="V72" s="507"/>
      <c r="W72" s="507"/>
      <c r="X72" s="507"/>
      <c r="Y72" s="507"/>
      <c r="Z72" s="507"/>
    </row>
    <row r="73">
      <c r="A73" s="507"/>
      <c r="B73" s="572"/>
      <c r="C73" s="583" t="s">
        <v>126</v>
      </c>
      <c r="D73" s="572"/>
      <c r="E73" s="572"/>
      <c r="F73" s="572"/>
      <c r="G73" s="572"/>
      <c r="H73" s="572"/>
      <c r="I73" s="572"/>
      <c r="J73" s="666"/>
      <c r="K73" s="507"/>
      <c r="L73" s="507"/>
      <c r="M73" s="507"/>
      <c r="N73" s="507"/>
      <c r="O73" s="507"/>
      <c r="P73" s="507"/>
      <c r="Q73" s="507"/>
      <c r="R73" s="507"/>
      <c r="S73" s="507"/>
      <c r="T73" s="507"/>
      <c r="U73" s="507"/>
      <c r="V73" s="507"/>
      <c r="W73" s="507"/>
      <c r="X73" s="507"/>
      <c r="Y73" s="507"/>
      <c r="Z73" s="507"/>
    </row>
    <row r="74">
      <c r="A74" s="507"/>
      <c r="B74" s="572"/>
      <c r="C74" s="583" t="s">
        <v>689</v>
      </c>
      <c r="D74" s="572"/>
      <c r="E74" s="572"/>
      <c r="F74" s="572"/>
      <c r="G74" s="572"/>
      <c r="H74" s="572"/>
      <c r="I74" s="572"/>
      <c r="J74" s="666"/>
      <c r="K74" s="507"/>
      <c r="L74" s="507"/>
      <c r="M74" s="507"/>
      <c r="N74" s="507"/>
      <c r="O74" s="507"/>
      <c r="P74" s="507"/>
      <c r="Q74" s="507"/>
      <c r="R74" s="507"/>
      <c r="S74" s="507"/>
      <c r="T74" s="507"/>
      <c r="U74" s="507"/>
      <c r="V74" s="507"/>
      <c r="W74" s="507"/>
      <c r="X74" s="507"/>
      <c r="Y74" s="507"/>
      <c r="Z74" s="507"/>
    </row>
    <row r="75">
      <c r="A75" s="507"/>
      <c r="B75" s="572"/>
      <c r="C75" s="583" t="s">
        <v>126</v>
      </c>
      <c r="D75" s="572"/>
      <c r="E75" s="572"/>
      <c r="F75" s="572"/>
      <c r="G75" s="572"/>
      <c r="H75" s="572"/>
      <c r="I75" s="572"/>
      <c r="J75" s="666"/>
      <c r="K75" s="507"/>
      <c r="L75" s="507"/>
      <c r="M75" s="507"/>
      <c r="N75" s="507"/>
      <c r="O75" s="507"/>
      <c r="P75" s="507"/>
      <c r="Q75" s="507"/>
      <c r="R75" s="507"/>
      <c r="S75" s="507"/>
      <c r="T75" s="507"/>
      <c r="U75" s="507"/>
      <c r="V75" s="507"/>
      <c r="W75" s="507"/>
      <c r="X75" s="507"/>
      <c r="Y75" s="507"/>
      <c r="Z75" s="507"/>
    </row>
    <row r="76">
      <c r="A76" s="507"/>
      <c r="B76" s="572"/>
      <c r="C76" s="583" t="s">
        <v>691</v>
      </c>
      <c r="D76" s="572"/>
      <c r="E76" s="572"/>
      <c r="F76" s="572"/>
      <c r="G76" s="572"/>
      <c r="H76" s="572"/>
      <c r="I76" s="572"/>
      <c r="J76" s="666"/>
      <c r="K76" s="507"/>
      <c r="L76" s="507"/>
      <c r="M76" s="507"/>
      <c r="N76" s="507"/>
      <c r="O76" s="507"/>
      <c r="P76" s="507"/>
      <c r="Q76" s="507"/>
      <c r="R76" s="507"/>
      <c r="S76" s="507"/>
      <c r="T76" s="507"/>
      <c r="U76" s="507"/>
      <c r="V76" s="507"/>
      <c r="W76" s="507"/>
      <c r="X76" s="507"/>
      <c r="Y76" s="507"/>
      <c r="Z76" s="507"/>
    </row>
    <row r="77">
      <c r="A77" s="507"/>
      <c r="B77" s="572"/>
      <c r="C77" s="583" t="s">
        <v>126</v>
      </c>
      <c r="D77" s="572"/>
      <c r="E77" s="572"/>
      <c r="F77" s="572"/>
      <c r="G77" s="572"/>
      <c r="H77" s="572"/>
      <c r="I77" s="572"/>
      <c r="J77" s="666"/>
      <c r="K77" s="507"/>
      <c r="L77" s="507"/>
      <c r="M77" s="507"/>
      <c r="N77" s="507"/>
      <c r="O77" s="507"/>
      <c r="P77" s="507"/>
      <c r="Q77" s="507"/>
      <c r="R77" s="507"/>
      <c r="S77" s="507"/>
      <c r="T77" s="507"/>
      <c r="U77" s="507"/>
      <c r="V77" s="507"/>
      <c r="W77" s="507"/>
      <c r="X77" s="507"/>
      <c r="Y77" s="507"/>
      <c r="Z77" s="507"/>
    </row>
    <row r="78">
      <c r="A78" s="507"/>
      <c r="B78" s="572"/>
      <c r="C78" s="583" t="s">
        <v>692</v>
      </c>
      <c r="D78" s="572"/>
      <c r="E78" s="572"/>
      <c r="F78" s="572"/>
      <c r="G78" s="572"/>
      <c r="H78" s="572"/>
      <c r="I78" s="572"/>
      <c r="J78" s="666"/>
      <c r="K78" s="507"/>
      <c r="L78" s="507"/>
      <c r="M78" s="507"/>
      <c r="N78" s="507"/>
      <c r="O78" s="507"/>
      <c r="P78" s="507"/>
      <c r="Q78" s="507"/>
      <c r="R78" s="507"/>
      <c r="S78" s="507"/>
      <c r="T78" s="507"/>
      <c r="U78" s="507"/>
      <c r="V78" s="507"/>
      <c r="W78" s="507"/>
      <c r="X78" s="507"/>
      <c r="Y78" s="507"/>
      <c r="Z78" s="507"/>
    </row>
    <row r="79">
      <c r="A79" s="507"/>
      <c r="B79" s="572"/>
      <c r="C79" s="583" t="s">
        <v>126</v>
      </c>
      <c r="D79" s="572"/>
      <c r="E79" s="572"/>
      <c r="F79" s="572"/>
      <c r="G79" s="572"/>
      <c r="H79" s="572"/>
      <c r="I79" s="572"/>
      <c r="J79" s="666"/>
      <c r="K79" s="507"/>
      <c r="L79" s="507"/>
      <c r="M79" s="507"/>
      <c r="N79" s="507"/>
      <c r="O79" s="507"/>
      <c r="P79" s="507"/>
      <c r="Q79" s="507"/>
      <c r="R79" s="507"/>
      <c r="S79" s="507"/>
      <c r="T79" s="507"/>
      <c r="U79" s="507"/>
      <c r="V79" s="507"/>
      <c r="W79" s="507"/>
      <c r="X79" s="507"/>
      <c r="Y79" s="507"/>
      <c r="Z79" s="507"/>
    </row>
    <row r="80">
      <c r="A80" s="507"/>
      <c r="B80" s="572"/>
      <c r="C80" s="583" t="s">
        <v>693</v>
      </c>
      <c r="D80" s="572"/>
      <c r="E80" s="572"/>
      <c r="F80" s="572"/>
      <c r="G80" s="572"/>
      <c r="H80" s="572"/>
      <c r="I80" s="572"/>
      <c r="J80" s="666"/>
      <c r="K80" s="507"/>
      <c r="L80" s="507"/>
      <c r="M80" s="507"/>
      <c r="N80" s="507"/>
      <c r="O80" s="507"/>
      <c r="P80" s="507"/>
      <c r="Q80" s="507"/>
      <c r="R80" s="507"/>
      <c r="S80" s="507"/>
      <c r="T80" s="507"/>
      <c r="U80" s="507"/>
      <c r="V80" s="507"/>
      <c r="W80" s="507"/>
      <c r="X80" s="507"/>
      <c r="Y80" s="507"/>
      <c r="Z80" s="507"/>
    </row>
    <row r="81">
      <c r="A81" s="507"/>
      <c r="B81" s="572"/>
      <c r="C81" s="583" t="s">
        <v>126</v>
      </c>
      <c r="D81" s="572"/>
      <c r="E81" s="572"/>
      <c r="F81" s="572"/>
      <c r="G81" s="572"/>
      <c r="H81" s="572"/>
      <c r="I81" s="572"/>
      <c r="J81" s="666"/>
      <c r="K81" s="507"/>
      <c r="L81" s="507"/>
      <c r="M81" s="507"/>
      <c r="N81" s="507"/>
      <c r="O81" s="507"/>
      <c r="P81" s="507"/>
      <c r="Q81" s="507"/>
      <c r="R81" s="507"/>
      <c r="S81" s="507"/>
      <c r="T81" s="507"/>
      <c r="U81" s="507"/>
      <c r="V81" s="507"/>
      <c r="W81" s="507"/>
      <c r="X81" s="507"/>
      <c r="Y81" s="507"/>
      <c r="Z81" s="507"/>
    </row>
    <row r="82">
      <c r="A82" s="507"/>
      <c r="B82" s="572"/>
      <c r="C82" s="583" t="s">
        <v>694</v>
      </c>
      <c r="D82" s="572"/>
      <c r="E82" s="572"/>
      <c r="F82" s="572"/>
      <c r="G82" s="572"/>
      <c r="H82" s="572"/>
      <c r="I82" s="572"/>
      <c r="J82" s="666"/>
      <c r="K82" s="507"/>
      <c r="L82" s="507"/>
      <c r="M82" s="507"/>
      <c r="N82" s="507"/>
      <c r="O82" s="507"/>
      <c r="P82" s="507"/>
      <c r="Q82" s="507"/>
      <c r="R82" s="507"/>
      <c r="S82" s="507"/>
      <c r="T82" s="507"/>
      <c r="U82" s="507"/>
      <c r="V82" s="507"/>
      <c r="W82" s="507"/>
      <c r="X82" s="507"/>
      <c r="Y82" s="507"/>
      <c r="Z82" s="507"/>
    </row>
    <row r="83">
      <c r="A83" s="507"/>
      <c r="B83" s="572"/>
      <c r="C83" s="584"/>
      <c r="D83" s="585"/>
      <c r="E83" s="585"/>
      <c r="F83" s="585"/>
      <c r="G83" s="585"/>
      <c r="H83" s="585"/>
      <c r="I83" s="585"/>
      <c r="J83" s="677"/>
      <c r="K83" s="507"/>
      <c r="L83" s="507"/>
      <c r="M83" s="507"/>
      <c r="N83" s="507"/>
      <c r="O83" s="507"/>
      <c r="P83" s="507"/>
      <c r="Q83" s="507"/>
      <c r="R83" s="507"/>
      <c r="S83" s="507"/>
      <c r="T83" s="507"/>
      <c r="U83" s="507"/>
      <c r="V83" s="507"/>
      <c r="W83" s="507"/>
      <c r="X83" s="507"/>
      <c r="Y83" s="507"/>
      <c r="Z83" s="507"/>
    </row>
    <row r="84">
      <c r="A84" s="507"/>
      <c r="B84" s="572"/>
      <c r="C84" s="572"/>
      <c r="D84" s="572"/>
      <c r="E84" s="572"/>
      <c r="F84" s="572"/>
      <c r="G84" s="572"/>
      <c r="H84" s="572"/>
      <c r="I84" s="572"/>
      <c r="J84" s="507"/>
      <c r="K84" s="507"/>
      <c r="L84" s="507"/>
      <c r="M84" s="507"/>
      <c r="N84" s="507"/>
      <c r="O84" s="507"/>
      <c r="P84" s="507"/>
      <c r="Q84" s="507"/>
      <c r="R84" s="507"/>
      <c r="S84" s="507"/>
      <c r="T84" s="507"/>
      <c r="U84" s="507"/>
      <c r="V84" s="507"/>
      <c r="W84" s="507"/>
      <c r="X84" s="507"/>
      <c r="Y84" s="507"/>
      <c r="Z84" s="507"/>
    </row>
    <row r="85">
      <c r="A85" s="507"/>
      <c r="B85" s="572"/>
      <c r="C85" s="572"/>
      <c r="D85" s="572"/>
      <c r="E85" s="572"/>
      <c r="F85" s="572"/>
      <c r="G85" s="572"/>
      <c r="H85" s="572"/>
      <c r="I85" s="572"/>
      <c r="J85" s="507"/>
      <c r="K85" s="507"/>
      <c r="L85" s="507"/>
      <c r="M85" s="507"/>
      <c r="N85" s="507"/>
      <c r="O85" s="507"/>
      <c r="P85" s="507"/>
      <c r="Q85" s="507"/>
      <c r="R85" s="507"/>
      <c r="S85" s="507"/>
      <c r="T85" s="507"/>
      <c r="U85" s="507"/>
      <c r="V85" s="507"/>
      <c r="W85" s="507"/>
      <c r="X85" s="507"/>
      <c r="Y85" s="507"/>
      <c r="Z85" s="507"/>
    </row>
    <row r="86">
      <c r="A86" s="507"/>
      <c r="B86" s="572"/>
      <c r="C86" s="572"/>
      <c r="D86" s="572"/>
      <c r="E86" s="572"/>
      <c r="F86" s="572"/>
      <c r="G86" s="572"/>
      <c r="H86" s="572"/>
      <c r="I86" s="572"/>
      <c r="J86" s="507"/>
      <c r="K86" s="507"/>
      <c r="L86" s="507"/>
      <c r="M86" s="507"/>
      <c r="N86" s="507"/>
      <c r="O86" s="507"/>
      <c r="P86" s="507"/>
      <c r="Q86" s="507"/>
      <c r="R86" s="507"/>
      <c r="S86" s="507"/>
      <c r="T86" s="507"/>
      <c r="U86" s="507"/>
      <c r="V86" s="507"/>
      <c r="W86" s="507"/>
      <c r="X86" s="507"/>
      <c r="Y86" s="507"/>
      <c r="Z86" s="507"/>
    </row>
    <row r="87">
      <c r="A87" s="507"/>
      <c r="B87" s="572"/>
      <c r="C87" s="572"/>
      <c r="D87" s="572"/>
      <c r="E87" s="572"/>
      <c r="F87" s="572"/>
      <c r="G87" s="572"/>
      <c r="H87" s="572"/>
      <c r="I87" s="572"/>
      <c r="J87" s="507"/>
      <c r="K87" s="507"/>
      <c r="L87" s="507"/>
      <c r="M87" s="507"/>
      <c r="N87" s="507"/>
      <c r="O87" s="507"/>
      <c r="P87" s="507"/>
      <c r="Q87" s="507"/>
      <c r="R87" s="507"/>
      <c r="S87" s="507"/>
      <c r="T87" s="507"/>
      <c r="U87" s="507"/>
      <c r="V87" s="507"/>
      <c r="W87" s="507"/>
      <c r="X87" s="507"/>
      <c r="Y87" s="507"/>
      <c r="Z87" s="507"/>
    </row>
    <row r="88">
      <c r="A88" s="507"/>
      <c r="B88" s="572"/>
      <c r="C88" s="572"/>
      <c r="D88" s="572"/>
      <c r="E88" s="572"/>
      <c r="F88" s="572"/>
      <c r="G88" s="572"/>
      <c r="H88" s="572"/>
      <c r="I88" s="572"/>
      <c r="J88" s="507"/>
      <c r="K88" s="507"/>
      <c r="L88" s="507"/>
      <c r="M88" s="507"/>
      <c r="N88" s="507"/>
      <c r="O88" s="507"/>
      <c r="P88" s="507"/>
      <c r="Q88" s="507"/>
      <c r="R88" s="507"/>
      <c r="S88" s="507"/>
      <c r="T88" s="507"/>
      <c r="U88" s="507"/>
      <c r="V88" s="507"/>
      <c r="W88" s="507"/>
      <c r="X88" s="507"/>
      <c r="Y88" s="507"/>
      <c r="Z88" s="507"/>
    </row>
    <row r="89">
      <c r="A89" s="507"/>
      <c r="B89" s="572"/>
      <c r="C89" s="572"/>
      <c r="D89" s="572"/>
      <c r="E89" s="572"/>
      <c r="F89" s="572"/>
      <c r="G89" s="572"/>
      <c r="H89" s="572"/>
      <c r="I89" s="572"/>
      <c r="J89" s="507"/>
      <c r="K89" s="507"/>
      <c r="L89" s="507"/>
      <c r="M89" s="507"/>
      <c r="N89" s="507"/>
      <c r="O89" s="507"/>
      <c r="P89" s="507"/>
      <c r="Q89" s="507"/>
      <c r="R89" s="507"/>
      <c r="S89" s="507"/>
      <c r="T89" s="507"/>
      <c r="U89" s="507"/>
      <c r="V89" s="507"/>
      <c r="W89" s="507"/>
      <c r="X89" s="507"/>
      <c r="Y89" s="507"/>
      <c r="Z89" s="507"/>
    </row>
    <row r="90">
      <c r="A90" s="507"/>
      <c r="B90" s="572"/>
      <c r="C90" s="572"/>
      <c r="D90" s="572"/>
      <c r="E90" s="572"/>
      <c r="F90" s="572"/>
      <c r="G90" s="572"/>
      <c r="H90" s="572"/>
      <c r="I90" s="572"/>
      <c r="J90" s="507"/>
      <c r="K90" s="507"/>
      <c r="L90" s="507"/>
      <c r="M90" s="507"/>
      <c r="N90" s="507"/>
      <c r="O90" s="507"/>
      <c r="P90" s="507"/>
      <c r="Q90" s="507"/>
      <c r="R90" s="507"/>
      <c r="S90" s="507"/>
      <c r="T90" s="507"/>
      <c r="U90" s="507"/>
      <c r="V90" s="507"/>
      <c r="W90" s="507"/>
      <c r="X90" s="507"/>
      <c r="Y90" s="507"/>
      <c r="Z90" s="507"/>
    </row>
    <row r="91">
      <c r="A91" s="507"/>
      <c r="B91" s="572"/>
      <c r="C91" s="572"/>
      <c r="D91" s="572"/>
      <c r="E91" s="572"/>
      <c r="F91" s="572"/>
      <c r="G91" s="572"/>
      <c r="H91" s="572"/>
      <c r="I91" s="572"/>
      <c r="J91" s="507"/>
      <c r="K91" s="507"/>
      <c r="L91" s="507"/>
      <c r="M91" s="507"/>
      <c r="N91" s="507"/>
      <c r="O91" s="507"/>
      <c r="P91" s="507"/>
      <c r="Q91" s="507"/>
      <c r="R91" s="507"/>
      <c r="S91" s="507"/>
      <c r="T91" s="507"/>
      <c r="U91" s="507"/>
      <c r="V91" s="507"/>
      <c r="W91" s="507"/>
      <c r="X91" s="507"/>
      <c r="Y91" s="507"/>
      <c r="Z91" s="507"/>
    </row>
    <row r="92">
      <c r="A92" s="507"/>
      <c r="B92" s="572"/>
      <c r="C92" s="572"/>
      <c r="D92" s="572"/>
      <c r="E92" s="572"/>
      <c r="F92" s="572"/>
      <c r="G92" s="572"/>
      <c r="H92" s="572"/>
      <c r="I92" s="572"/>
      <c r="J92" s="507"/>
      <c r="K92" s="507"/>
      <c r="L92" s="507"/>
      <c r="M92" s="507"/>
      <c r="N92" s="507"/>
      <c r="O92" s="507"/>
      <c r="P92" s="507"/>
      <c r="Q92" s="507"/>
      <c r="R92" s="507"/>
      <c r="S92" s="507"/>
      <c r="T92" s="507"/>
      <c r="U92" s="507"/>
      <c r="V92" s="507"/>
      <c r="W92" s="507"/>
      <c r="X92" s="507"/>
      <c r="Y92" s="507"/>
      <c r="Z92" s="507"/>
    </row>
    <row r="93">
      <c r="A93" s="507"/>
      <c r="B93" s="572"/>
      <c r="C93" s="572"/>
      <c r="D93" s="572"/>
      <c r="E93" s="572"/>
      <c r="F93" s="572"/>
      <c r="G93" s="572"/>
      <c r="H93" s="572"/>
      <c r="I93" s="572"/>
      <c r="J93" s="507"/>
      <c r="K93" s="507"/>
      <c r="L93" s="507"/>
      <c r="M93" s="507"/>
      <c r="N93" s="507"/>
      <c r="O93" s="507"/>
      <c r="P93" s="507"/>
      <c r="Q93" s="507"/>
      <c r="R93" s="507"/>
      <c r="S93" s="507"/>
      <c r="T93" s="507"/>
      <c r="U93" s="507"/>
      <c r="V93" s="507"/>
      <c r="W93" s="507"/>
      <c r="X93" s="507"/>
      <c r="Y93" s="507"/>
      <c r="Z93" s="507"/>
    </row>
    <row r="94">
      <c r="A94" s="507"/>
      <c r="B94" s="572"/>
      <c r="C94" s="572"/>
      <c r="D94" s="572"/>
      <c r="E94" s="572"/>
      <c r="F94" s="572"/>
      <c r="G94" s="572"/>
      <c r="H94" s="572"/>
      <c r="I94" s="572"/>
      <c r="J94" s="507"/>
      <c r="K94" s="507"/>
      <c r="L94" s="507"/>
      <c r="M94" s="507"/>
      <c r="N94" s="507"/>
      <c r="O94" s="507"/>
      <c r="P94" s="507"/>
      <c r="Q94" s="507"/>
      <c r="R94" s="507"/>
      <c r="S94" s="507"/>
      <c r="T94" s="507"/>
      <c r="U94" s="507"/>
      <c r="V94" s="507"/>
      <c r="W94" s="507"/>
      <c r="X94" s="507"/>
      <c r="Y94" s="507"/>
      <c r="Z94" s="507"/>
    </row>
    <row r="95">
      <c r="A95" s="507"/>
      <c r="B95" s="572"/>
      <c r="C95" s="572"/>
      <c r="D95" s="572"/>
      <c r="E95" s="572"/>
      <c r="F95" s="572"/>
      <c r="G95" s="572"/>
      <c r="H95" s="572"/>
      <c r="I95" s="572"/>
      <c r="J95" s="507"/>
      <c r="K95" s="507"/>
      <c r="L95" s="507"/>
      <c r="M95" s="507"/>
      <c r="N95" s="507"/>
      <c r="O95" s="507"/>
      <c r="P95" s="507"/>
      <c r="Q95" s="507"/>
      <c r="R95" s="507"/>
      <c r="S95" s="507"/>
      <c r="T95" s="507"/>
      <c r="U95" s="507"/>
      <c r="V95" s="507"/>
      <c r="W95" s="507"/>
      <c r="X95" s="507"/>
      <c r="Y95" s="507"/>
      <c r="Z95" s="507"/>
    </row>
    <row r="96">
      <c r="A96" s="507"/>
      <c r="B96" s="572"/>
      <c r="C96" s="572"/>
      <c r="D96" s="572"/>
      <c r="E96" s="572"/>
      <c r="F96" s="572"/>
      <c r="G96" s="572"/>
      <c r="H96" s="572"/>
      <c r="I96" s="572"/>
      <c r="J96" s="507"/>
      <c r="K96" s="507"/>
      <c r="L96" s="507"/>
      <c r="M96" s="507"/>
      <c r="N96" s="507"/>
      <c r="O96" s="507"/>
      <c r="P96" s="507"/>
      <c r="Q96" s="507"/>
      <c r="R96" s="507"/>
      <c r="S96" s="507"/>
      <c r="T96" s="507"/>
      <c r="U96" s="507"/>
      <c r="V96" s="507"/>
      <c r="W96" s="507"/>
      <c r="X96" s="507"/>
      <c r="Y96" s="507"/>
      <c r="Z96" s="507"/>
    </row>
    <row r="97">
      <c r="A97" s="507"/>
      <c r="B97" s="572"/>
      <c r="C97" s="572"/>
      <c r="D97" s="572"/>
      <c r="E97" s="572"/>
      <c r="F97" s="572"/>
      <c r="G97" s="572"/>
      <c r="H97" s="572"/>
      <c r="I97" s="572"/>
      <c r="J97" s="507"/>
      <c r="K97" s="507"/>
      <c r="L97" s="507"/>
      <c r="M97" s="507"/>
      <c r="N97" s="507"/>
      <c r="O97" s="507"/>
      <c r="P97" s="507"/>
      <c r="Q97" s="507"/>
      <c r="R97" s="507"/>
      <c r="S97" s="507"/>
      <c r="T97" s="507"/>
      <c r="U97" s="507"/>
      <c r="V97" s="507"/>
      <c r="W97" s="507"/>
      <c r="X97" s="507"/>
      <c r="Y97" s="507"/>
      <c r="Z97" s="507"/>
    </row>
    <row r="98">
      <c r="A98" s="507"/>
      <c r="B98" s="572"/>
      <c r="C98" s="572"/>
      <c r="D98" s="572"/>
      <c r="E98" s="572"/>
      <c r="F98" s="572"/>
      <c r="G98" s="572"/>
      <c r="H98" s="572"/>
      <c r="I98" s="572"/>
      <c r="J98" s="507"/>
      <c r="K98" s="507"/>
      <c r="L98" s="507"/>
      <c r="M98" s="507"/>
      <c r="N98" s="507"/>
      <c r="O98" s="507"/>
      <c r="P98" s="507"/>
      <c r="Q98" s="507"/>
      <c r="R98" s="507"/>
      <c r="S98" s="507"/>
      <c r="T98" s="507"/>
      <c r="U98" s="507"/>
      <c r="V98" s="507"/>
      <c r="W98" s="507"/>
      <c r="X98" s="507"/>
      <c r="Y98" s="507"/>
      <c r="Z98" s="507"/>
    </row>
    <row r="99">
      <c r="A99" s="507"/>
      <c r="B99" s="572"/>
      <c r="C99" s="572"/>
      <c r="D99" s="572"/>
      <c r="E99" s="572"/>
      <c r="F99" s="572"/>
      <c r="G99" s="572"/>
      <c r="H99" s="572"/>
      <c r="I99" s="572"/>
      <c r="J99" s="507"/>
      <c r="K99" s="507"/>
      <c r="L99" s="507"/>
      <c r="M99" s="507"/>
      <c r="N99" s="507"/>
      <c r="O99" s="507"/>
      <c r="P99" s="507"/>
      <c r="Q99" s="507"/>
      <c r="R99" s="507"/>
      <c r="S99" s="507"/>
      <c r="T99" s="507"/>
      <c r="U99" s="507"/>
      <c r="V99" s="507"/>
      <c r="W99" s="507"/>
      <c r="X99" s="507"/>
      <c r="Y99" s="507"/>
      <c r="Z99" s="507"/>
    </row>
    <row r="100">
      <c r="A100" s="507"/>
      <c r="B100" s="572"/>
      <c r="C100" s="572"/>
      <c r="D100" s="572"/>
      <c r="E100" s="572"/>
      <c r="F100" s="572"/>
      <c r="G100" s="572"/>
      <c r="H100" s="572"/>
      <c r="I100" s="572"/>
      <c r="J100" s="507"/>
      <c r="K100" s="507"/>
      <c r="L100" s="507"/>
      <c r="M100" s="507"/>
      <c r="N100" s="507"/>
      <c r="O100" s="507"/>
      <c r="P100" s="507"/>
      <c r="Q100" s="507"/>
      <c r="R100" s="507"/>
      <c r="S100" s="507"/>
      <c r="T100" s="507"/>
      <c r="U100" s="507"/>
      <c r="V100" s="507"/>
      <c r="W100" s="507"/>
      <c r="X100" s="507"/>
      <c r="Y100" s="507"/>
      <c r="Z100" s="507"/>
    </row>
    <row r="101">
      <c r="A101" s="507"/>
      <c r="B101" s="572"/>
      <c r="C101" s="572"/>
      <c r="D101" s="572"/>
      <c r="E101" s="572"/>
      <c r="F101" s="572"/>
      <c r="G101" s="572"/>
      <c r="H101" s="572"/>
      <c r="I101" s="572"/>
      <c r="J101" s="507"/>
      <c r="K101" s="507"/>
      <c r="L101" s="507"/>
      <c r="M101" s="507"/>
      <c r="N101" s="507"/>
      <c r="O101" s="507"/>
      <c r="P101" s="507"/>
      <c r="Q101" s="507"/>
      <c r="R101" s="507"/>
      <c r="S101" s="507"/>
      <c r="T101" s="507"/>
      <c r="U101" s="507"/>
      <c r="V101" s="507"/>
      <c r="W101" s="507"/>
      <c r="X101" s="507"/>
      <c r="Y101" s="507"/>
      <c r="Z101" s="507"/>
    </row>
    <row r="102">
      <c r="A102" s="507"/>
      <c r="B102" s="572"/>
      <c r="C102" s="572"/>
      <c r="D102" s="572"/>
      <c r="E102" s="572"/>
      <c r="F102" s="572"/>
      <c r="G102" s="572"/>
      <c r="H102" s="572"/>
      <c r="I102" s="572"/>
      <c r="J102" s="507"/>
      <c r="K102" s="507"/>
      <c r="L102" s="507"/>
      <c r="M102" s="507"/>
      <c r="N102" s="507"/>
      <c r="O102" s="507"/>
      <c r="P102" s="507"/>
      <c r="Q102" s="507"/>
      <c r="R102" s="507"/>
      <c r="S102" s="507"/>
      <c r="T102" s="507"/>
      <c r="U102" s="507"/>
      <c r="V102" s="507"/>
      <c r="W102" s="507"/>
      <c r="X102" s="507"/>
      <c r="Y102" s="507"/>
      <c r="Z102" s="507"/>
    </row>
    <row r="103">
      <c r="A103" s="507"/>
      <c r="B103" s="572"/>
      <c r="C103" s="572"/>
      <c r="D103" s="572"/>
      <c r="E103" s="572"/>
      <c r="F103" s="572"/>
      <c r="G103" s="572"/>
      <c r="H103" s="572"/>
      <c r="I103" s="572"/>
      <c r="J103" s="507"/>
      <c r="K103" s="507"/>
      <c r="L103" s="507"/>
      <c r="M103" s="507"/>
      <c r="N103" s="507"/>
      <c r="O103" s="507"/>
      <c r="P103" s="507"/>
      <c r="Q103" s="507"/>
      <c r="R103" s="507"/>
      <c r="S103" s="507"/>
      <c r="T103" s="507"/>
      <c r="U103" s="507"/>
      <c r="V103" s="507"/>
      <c r="W103" s="507"/>
      <c r="X103" s="507"/>
      <c r="Y103" s="507"/>
      <c r="Z103" s="507"/>
    </row>
    <row r="104">
      <c r="A104" s="507"/>
      <c r="B104" s="572"/>
      <c r="C104" s="572"/>
      <c r="D104" s="572"/>
      <c r="E104" s="572"/>
      <c r="F104" s="572"/>
      <c r="G104" s="572"/>
      <c r="H104" s="572"/>
      <c r="I104" s="572"/>
      <c r="J104" s="507"/>
      <c r="K104" s="507"/>
      <c r="L104" s="507"/>
      <c r="M104" s="507"/>
      <c r="N104" s="507"/>
      <c r="O104" s="507"/>
      <c r="P104" s="507"/>
      <c r="Q104" s="507"/>
      <c r="R104" s="507"/>
      <c r="S104" s="507"/>
      <c r="T104" s="507"/>
      <c r="U104" s="507"/>
      <c r="V104" s="507"/>
      <c r="W104" s="507"/>
      <c r="X104" s="507"/>
      <c r="Y104" s="507"/>
      <c r="Z104" s="507"/>
    </row>
    <row r="105">
      <c r="A105" s="507"/>
      <c r="B105" s="572"/>
      <c r="C105" s="572"/>
      <c r="D105" s="572"/>
      <c r="E105" s="572"/>
      <c r="F105" s="572"/>
      <c r="G105" s="572"/>
      <c r="H105" s="572"/>
      <c r="I105" s="572"/>
      <c r="J105" s="507"/>
      <c r="K105" s="507"/>
      <c r="L105" s="507"/>
      <c r="M105" s="507"/>
      <c r="N105" s="507"/>
      <c r="O105" s="507"/>
      <c r="P105" s="507"/>
      <c r="Q105" s="507"/>
      <c r="R105" s="507"/>
      <c r="S105" s="507"/>
      <c r="T105" s="507"/>
      <c r="U105" s="507"/>
      <c r="V105" s="507"/>
      <c r="W105" s="507"/>
      <c r="X105" s="507"/>
      <c r="Y105" s="507"/>
      <c r="Z105" s="507"/>
    </row>
    <row r="106">
      <c r="A106" s="507"/>
      <c r="B106" s="572"/>
      <c r="C106" s="572"/>
      <c r="D106" s="572"/>
      <c r="E106" s="572"/>
      <c r="F106" s="572"/>
      <c r="G106" s="572"/>
      <c r="H106" s="572"/>
      <c r="I106" s="572"/>
      <c r="J106" s="507"/>
      <c r="K106" s="507"/>
      <c r="L106" s="507"/>
      <c r="M106" s="507"/>
      <c r="N106" s="507"/>
      <c r="O106" s="507"/>
      <c r="P106" s="507"/>
      <c r="Q106" s="507"/>
      <c r="R106" s="507"/>
      <c r="S106" s="507"/>
      <c r="T106" s="507"/>
      <c r="U106" s="507"/>
      <c r="V106" s="507"/>
      <c r="W106" s="507"/>
      <c r="X106" s="507"/>
      <c r="Y106" s="507"/>
      <c r="Z106" s="507"/>
    </row>
    <row r="107">
      <c r="A107" s="507"/>
      <c r="B107" s="572"/>
      <c r="C107" s="572"/>
      <c r="D107" s="572"/>
      <c r="E107" s="572"/>
      <c r="F107" s="572"/>
      <c r="G107" s="572"/>
      <c r="H107" s="572"/>
      <c r="I107" s="572"/>
      <c r="J107" s="507"/>
      <c r="K107" s="507"/>
      <c r="L107" s="507"/>
      <c r="M107" s="507"/>
      <c r="N107" s="507"/>
      <c r="O107" s="507"/>
      <c r="P107" s="507"/>
      <c r="Q107" s="507"/>
      <c r="R107" s="507"/>
      <c r="S107" s="507"/>
      <c r="T107" s="507"/>
      <c r="U107" s="507"/>
      <c r="V107" s="507"/>
      <c r="W107" s="507"/>
      <c r="X107" s="507"/>
      <c r="Y107" s="507"/>
      <c r="Z107" s="507"/>
    </row>
    <row r="108">
      <c r="A108" s="507"/>
      <c r="B108" s="572"/>
      <c r="C108" s="572"/>
      <c r="D108" s="572"/>
      <c r="E108" s="572"/>
      <c r="F108" s="572"/>
      <c r="G108" s="572"/>
      <c r="H108" s="572"/>
      <c r="I108" s="572"/>
      <c r="J108" s="507"/>
      <c r="K108" s="507"/>
      <c r="L108" s="507"/>
      <c r="M108" s="507"/>
      <c r="N108" s="507"/>
      <c r="O108" s="507"/>
      <c r="P108" s="507"/>
      <c r="Q108" s="507"/>
      <c r="R108" s="507"/>
      <c r="S108" s="507"/>
      <c r="T108" s="507"/>
      <c r="U108" s="507"/>
      <c r="V108" s="507"/>
      <c r="W108" s="507"/>
      <c r="X108" s="507"/>
      <c r="Y108" s="507"/>
      <c r="Z108" s="507"/>
    </row>
    <row r="109">
      <c r="A109" s="507"/>
      <c r="B109" s="572"/>
      <c r="C109" s="572"/>
      <c r="D109" s="572"/>
      <c r="E109" s="572"/>
      <c r="F109" s="572"/>
      <c r="G109" s="572"/>
      <c r="H109" s="572"/>
      <c r="I109" s="572"/>
      <c r="J109" s="507"/>
      <c r="K109" s="507"/>
      <c r="L109" s="507"/>
      <c r="M109" s="507"/>
      <c r="N109" s="507"/>
      <c r="O109" s="507"/>
      <c r="P109" s="507"/>
      <c r="Q109" s="507"/>
      <c r="R109" s="507"/>
      <c r="S109" s="507"/>
      <c r="T109" s="507"/>
      <c r="U109" s="507"/>
      <c r="V109" s="507"/>
      <c r="W109" s="507"/>
      <c r="X109" s="507"/>
      <c r="Y109" s="507"/>
      <c r="Z109" s="507"/>
    </row>
    <row r="110">
      <c r="A110" s="507"/>
      <c r="B110" s="572"/>
      <c r="C110" s="572"/>
      <c r="D110" s="572"/>
      <c r="E110" s="572"/>
      <c r="F110" s="572"/>
      <c r="G110" s="572"/>
      <c r="H110" s="572"/>
      <c r="I110" s="572"/>
      <c r="J110" s="507"/>
      <c r="K110" s="507"/>
      <c r="L110" s="507"/>
      <c r="M110" s="507"/>
      <c r="N110" s="507"/>
      <c r="O110" s="507"/>
      <c r="P110" s="507"/>
      <c r="Q110" s="507"/>
      <c r="R110" s="507"/>
      <c r="S110" s="507"/>
      <c r="T110" s="507"/>
      <c r="U110" s="507"/>
      <c r="V110" s="507"/>
      <c r="W110" s="507"/>
      <c r="X110" s="507"/>
      <c r="Y110" s="507"/>
      <c r="Z110" s="507"/>
    </row>
    <row r="111">
      <c r="A111" s="507"/>
      <c r="B111" s="572"/>
      <c r="C111" s="572"/>
      <c r="D111" s="572"/>
      <c r="E111" s="572"/>
      <c r="F111" s="572"/>
      <c r="G111" s="572"/>
      <c r="H111" s="572"/>
      <c r="I111" s="572"/>
      <c r="J111" s="507"/>
      <c r="K111" s="507"/>
      <c r="L111" s="507"/>
      <c r="M111" s="507"/>
      <c r="N111" s="507"/>
      <c r="O111" s="507"/>
      <c r="P111" s="507"/>
      <c r="Q111" s="507"/>
      <c r="R111" s="507"/>
      <c r="S111" s="507"/>
      <c r="T111" s="507"/>
      <c r="U111" s="507"/>
      <c r="V111" s="507"/>
      <c r="W111" s="507"/>
      <c r="X111" s="507"/>
      <c r="Y111" s="507"/>
      <c r="Z111" s="507"/>
    </row>
    <row r="112">
      <c r="A112" s="507"/>
      <c r="B112" s="572"/>
      <c r="C112" s="572"/>
      <c r="D112" s="572"/>
      <c r="E112" s="572"/>
      <c r="F112" s="572"/>
      <c r="G112" s="572"/>
      <c r="H112" s="572"/>
      <c r="I112" s="572"/>
      <c r="J112" s="507"/>
      <c r="K112" s="507"/>
      <c r="L112" s="507"/>
      <c r="M112" s="507"/>
      <c r="N112" s="507"/>
      <c r="O112" s="507"/>
      <c r="P112" s="507"/>
      <c r="Q112" s="507"/>
      <c r="R112" s="507"/>
      <c r="S112" s="507"/>
      <c r="T112" s="507"/>
      <c r="U112" s="507"/>
      <c r="V112" s="507"/>
      <c r="W112" s="507"/>
      <c r="X112" s="507"/>
      <c r="Y112" s="507"/>
      <c r="Z112" s="507"/>
    </row>
    <row r="113">
      <c r="A113" s="507"/>
      <c r="B113" s="572"/>
      <c r="C113" s="572"/>
      <c r="D113" s="572"/>
      <c r="E113" s="572"/>
      <c r="F113" s="572"/>
      <c r="G113" s="572"/>
      <c r="H113" s="572"/>
      <c r="I113" s="572"/>
      <c r="J113" s="507"/>
      <c r="K113" s="507"/>
      <c r="L113" s="507"/>
      <c r="M113" s="507"/>
      <c r="N113" s="507"/>
      <c r="O113" s="507"/>
      <c r="P113" s="507"/>
      <c r="Q113" s="507"/>
      <c r="R113" s="507"/>
      <c r="S113" s="507"/>
      <c r="T113" s="507"/>
      <c r="U113" s="507"/>
      <c r="V113" s="507"/>
      <c r="W113" s="507"/>
      <c r="X113" s="507"/>
      <c r="Y113" s="507"/>
      <c r="Z113" s="507"/>
    </row>
    <row r="114">
      <c r="A114" s="507"/>
      <c r="B114" s="572"/>
      <c r="C114" s="572"/>
      <c r="D114" s="572"/>
      <c r="E114" s="572"/>
      <c r="F114" s="572"/>
      <c r="G114" s="572"/>
      <c r="H114" s="572"/>
      <c r="I114" s="572"/>
      <c r="J114" s="507"/>
      <c r="K114" s="507"/>
      <c r="L114" s="507"/>
      <c r="M114" s="507"/>
      <c r="N114" s="507"/>
      <c r="O114" s="507"/>
      <c r="P114" s="507"/>
      <c r="Q114" s="507"/>
      <c r="R114" s="507"/>
      <c r="S114" s="507"/>
      <c r="T114" s="507"/>
      <c r="U114" s="507"/>
      <c r="V114" s="507"/>
      <c r="W114" s="507"/>
      <c r="X114" s="507"/>
      <c r="Y114" s="507"/>
      <c r="Z114" s="507"/>
    </row>
    <row r="115">
      <c r="A115" s="507"/>
      <c r="B115" s="572"/>
      <c r="C115" s="572"/>
      <c r="D115" s="572"/>
      <c r="E115" s="572"/>
      <c r="F115" s="572"/>
      <c r="G115" s="572"/>
      <c r="H115" s="572"/>
      <c r="I115" s="572"/>
      <c r="J115" s="507"/>
      <c r="K115" s="507"/>
      <c r="L115" s="507"/>
      <c r="M115" s="507"/>
      <c r="N115" s="507"/>
      <c r="O115" s="507"/>
      <c r="P115" s="507"/>
      <c r="Q115" s="507"/>
      <c r="R115" s="507"/>
      <c r="S115" s="507"/>
      <c r="T115" s="507"/>
      <c r="U115" s="507"/>
      <c r="V115" s="507"/>
      <c r="W115" s="507"/>
      <c r="X115" s="507"/>
      <c r="Y115" s="507"/>
      <c r="Z115" s="507"/>
    </row>
    <row r="116">
      <c r="A116" s="507"/>
      <c r="B116" s="572"/>
      <c r="C116" s="572"/>
      <c r="D116" s="572"/>
      <c r="E116" s="572"/>
      <c r="F116" s="572"/>
      <c r="G116" s="572"/>
      <c r="H116" s="572"/>
      <c r="I116" s="572"/>
      <c r="J116" s="507"/>
      <c r="K116" s="507"/>
      <c r="L116" s="507"/>
      <c r="M116" s="507"/>
      <c r="N116" s="507"/>
      <c r="O116" s="507"/>
      <c r="P116" s="507"/>
      <c r="Q116" s="507"/>
      <c r="R116" s="507"/>
      <c r="S116" s="507"/>
      <c r="T116" s="507"/>
      <c r="U116" s="507"/>
      <c r="V116" s="507"/>
      <c r="W116" s="507"/>
      <c r="X116" s="507"/>
      <c r="Y116" s="507"/>
      <c r="Z116" s="507"/>
    </row>
    <row r="117">
      <c r="A117" s="507"/>
      <c r="B117" s="572"/>
      <c r="C117" s="572"/>
      <c r="D117" s="572"/>
      <c r="E117" s="572"/>
      <c r="F117" s="572"/>
      <c r="G117" s="572"/>
      <c r="H117" s="572"/>
      <c r="I117" s="572"/>
      <c r="J117" s="507"/>
      <c r="K117" s="507"/>
      <c r="L117" s="507"/>
      <c r="M117" s="507"/>
      <c r="N117" s="507"/>
      <c r="O117" s="507"/>
      <c r="P117" s="507"/>
      <c r="Q117" s="507"/>
      <c r="R117" s="507"/>
      <c r="S117" s="507"/>
      <c r="T117" s="507"/>
      <c r="U117" s="507"/>
      <c r="V117" s="507"/>
      <c r="W117" s="507"/>
      <c r="X117" s="507"/>
      <c r="Y117" s="507"/>
      <c r="Z117" s="507"/>
    </row>
    <row r="118">
      <c r="A118" s="507"/>
      <c r="B118" s="572"/>
      <c r="C118" s="572"/>
      <c r="D118" s="572"/>
      <c r="E118" s="572"/>
      <c r="F118" s="572"/>
      <c r="G118" s="572"/>
      <c r="H118" s="572"/>
      <c r="I118" s="572"/>
      <c r="J118" s="507"/>
      <c r="K118" s="507"/>
      <c r="L118" s="507"/>
      <c r="M118" s="507"/>
      <c r="N118" s="507"/>
      <c r="O118" s="507"/>
      <c r="P118" s="507"/>
      <c r="Q118" s="507"/>
      <c r="R118" s="507"/>
      <c r="S118" s="507"/>
      <c r="T118" s="507"/>
      <c r="U118" s="507"/>
      <c r="V118" s="507"/>
      <c r="W118" s="507"/>
      <c r="X118" s="507"/>
      <c r="Y118" s="507"/>
      <c r="Z118" s="507"/>
    </row>
    <row r="119">
      <c r="A119" s="507"/>
      <c r="B119" s="572"/>
      <c r="C119" s="572"/>
      <c r="D119" s="572"/>
      <c r="E119" s="572"/>
      <c r="F119" s="572"/>
      <c r="G119" s="572"/>
      <c r="H119" s="572"/>
      <c r="I119" s="572"/>
      <c r="J119" s="507"/>
      <c r="K119" s="507"/>
      <c r="L119" s="507"/>
      <c r="M119" s="507"/>
      <c r="N119" s="507"/>
      <c r="O119" s="507"/>
      <c r="P119" s="507"/>
      <c r="Q119" s="507"/>
      <c r="R119" s="507"/>
      <c r="S119" s="507"/>
      <c r="T119" s="507"/>
      <c r="U119" s="507"/>
      <c r="V119" s="507"/>
      <c r="W119" s="507"/>
      <c r="X119" s="507"/>
      <c r="Y119" s="507"/>
      <c r="Z119" s="507"/>
    </row>
    <row r="120">
      <c r="A120" s="507"/>
      <c r="B120" s="572"/>
      <c r="C120" s="572"/>
      <c r="D120" s="572"/>
      <c r="E120" s="572"/>
      <c r="F120" s="572"/>
      <c r="G120" s="572"/>
      <c r="H120" s="572"/>
      <c r="I120" s="572"/>
      <c r="J120" s="507"/>
      <c r="K120" s="507"/>
      <c r="L120" s="507"/>
      <c r="M120" s="507"/>
      <c r="N120" s="507"/>
      <c r="O120" s="507"/>
      <c r="P120" s="507"/>
      <c r="Q120" s="507"/>
      <c r="R120" s="507"/>
      <c r="S120" s="507"/>
      <c r="T120" s="507"/>
      <c r="U120" s="507"/>
      <c r="V120" s="507"/>
      <c r="W120" s="507"/>
      <c r="X120" s="507"/>
      <c r="Y120" s="507"/>
      <c r="Z120" s="507"/>
    </row>
    <row r="121">
      <c r="A121" s="507"/>
      <c r="B121" s="572"/>
      <c r="C121" s="572"/>
      <c r="D121" s="572"/>
      <c r="E121" s="572"/>
      <c r="F121" s="572"/>
      <c r="G121" s="572"/>
      <c r="H121" s="572"/>
      <c r="I121" s="572"/>
      <c r="J121" s="507"/>
      <c r="K121" s="507"/>
      <c r="L121" s="507"/>
      <c r="M121" s="507"/>
      <c r="N121" s="507"/>
      <c r="O121" s="507"/>
      <c r="P121" s="507"/>
      <c r="Q121" s="507"/>
      <c r="R121" s="507"/>
      <c r="S121" s="507"/>
      <c r="T121" s="507"/>
      <c r="U121" s="507"/>
      <c r="V121" s="507"/>
      <c r="W121" s="507"/>
      <c r="X121" s="507"/>
      <c r="Y121" s="507"/>
      <c r="Z121" s="507"/>
    </row>
    <row r="122">
      <c r="A122" s="507"/>
      <c r="B122" s="572"/>
      <c r="C122" s="572"/>
      <c r="D122" s="572"/>
      <c r="E122" s="572"/>
      <c r="F122" s="572"/>
      <c r="G122" s="572"/>
      <c r="H122" s="572"/>
      <c r="I122" s="572"/>
      <c r="J122" s="507"/>
      <c r="K122" s="507"/>
      <c r="L122" s="507"/>
      <c r="M122" s="507"/>
      <c r="N122" s="507"/>
      <c r="O122" s="507"/>
      <c r="P122" s="507"/>
      <c r="Q122" s="507"/>
      <c r="R122" s="507"/>
      <c r="S122" s="507"/>
      <c r="T122" s="507"/>
      <c r="U122" s="507"/>
      <c r="V122" s="507"/>
      <c r="W122" s="507"/>
      <c r="X122" s="507"/>
      <c r="Y122" s="507"/>
      <c r="Z122" s="507"/>
    </row>
    <row r="123">
      <c r="A123" s="507"/>
      <c r="B123" s="572"/>
      <c r="C123" s="572"/>
      <c r="D123" s="572"/>
      <c r="E123" s="572"/>
      <c r="F123" s="572"/>
      <c r="G123" s="572"/>
      <c r="H123" s="572"/>
      <c r="I123" s="572"/>
      <c r="J123" s="507"/>
      <c r="K123" s="507"/>
      <c r="L123" s="507"/>
      <c r="M123" s="507"/>
      <c r="N123" s="507"/>
      <c r="O123" s="507"/>
      <c r="P123" s="507"/>
      <c r="Q123" s="507"/>
      <c r="R123" s="507"/>
      <c r="S123" s="507"/>
      <c r="T123" s="507"/>
      <c r="U123" s="507"/>
      <c r="V123" s="507"/>
      <c r="W123" s="507"/>
      <c r="X123" s="507"/>
      <c r="Y123" s="507"/>
      <c r="Z123" s="507"/>
    </row>
    <row r="124">
      <c r="A124" s="507"/>
      <c r="B124" s="572"/>
      <c r="C124" s="572"/>
      <c r="D124" s="572"/>
      <c r="E124" s="572"/>
      <c r="F124" s="572"/>
      <c r="G124" s="572"/>
      <c r="H124" s="572"/>
      <c r="I124" s="572"/>
      <c r="J124" s="507"/>
      <c r="K124" s="507"/>
      <c r="L124" s="507"/>
      <c r="M124" s="507"/>
      <c r="N124" s="507"/>
      <c r="O124" s="507"/>
      <c r="P124" s="507"/>
      <c r="Q124" s="507"/>
      <c r="R124" s="507"/>
      <c r="S124" s="507"/>
      <c r="T124" s="507"/>
      <c r="U124" s="507"/>
      <c r="V124" s="507"/>
      <c r="W124" s="507"/>
      <c r="X124" s="507"/>
      <c r="Y124" s="507"/>
      <c r="Z124" s="507"/>
    </row>
    <row r="125">
      <c r="A125" s="507"/>
      <c r="B125" s="572"/>
      <c r="C125" s="572"/>
      <c r="D125" s="572"/>
      <c r="E125" s="572"/>
      <c r="F125" s="572"/>
      <c r="G125" s="572"/>
      <c r="H125" s="572"/>
      <c r="I125" s="572"/>
      <c r="J125" s="507"/>
      <c r="K125" s="507"/>
      <c r="L125" s="507"/>
      <c r="M125" s="507"/>
      <c r="N125" s="507"/>
      <c r="O125" s="507"/>
      <c r="P125" s="507"/>
      <c r="Q125" s="507"/>
      <c r="R125" s="507"/>
      <c r="S125" s="507"/>
      <c r="T125" s="507"/>
      <c r="U125" s="507"/>
      <c r="V125" s="507"/>
      <c r="W125" s="507"/>
      <c r="X125" s="507"/>
      <c r="Y125" s="507"/>
      <c r="Z125" s="507"/>
    </row>
    <row r="126">
      <c r="A126" s="507"/>
      <c r="B126" s="572"/>
      <c r="C126" s="572"/>
      <c r="D126" s="572"/>
      <c r="E126" s="572"/>
      <c r="F126" s="572"/>
      <c r="G126" s="572"/>
      <c r="H126" s="572"/>
      <c r="I126" s="572"/>
      <c r="J126" s="507"/>
      <c r="K126" s="507"/>
      <c r="L126" s="507"/>
      <c r="M126" s="507"/>
      <c r="N126" s="507"/>
      <c r="O126" s="507"/>
      <c r="P126" s="507"/>
      <c r="Q126" s="507"/>
      <c r="R126" s="507"/>
      <c r="S126" s="507"/>
      <c r="T126" s="507"/>
      <c r="U126" s="507"/>
      <c r="V126" s="507"/>
      <c r="W126" s="507"/>
      <c r="X126" s="507"/>
      <c r="Y126" s="507"/>
      <c r="Z126" s="507"/>
    </row>
    <row r="127">
      <c r="A127" s="507"/>
      <c r="B127" s="572"/>
      <c r="C127" s="572"/>
      <c r="D127" s="572"/>
      <c r="E127" s="572"/>
      <c r="F127" s="572"/>
      <c r="G127" s="572"/>
      <c r="H127" s="572"/>
      <c r="I127" s="572"/>
      <c r="J127" s="507"/>
      <c r="K127" s="507"/>
      <c r="L127" s="507"/>
      <c r="M127" s="507"/>
      <c r="N127" s="507"/>
      <c r="O127" s="507"/>
      <c r="P127" s="507"/>
      <c r="Q127" s="507"/>
      <c r="R127" s="507"/>
      <c r="S127" s="507"/>
      <c r="T127" s="507"/>
      <c r="U127" s="507"/>
      <c r="V127" s="507"/>
      <c r="W127" s="507"/>
      <c r="X127" s="507"/>
      <c r="Y127" s="507"/>
      <c r="Z127" s="507"/>
    </row>
    <row r="128">
      <c r="A128" s="507"/>
      <c r="B128" s="572"/>
      <c r="C128" s="572"/>
      <c r="D128" s="572"/>
      <c r="E128" s="572"/>
      <c r="F128" s="572"/>
      <c r="G128" s="572"/>
      <c r="H128" s="572"/>
      <c r="I128" s="572"/>
      <c r="J128" s="507"/>
      <c r="K128" s="507"/>
      <c r="L128" s="507"/>
      <c r="M128" s="507"/>
      <c r="N128" s="507"/>
      <c r="O128" s="507"/>
      <c r="P128" s="507"/>
      <c r="Q128" s="507"/>
      <c r="R128" s="507"/>
      <c r="S128" s="507"/>
      <c r="T128" s="507"/>
      <c r="U128" s="507"/>
      <c r="V128" s="507"/>
      <c r="W128" s="507"/>
      <c r="X128" s="507"/>
      <c r="Y128" s="507"/>
      <c r="Z128" s="507"/>
    </row>
    <row r="129">
      <c r="A129" s="507"/>
      <c r="B129" s="572"/>
      <c r="C129" s="572"/>
      <c r="D129" s="572"/>
      <c r="E129" s="572"/>
      <c r="F129" s="572"/>
      <c r="G129" s="572"/>
      <c r="H129" s="572"/>
      <c r="I129" s="572"/>
      <c r="J129" s="507"/>
      <c r="K129" s="507"/>
      <c r="L129" s="507"/>
      <c r="M129" s="507"/>
      <c r="N129" s="507"/>
      <c r="O129" s="507"/>
      <c r="P129" s="507"/>
      <c r="Q129" s="507"/>
      <c r="R129" s="507"/>
      <c r="S129" s="507"/>
      <c r="T129" s="507"/>
      <c r="U129" s="507"/>
      <c r="V129" s="507"/>
      <c r="W129" s="507"/>
      <c r="X129" s="507"/>
      <c r="Y129" s="507"/>
      <c r="Z129" s="507"/>
    </row>
    <row r="130">
      <c r="A130" s="507"/>
      <c r="B130" s="572"/>
      <c r="C130" s="572"/>
      <c r="D130" s="572"/>
      <c r="E130" s="572"/>
      <c r="F130" s="572"/>
      <c r="G130" s="572"/>
      <c r="H130" s="572"/>
      <c r="I130" s="572"/>
      <c r="J130" s="507"/>
      <c r="K130" s="507"/>
      <c r="L130" s="507"/>
      <c r="M130" s="507"/>
      <c r="N130" s="507"/>
      <c r="O130" s="507"/>
      <c r="P130" s="507"/>
      <c r="Q130" s="507"/>
      <c r="R130" s="507"/>
      <c r="S130" s="507"/>
      <c r="T130" s="507"/>
      <c r="U130" s="507"/>
      <c r="V130" s="507"/>
      <c r="W130" s="507"/>
      <c r="X130" s="507"/>
      <c r="Y130" s="507"/>
      <c r="Z130" s="507"/>
    </row>
    <row r="131">
      <c r="A131" s="507"/>
      <c r="B131" s="572"/>
      <c r="C131" s="572"/>
      <c r="D131" s="572"/>
      <c r="E131" s="572"/>
      <c r="F131" s="572"/>
      <c r="G131" s="572"/>
      <c r="H131" s="572"/>
      <c r="I131" s="572"/>
      <c r="J131" s="507"/>
      <c r="K131" s="507"/>
      <c r="L131" s="507"/>
      <c r="M131" s="507"/>
      <c r="N131" s="507"/>
      <c r="O131" s="507"/>
      <c r="P131" s="507"/>
      <c r="Q131" s="507"/>
      <c r="R131" s="507"/>
      <c r="S131" s="507"/>
      <c r="T131" s="507"/>
      <c r="U131" s="507"/>
      <c r="V131" s="507"/>
      <c r="W131" s="507"/>
      <c r="X131" s="507"/>
      <c r="Y131" s="507"/>
      <c r="Z131" s="507"/>
    </row>
    <row r="132">
      <c r="A132" s="507"/>
      <c r="B132" s="572"/>
      <c r="C132" s="572"/>
      <c r="D132" s="572"/>
      <c r="E132" s="572"/>
      <c r="F132" s="572"/>
      <c r="G132" s="572"/>
      <c r="H132" s="572"/>
      <c r="I132" s="572"/>
      <c r="J132" s="507"/>
      <c r="K132" s="507"/>
      <c r="L132" s="507"/>
      <c r="M132" s="507"/>
      <c r="N132" s="507"/>
      <c r="O132" s="507"/>
      <c r="P132" s="507"/>
      <c r="Q132" s="507"/>
      <c r="R132" s="507"/>
      <c r="S132" s="507"/>
      <c r="T132" s="507"/>
      <c r="U132" s="507"/>
      <c r="V132" s="507"/>
      <c r="W132" s="507"/>
      <c r="X132" s="507"/>
      <c r="Y132" s="507"/>
      <c r="Z132" s="507"/>
    </row>
    <row r="133">
      <c r="A133" s="507"/>
      <c r="B133" s="572"/>
      <c r="C133" s="572"/>
      <c r="D133" s="572"/>
      <c r="E133" s="572"/>
      <c r="F133" s="572"/>
      <c r="G133" s="572"/>
      <c r="H133" s="572"/>
      <c r="I133" s="572"/>
      <c r="J133" s="507"/>
      <c r="K133" s="507"/>
      <c r="L133" s="507"/>
      <c r="M133" s="507"/>
      <c r="N133" s="507"/>
      <c r="O133" s="507"/>
      <c r="P133" s="507"/>
      <c r="Q133" s="507"/>
      <c r="R133" s="507"/>
      <c r="S133" s="507"/>
      <c r="T133" s="507"/>
      <c r="U133" s="507"/>
      <c r="V133" s="507"/>
      <c r="W133" s="507"/>
      <c r="X133" s="507"/>
      <c r="Y133" s="507"/>
      <c r="Z133" s="507"/>
    </row>
    <row r="134">
      <c r="A134" s="507"/>
      <c r="B134" s="572"/>
      <c r="C134" s="572"/>
      <c r="D134" s="572"/>
      <c r="E134" s="572"/>
      <c r="F134" s="572"/>
      <c r="G134" s="572"/>
      <c r="H134" s="572"/>
      <c r="I134" s="572"/>
      <c r="J134" s="507"/>
      <c r="K134" s="507"/>
      <c r="L134" s="507"/>
      <c r="M134" s="507"/>
      <c r="N134" s="507"/>
      <c r="O134" s="507"/>
      <c r="P134" s="507"/>
      <c r="Q134" s="507"/>
      <c r="R134" s="507"/>
      <c r="S134" s="507"/>
      <c r="T134" s="507"/>
      <c r="U134" s="507"/>
      <c r="V134" s="507"/>
      <c r="W134" s="507"/>
      <c r="X134" s="507"/>
      <c r="Y134" s="507"/>
      <c r="Z134" s="507"/>
    </row>
    <row r="135">
      <c r="A135" s="507"/>
      <c r="B135" s="572"/>
      <c r="C135" s="572"/>
      <c r="D135" s="572"/>
      <c r="E135" s="572"/>
      <c r="F135" s="572"/>
      <c r="G135" s="572"/>
      <c r="H135" s="572"/>
      <c r="I135" s="572"/>
      <c r="J135" s="507"/>
      <c r="K135" s="507"/>
      <c r="L135" s="507"/>
      <c r="M135" s="507"/>
      <c r="N135" s="507"/>
      <c r="O135" s="507"/>
      <c r="P135" s="507"/>
      <c r="Q135" s="507"/>
      <c r="R135" s="507"/>
      <c r="S135" s="507"/>
      <c r="T135" s="507"/>
      <c r="U135" s="507"/>
      <c r="V135" s="507"/>
      <c r="W135" s="507"/>
      <c r="X135" s="507"/>
      <c r="Y135" s="507"/>
      <c r="Z135" s="507"/>
    </row>
    <row r="136">
      <c r="A136" s="507"/>
      <c r="B136" s="572"/>
      <c r="C136" s="572"/>
      <c r="D136" s="572"/>
      <c r="E136" s="572"/>
      <c r="F136" s="572"/>
      <c r="G136" s="572"/>
      <c r="H136" s="572"/>
      <c r="I136" s="572"/>
      <c r="J136" s="507"/>
      <c r="K136" s="507"/>
      <c r="L136" s="507"/>
      <c r="M136" s="507"/>
      <c r="N136" s="507"/>
      <c r="O136" s="507"/>
      <c r="P136" s="507"/>
      <c r="Q136" s="507"/>
      <c r="R136" s="507"/>
      <c r="S136" s="507"/>
      <c r="T136" s="507"/>
      <c r="U136" s="507"/>
      <c r="V136" s="507"/>
      <c r="W136" s="507"/>
      <c r="X136" s="507"/>
      <c r="Y136" s="507"/>
      <c r="Z136" s="507"/>
    </row>
    <row r="137">
      <c r="A137" s="507"/>
      <c r="B137" s="572"/>
      <c r="C137" s="572"/>
      <c r="D137" s="572"/>
      <c r="E137" s="572"/>
      <c r="F137" s="572"/>
      <c r="G137" s="572"/>
      <c r="H137" s="572"/>
      <c r="I137" s="572"/>
      <c r="J137" s="507"/>
      <c r="K137" s="507"/>
      <c r="L137" s="507"/>
      <c r="M137" s="507"/>
      <c r="N137" s="507"/>
      <c r="O137" s="507"/>
      <c r="P137" s="507"/>
      <c r="Q137" s="507"/>
      <c r="R137" s="507"/>
      <c r="S137" s="507"/>
      <c r="T137" s="507"/>
      <c r="U137" s="507"/>
      <c r="V137" s="507"/>
      <c r="W137" s="507"/>
      <c r="X137" s="507"/>
      <c r="Y137" s="507"/>
      <c r="Z137" s="507"/>
    </row>
    <row r="138">
      <c r="A138" s="507"/>
      <c r="B138" s="572"/>
      <c r="C138" s="572"/>
      <c r="D138" s="572"/>
      <c r="E138" s="572"/>
      <c r="F138" s="572"/>
      <c r="G138" s="572"/>
      <c r="H138" s="572"/>
      <c r="I138" s="572"/>
      <c r="J138" s="507"/>
      <c r="K138" s="507"/>
      <c r="L138" s="507"/>
      <c r="M138" s="507"/>
      <c r="N138" s="507"/>
      <c r="O138" s="507"/>
      <c r="P138" s="507"/>
      <c r="Q138" s="507"/>
      <c r="R138" s="507"/>
      <c r="S138" s="507"/>
      <c r="T138" s="507"/>
      <c r="U138" s="507"/>
      <c r="V138" s="507"/>
      <c r="W138" s="507"/>
      <c r="X138" s="507"/>
      <c r="Y138" s="507"/>
      <c r="Z138" s="507"/>
    </row>
    <row r="139">
      <c r="A139" s="507"/>
      <c r="B139" s="572"/>
      <c r="C139" s="572"/>
      <c r="D139" s="572"/>
      <c r="E139" s="572"/>
      <c r="F139" s="572"/>
      <c r="G139" s="572"/>
      <c r="H139" s="572"/>
      <c r="I139" s="572"/>
      <c r="J139" s="507"/>
      <c r="K139" s="507"/>
      <c r="L139" s="507"/>
      <c r="M139" s="507"/>
      <c r="N139" s="507"/>
      <c r="O139" s="507"/>
      <c r="P139" s="507"/>
      <c r="Q139" s="507"/>
      <c r="R139" s="507"/>
      <c r="S139" s="507"/>
      <c r="T139" s="507"/>
      <c r="U139" s="507"/>
      <c r="V139" s="507"/>
      <c r="W139" s="507"/>
      <c r="X139" s="507"/>
      <c r="Y139" s="507"/>
      <c r="Z139" s="507"/>
    </row>
    <row r="140">
      <c r="A140" s="507"/>
      <c r="B140" s="572"/>
      <c r="C140" s="572"/>
      <c r="D140" s="572"/>
      <c r="E140" s="572"/>
      <c r="F140" s="572"/>
      <c r="G140" s="572"/>
      <c r="H140" s="572"/>
      <c r="I140" s="572"/>
      <c r="J140" s="507"/>
      <c r="K140" s="507"/>
      <c r="L140" s="507"/>
      <c r="M140" s="507"/>
      <c r="N140" s="507"/>
      <c r="O140" s="507"/>
      <c r="P140" s="507"/>
      <c r="Q140" s="507"/>
      <c r="R140" s="507"/>
      <c r="S140" s="507"/>
      <c r="T140" s="507"/>
      <c r="U140" s="507"/>
      <c r="V140" s="507"/>
      <c r="W140" s="507"/>
      <c r="X140" s="507"/>
      <c r="Y140" s="507"/>
      <c r="Z140" s="507"/>
    </row>
    <row r="141">
      <c r="A141" s="507"/>
      <c r="B141" s="572"/>
      <c r="C141" s="572"/>
      <c r="D141" s="572"/>
      <c r="E141" s="572"/>
      <c r="F141" s="572"/>
      <c r="G141" s="572"/>
      <c r="H141" s="572"/>
      <c r="I141" s="572"/>
      <c r="J141" s="507"/>
      <c r="K141" s="507"/>
      <c r="L141" s="507"/>
      <c r="M141" s="507"/>
      <c r="N141" s="507"/>
      <c r="O141" s="507"/>
      <c r="P141" s="507"/>
      <c r="Q141" s="507"/>
      <c r="R141" s="507"/>
      <c r="S141" s="507"/>
      <c r="T141" s="507"/>
      <c r="U141" s="507"/>
      <c r="V141" s="507"/>
      <c r="W141" s="507"/>
      <c r="X141" s="507"/>
      <c r="Y141" s="507"/>
      <c r="Z141" s="507"/>
    </row>
    <row r="142">
      <c r="A142" s="507"/>
      <c r="B142" s="572"/>
      <c r="C142" s="572"/>
      <c r="D142" s="572"/>
      <c r="E142" s="572"/>
      <c r="F142" s="572"/>
      <c r="G142" s="572"/>
      <c r="H142" s="572"/>
      <c r="I142" s="572"/>
      <c r="J142" s="507"/>
      <c r="K142" s="507"/>
      <c r="L142" s="507"/>
      <c r="M142" s="507"/>
      <c r="N142" s="507"/>
      <c r="O142" s="507"/>
      <c r="P142" s="507"/>
      <c r="Q142" s="507"/>
      <c r="R142" s="507"/>
      <c r="S142" s="507"/>
      <c r="T142" s="507"/>
      <c r="U142" s="507"/>
      <c r="V142" s="507"/>
      <c r="W142" s="507"/>
      <c r="X142" s="507"/>
      <c r="Y142" s="507"/>
      <c r="Z142" s="507"/>
    </row>
    <row r="143">
      <c r="A143" s="507"/>
      <c r="B143" s="572"/>
      <c r="C143" s="572"/>
      <c r="D143" s="572"/>
      <c r="E143" s="572"/>
      <c r="F143" s="572"/>
      <c r="G143" s="572"/>
      <c r="H143" s="572"/>
      <c r="I143" s="572"/>
      <c r="J143" s="507"/>
      <c r="K143" s="507"/>
      <c r="L143" s="507"/>
      <c r="M143" s="507"/>
      <c r="N143" s="507"/>
      <c r="O143" s="507"/>
      <c r="P143" s="507"/>
      <c r="Q143" s="507"/>
      <c r="R143" s="507"/>
      <c r="S143" s="507"/>
      <c r="T143" s="507"/>
      <c r="U143" s="507"/>
      <c r="V143" s="507"/>
      <c r="W143" s="507"/>
      <c r="X143" s="507"/>
      <c r="Y143" s="507"/>
      <c r="Z143" s="507"/>
    </row>
    <row r="144">
      <c r="A144" s="507"/>
      <c r="B144" s="572"/>
      <c r="C144" s="572"/>
      <c r="D144" s="572"/>
      <c r="E144" s="572"/>
      <c r="F144" s="572"/>
      <c r="G144" s="572"/>
      <c r="H144" s="572"/>
      <c r="I144" s="572"/>
      <c r="J144" s="507"/>
      <c r="K144" s="507"/>
      <c r="L144" s="507"/>
      <c r="M144" s="507"/>
      <c r="N144" s="507"/>
      <c r="O144" s="507"/>
      <c r="P144" s="507"/>
      <c r="Q144" s="507"/>
      <c r="R144" s="507"/>
      <c r="S144" s="507"/>
      <c r="T144" s="507"/>
      <c r="U144" s="507"/>
      <c r="V144" s="507"/>
      <c r="W144" s="507"/>
      <c r="X144" s="507"/>
      <c r="Y144" s="507"/>
      <c r="Z144" s="507"/>
    </row>
    <row r="145">
      <c r="A145" s="507"/>
      <c r="B145" s="572"/>
      <c r="C145" s="572"/>
      <c r="D145" s="572"/>
      <c r="E145" s="572"/>
      <c r="F145" s="572"/>
      <c r="G145" s="572"/>
      <c r="H145" s="572"/>
      <c r="I145" s="572"/>
      <c r="J145" s="507"/>
      <c r="K145" s="507"/>
      <c r="L145" s="507"/>
      <c r="M145" s="507"/>
      <c r="N145" s="507"/>
      <c r="O145" s="507"/>
      <c r="P145" s="507"/>
      <c r="Q145" s="507"/>
      <c r="R145" s="507"/>
      <c r="S145" s="507"/>
      <c r="T145" s="507"/>
      <c r="U145" s="507"/>
      <c r="V145" s="507"/>
      <c r="W145" s="507"/>
      <c r="X145" s="507"/>
      <c r="Y145" s="507"/>
      <c r="Z145" s="507"/>
    </row>
    <row r="146">
      <c r="A146" s="507"/>
      <c r="B146" s="572"/>
      <c r="C146" s="572"/>
      <c r="D146" s="572"/>
      <c r="E146" s="572"/>
      <c r="F146" s="572"/>
      <c r="G146" s="572"/>
      <c r="H146" s="572"/>
      <c r="I146" s="572"/>
      <c r="J146" s="507"/>
      <c r="K146" s="507"/>
      <c r="L146" s="507"/>
      <c r="M146" s="507"/>
      <c r="N146" s="507"/>
      <c r="O146" s="507"/>
      <c r="P146" s="507"/>
      <c r="Q146" s="507"/>
      <c r="R146" s="507"/>
      <c r="S146" s="507"/>
      <c r="T146" s="507"/>
      <c r="U146" s="507"/>
      <c r="V146" s="507"/>
      <c r="W146" s="507"/>
      <c r="X146" s="507"/>
      <c r="Y146" s="507"/>
      <c r="Z146" s="507"/>
    </row>
    <row r="147">
      <c r="A147" s="507"/>
      <c r="B147" s="572"/>
      <c r="C147" s="572"/>
      <c r="D147" s="572"/>
      <c r="E147" s="572"/>
      <c r="F147" s="572"/>
      <c r="G147" s="572"/>
      <c r="H147" s="572"/>
      <c r="I147" s="572"/>
      <c r="J147" s="507"/>
      <c r="K147" s="507"/>
      <c r="L147" s="507"/>
      <c r="M147" s="507"/>
      <c r="N147" s="507"/>
      <c r="O147" s="507"/>
      <c r="P147" s="507"/>
      <c r="Q147" s="507"/>
      <c r="R147" s="507"/>
      <c r="S147" s="507"/>
      <c r="T147" s="507"/>
      <c r="U147" s="507"/>
      <c r="V147" s="507"/>
      <c r="W147" s="507"/>
      <c r="X147" s="507"/>
      <c r="Y147" s="507"/>
      <c r="Z147" s="507"/>
    </row>
    <row r="148">
      <c r="A148" s="507"/>
      <c r="B148" s="572"/>
      <c r="C148" s="572"/>
      <c r="D148" s="572"/>
      <c r="E148" s="572"/>
      <c r="F148" s="572"/>
      <c r="G148" s="572"/>
      <c r="H148" s="572"/>
      <c r="I148" s="572"/>
      <c r="J148" s="507"/>
      <c r="K148" s="507"/>
      <c r="L148" s="507"/>
      <c r="M148" s="507"/>
      <c r="N148" s="507"/>
      <c r="O148" s="507"/>
      <c r="P148" s="507"/>
      <c r="Q148" s="507"/>
      <c r="R148" s="507"/>
      <c r="S148" s="507"/>
      <c r="T148" s="507"/>
      <c r="U148" s="507"/>
      <c r="V148" s="507"/>
      <c r="W148" s="507"/>
      <c r="X148" s="507"/>
      <c r="Y148" s="507"/>
      <c r="Z148" s="507"/>
    </row>
    <row r="149">
      <c r="A149" s="507"/>
      <c r="B149" s="572"/>
      <c r="C149" s="572"/>
      <c r="D149" s="572"/>
      <c r="E149" s="572"/>
      <c r="F149" s="572"/>
      <c r="G149" s="572"/>
      <c r="H149" s="572"/>
      <c r="I149" s="572"/>
      <c r="J149" s="507"/>
      <c r="K149" s="507"/>
      <c r="L149" s="507"/>
      <c r="M149" s="507"/>
      <c r="N149" s="507"/>
      <c r="O149" s="507"/>
      <c r="P149" s="507"/>
      <c r="Q149" s="507"/>
      <c r="R149" s="507"/>
      <c r="S149" s="507"/>
      <c r="T149" s="507"/>
      <c r="U149" s="507"/>
      <c r="V149" s="507"/>
      <c r="W149" s="507"/>
      <c r="X149" s="507"/>
      <c r="Y149" s="507"/>
      <c r="Z149" s="507"/>
    </row>
    <row r="150">
      <c r="A150" s="507"/>
      <c r="B150" s="572"/>
      <c r="C150" s="572"/>
      <c r="D150" s="572"/>
      <c r="E150" s="572"/>
      <c r="F150" s="572"/>
      <c r="G150" s="572"/>
      <c r="H150" s="572"/>
      <c r="I150" s="572"/>
      <c r="J150" s="507"/>
      <c r="K150" s="507"/>
      <c r="L150" s="507"/>
      <c r="M150" s="507"/>
      <c r="N150" s="507"/>
      <c r="O150" s="507"/>
      <c r="P150" s="507"/>
      <c r="Q150" s="507"/>
      <c r="R150" s="507"/>
      <c r="S150" s="507"/>
      <c r="T150" s="507"/>
      <c r="U150" s="507"/>
      <c r="V150" s="507"/>
      <c r="W150" s="507"/>
      <c r="X150" s="507"/>
      <c r="Y150" s="507"/>
      <c r="Z150" s="507"/>
    </row>
    <row r="151">
      <c r="A151" s="507"/>
      <c r="B151" s="572"/>
      <c r="C151" s="572"/>
      <c r="D151" s="572"/>
      <c r="E151" s="572"/>
      <c r="F151" s="572"/>
      <c r="G151" s="572"/>
      <c r="H151" s="572"/>
      <c r="I151" s="572"/>
      <c r="J151" s="507"/>
      <c r="K151" s="507"/>
      <c r="L151" s="507"/>
      <c r="M151" s="507"/>
      <c r="N151" s="507"/>
      <c r="O151" s="507"/>
      <c r="P151" s="507"/>
      <c r="Q151" s="507"/>
      <c r="R151" s="507"/>
      <c r="S151" s="507"/>
      <c r="T151" s="507"/>
      <c r="U151" s="507"/>
      <c r="V151" s="507"/>
      <c r="W151" s="507"/>
      <c r="X151" s="507"/>
      <c r="Y151" s="507"/>
      <c r="Z151" s="507"/>
    </row>
    <row r="152">
      <c r="A152" s="507"/>
      <c r="B152" s="572"/>
      <c r="C152" s="572"/>
      <c r="D152" s="572"/>
      <c r="E152" s="572"/>
      <c r="F152" s="572"/>
      <c r="G152" s="572"/>
      <c r="H152" s="572"/>
      <c r="I152" s="572"/>
      <c r="J152" s="507"/>
      <c r="K152" s="507"/>
      <c r="L152" s="507"/>
      <c r="M152" s="507"/>
      <c r="N152" s="507"/>
      <c r="O152" s="507"/>
      <c r="P152" s="507"/>
      <c r="Q152" s="507"/>
      <c r="R152" s="507"/>
      <c r="S152" s="507"/>
      <c r="T152" s="507"/>
      <c r="U152" s="507"/>
      <c r="V152" s="507"/>
      <c r="W152" s="507"/>
      <c r="X152" s="507"/>
      <c r="Y152" s="507"/>
      <c r="Z152" s="507"/>
    </row>
    <row r="153">
      <c r="A153" s="507"/>
      <c r="B153" s="572"/>
      <c r="C153" s="572"/>
      <c r="D153" s="572"/>
      <c r="E153" s="572"/>
      <c r="F153" s="572"/>
      <c r="G153" s="572"/>
      <c r="H153" s="572"/>
      <c r="I153" s="572"/>
      <c r="J153" s="507"/>
      <c r="K153" s="507"/>
      <c r="L153" s="507"/>
      <c r="M153" s="507"/>
      <c r="N153" s="507"/>
      <c r="O153" s="507"/>
      <c r="P153" s="507"/>
      <c r="Q153" s="507"/>
      <c r="R153" s="507"/>
      <c r="S153" s="507"/>
      <c r="T153" s="507"/>
      <c r="U153" s="507"/>
      <c r="V153" s="507"/>
      <c r="W153" s="507"/>
      <c r="X153" s="507"/>
      <c r="Y153" s="507"/>
      <c r="Z153" s="507"/>
    </row>
    <row r="154">
      <c r="A154" s="507"/>
      <c r="B154" s="572"/>
      <c r="C154" s="572"/>
      <c r="D154" s="572"/>
      <c r="E154" s="572"/>
      <c r="F154" s="572"/>
      <c r="G154" s="572"/>
      <c r="H154" s="572"/>
      <c r="I154" s="572"/>
      <c r="J154" s="507"/>
      <c r="K154" s="507"/>
      <c r="L154" s="507"/>
      <c r="M154" s="507"/>
      <c r="N154" s="507"/>
      <c r="O154" s="507"/>
      <c r="P154" s="507"/>
      <c r="Q154" s="507"/>
      <c r="R154" s="507"/>
      <c r="S154" s="507"/>
      <c r="T154" s="507"/>
      <c r="U154" s="507"/>
      <c r="V154" s="507"/>
      <c r="W154" s="507"/>
      <c r="X154" s="507"/>
      <c r="Y154" s="507"/>
      <c r="Z154" s="507"/>
    </row>
    <row r="155">
      <c r="A155" s="507"/>
      <c r="B155" s="572"/>
      <c r="C155" s="572"/>
      <c r="D155" s="572"/>
      <c r="E155" s="572"/>
      <c r="F155" s="572"/>
      <c r="G155" s="572"/>
      <c r="H155" s="572"/>
      <c r="I155" s="572"/>
      <c r="J155" s="507"/>
      <c r="K155" s="507"/>
      <c r="L155" s="507"/>
      <c r="M155" s="507"/>
      <c r="N155" s="507"/>
      <c r="O155" s="507"/>
      <c r="P155" s="507"/>
      <c r="Q155" s="507"/>
      <c r="R155" s="507"/>
      <c r="S155" s="507"/>
      <c r="T155" s="507"/>
      <c r="U155" s="507"/>
      <c r="V155" s="507"/>
      <c r="W155" s="507"/>
      <c r="X155" s="507"/>
      <c r="Y155" s="507"/>
      <c r="Z155" s="507"/>
    </row>
    <row r="156">
      <c r="A156" s="507"/>
      <c r="B156" s="572"/>
      <c r="C156" s="572"/>
      <c r="D156" s="572"/>
      <c r="E156" s="572"/>
      <c r="F156" s="572"/>
      <c r="G156" s="572"/>
      <c r="H156" s="572"/>
      <c r="I156" s="572"/>
      <c r="J156" s="507"/>
      <c r="K156" s="507"/>
      <c r="L156" s="507"/>
      <c r="M156" s="507"/>
      <c r="N156" s="507"/>
      <c r="O156" s="507"/>
      <c r="P156" s="507"/>
      <c r="Q156" s="507"/>
      <c r="R156" s="507"/>
      <c r="S156" s="507"/>
      <c r="T156" s="507"/>
      <c r="U156" s="507"/>
      <c r="V156" s="507"/>
      <c r="W156" s="507"/>
      <c r="X156" s="507"/>
      <c r="Y156" s="507"/>
      <c r="Z156" s="507"/>
    </row>
    <row r="157">
      <c r="A157" s="507"/>
      <c r="B157" s="572"/>
      <c r="C157" s="572"/>
      <c r="D157" s="572"/>
      <c r="E157" s="572"/>
      <c r="F157" s="572"/>
      <c r="G157" s="572"/>
      <c r="H157" s="572"/>
      <c r="I157" s="572"/>
      <c r="J157" s="507"/>
      <c r="K157" s="507"/>
      <c r="L157" s="507"/>
      <c r="M157" s="507"/>
      <c r="N157" s="507"/>
      <c r="O157" s="507"/>
      <c r="P157" s="507"/>
      <c r="Q157" s="507"/>
      <c r="R157" s="507"/>
      <c r="S157" s="507"/>
      <c r="T157" s="507"/>
      <c r="U157" s="507"/>
      <c r="V157" s="507"/>
      <c r="W157" s="507"/>
      <c r="X157" s="507"/>
      <c r="Y157" s="507"/>
      <c r="Z157" s="507"/>
    </row>
    <row r="158">
      <c r="A158" s="507"/>
      <c r="B158" s="572"/>
      <c r="C158" s="572"/>
      <c r="D158" s="572"/>
      <c r="E158" s="572"/>
      <c r="F158" s="572"/>
      <c r="G158" s="572"/>
      <c r="H158" s="572"/>
      <c r="I158" s="572"/>
      <c r="J158" s="507"/>
      <c r="K158" s="507"/>
      <c r="L158" s="507"/>
      <c r="M158" s="507"/>
      <c r="N158" s="507"/>
      <c r="O158" s="507"/>
      <c r="P158" s="507"/>
      <c r="Q158" s="507"/>
      <c r="R158" s="507"/>
      <c r="S158" s="507"/>
      <c r="T158" s="507"/>
      <c r="U158" s="507"/>
      <c r="V158" s="507"/>
      <c r="W158" s="507"/>
      <c r="X158" s="507"/>
      <c r="Y158" s="507"/>
      <c r="Z158" s="507"/>
    </row>
    <row r="159">
      <c r="A159" s="507"/>
      <c r="B159" s="572"/>
      <c r="C159" s="572"/>
      <c r="D159" s="572"/>
      <c r="E159" s="572"/>
      <c r="F159" s="572"/>
      <c r="G159" s="572"/>
      <c r="H159" s="572"/>
      <c r="I159" s="572"/>
      <c r="J159" s="507"/>
      <c r="K159" s="507"/>
      <c r="L159" s="507"/>
      <c r="M159" s="507"/>
      <c r="N159" s="507"/>
      <c r="O159" s="507"/>
      <c r="P159" s="507"/>
      <c r="Q159" s="507"/>
      <c r="R159" s="507"/>
      <c r="S159" s="507"/>
      <c r="T159" s="507"/>
      <c r="U159" s="507"/>
      <c r="V159" s="507"/>
      <c r="W159" s="507"/>
      <c r="X159" s="507"/>
      <c r="Y159" s="507"/>
      <c r="Z159" s="507"/>
    </row>
    <row r="160">
      <c r="A160" s="507"/>
      <c r="B160" s="572"/>
      <c r="C160" s="572"/>
      <c r="D160" s="572"/>
      <c r="E160" s="572"/>
      <c r="F160" s="572"/>
      <c r="G160" s="572"/>
      <c r="H160" s="572"/>
      <c r="I160" s="572"/>
      <c r="J160" s="507"/>
      <c r="K160" s="507"/>
      <c r="L160" s="507"/>
      <c r="M160" s="507"/>
      <c r="N160" s="507"/>
      <c r="O160" s="507"/>
      <c r="P160" s="507"/>
      <c r="Q160" s="507"/>
      <c r="R160" s="507"/>
      <c r="S160" s="507"/>
      <c r="T160" s="507"/>
      <c r="U160" s="507"/>
      <c r="V160" s="507"/>
      <c r="W160" s="507"/>
      <c r="X160" s="507"/>
      <c r="Y160" s="507"/>
      <c r="Z160" s="507"/>
    </row>
    <row r="161">
      <c r="A161" s="507"/>
      <c r="B161" s="572"/>
      <c r="C161" s="572"/>
      <c r="D161" s="572"/>
      <c r="E161" s="572"/>
      <c r="F161" s="572"/>
      <c r="G161" s="572"/>
      <c r="H161" s="572"/>
      <c r="I161" s="572"/>
      <c r="J161" s="507"/>
      <c r="K161" s="507"/>
      <c r="L161" s="507"/>
      <c r="M161" s="507"/>
      <c r="N161" s="507"/>
      <c r="O161" s="507"/>
      <c r="P161" s="507"/>
      <c r="Q161" s="507"/>
      <c r="R161" s="507"/>
      <c r="S161" s="507"/>
      <c r="T161" s="507"/>
      <c r="U161" s="507"/>
      <c r="V161" s="507"/>
      <c r="W161" s="507"/>
      <c r="X161" s="507"/>
      <c r="Y161" s="507"/>
      <c r="Z161" s="507"/>
    </row>
    <row r="162">
      <c r="A162" s="507"/>
      <c r="B162" s="572"/>
      <c r="C162" s="572"/>
      <c r="D162" s="572"/>
      <c r="E162" s="572"/>
      <c r="F162" s="572"/>
      <c r="G162" s="572"/>
      <c r="H162" s="572"/>
      <c r="I162" s="572"/>
      <c r="J162" s="507"/>
      <c r="K162" s="507"/>
      <c r="L162" s="507"/>
      <c r="M162" s="507"/>
      <c r="N162" s="507"/>
      <c r="O162" s="507"/>
      <c r="P162" s="507"/>
      <c r="Q162" s="507"/>
      <c r="R162" s="507"/>
      <c r="S162" s="507"/>
      <c r="T162" s="507"/>
      <c r="U162" s="507"/>
      <c r="V162" s="507"/>
      <c r="W162" s="507"/>
      <c r="X162" s="507"/>
      <c r="Y162" s="507"/>
      <c r="Z162" s="507"/>
    </row>
    <row r="163">
      <c r="A163" s="507"/>
      <c r="B163" s="572"/>
      <c r="C163" s="572"/>
      <c r="D163" s="572"/>
      <c r="E163" s="572"/>
      <c r="F163" s="572"/>
      <c r="G163" s="572"/>
      <c r="H163" s="572"/>
      <c r="I163" s="572"/>
      <c r="J163" s="507"/>
      <c r="K163" s="507"/>
      <c r="L163" s="507"/>
      <c r="M163" s="507"/>
      <c r="N163" s="507"/>
      <c r="O163" s="507"/>
      <c r="P163" s="507"/>
      <c r="Q163" s="507"/>
      <c r="R163" s="507"/>
      <c r="S163" s="507"/>
      <c r="T163" s="507"/>
      <c r="U163" s="507"/>
      <c r="V163" s="507"/>
      <c r="W163" s="507"/>
      <c r="X163" s="507"/>
      <c r="Y163" s="507"/>
      <c r="Z163" s="507"/>
    </row>
    <row r="164">
      <c r="A164" s="507"/>
      <c r="B164" s="572"/>
      <c r="C164" s="572"/>
      <c r="D164" s="572"/>
      <c r="E164" s="572"/>
      <c r="F164" s="572"/>
      <c r="G164" s="572"/>
      <c r="H164" s="572"/>
      <c r="I164" s="572"/>
      <c r="J164" s="507"/>
      <c r="K164" s="507"/>
      <c r="L164" s="507"/>
      <c r="M164" s="507"/>
      <c r="N164" s="507"/>
      <c r="O164" s="507"/>
      <c r="P164" s="507"/>
      <c r="Q164" s="507"/>
      <c r="R164" s="507"/>
      <c r="S164" s="507"/>
      <c r="T164" s="507"/>
      <c r="U164" s="507"/>
      <c r="V164" s="507"/>
      <c r="W164" s="507"/>
      <c r="X164" s="507"/>
      <c r="Y164" s="507"/>
      <c r="Z164" s="507"/>
    </row>
    <row r="165">
      <c r="A165" s="507"/>
      <c r="B165" s="572"/>
      <c r="C165" s="572"/>
      <c r="D165" s="572"/>
      <c r="E165" s="572"/>
      <c r="F165" s="572"/>
      <c r="G165" s="572"/>
      <c r="H165" s="572"/>
      <c r="I165" s="572"/>
      <c r="J165" s="507"/>
      <c r="K165" s="507"/>
      <c r="L165" s="507"/>
      <c r="M165" s="507"/>
      <c r="N165" s="507"/>
      <c r="O165" s="507"/>
      <c r="P165" s="507"/>
      <c r="Q165" s="507"/>
      <c r="R165" s="507"/>
      <c r="S165" s="507"/>
      <c r="T165" s="507"/>
      <c r="U165" s="507"/>
      <c r="V165" s="507"/>
      <c r="W165" s="507"/>
      <c r="X165" s="507"/>
      <c r="Y165" s="507"/>
      <c r="Z165" s="507"/>
    </row>
    <row r="166">
      <c r="A166" s="507"/>
      <c r="B166" s="572"/>
      <c r="C166" s="572"/>
      <c r="D166" s="572"/>
      <c r="E166" s="572"/>
      <c r="F166" s="572"/>
      <c r="G166" s="572"/>
      <c r="H166" s="572"/>
      <c r="I166" s="572"/>
      <c r="J166" s="507"/>
      <c r="K166" s="507"/>
      <c r="L166" s="507"/>
      <c r="M166" s="507"/>
      <c r="N166" s="507"/>
      <c r="O166" s="507"/>
      <c r="P166" s="507"/>
      <c r="Q166" s="507"/>
      <c r="R166" s="507"/>
      <c r="S166" s="507"/>
      <c r="T166" s="507"/>
      <c r="U166" s="507"/>
      <c r="V166" s="507"/>
      <c r="W166" s="507"/>
      <c r="X166" s="507"/>
      <c r="Y166" s="507"/>
      <c r="Z166" s="507"/>
    </row>
    <row r="167">
      <c r="A167" s="507"/>
      <c r="B167" s="572"/>
      <c r="C167" s="572"/>
      <c r="D167" s="572"/>
      <c r="E167" s="572"/>
      <c r="F167" s="572"/>
      <c r="G167" s="572"/>
      <c r="H167" s="572"/>
      <c r="I167" s="572"/>
      <c r="J167" s="507"/>
      <c r="K167" s="507"/>
      <c r="L167" s="507"/>
      <c r="M167" s="507"/>
      <c r="N167" s="507"/>
      <c r="O167" s="507"/>
      <c r="P167" s="507"/>
      <c r="Q167" s="507"/>
      <c r="R167" s="507"/>
      <c r="S167" s="507"/>
      <c r="T167" s="507"/>
      <c r="U167" s="507"/>
      <c r="V167" s="507"/>
      <c r="W167" s="507"/>
      <c r="X167" s="507"/>
      <c r="Y167" s="507"/>
      <c r="Z167" s="507"/>
    </row>
    <row r="168">
      <c r="A168" s="507"/>
      <c r="B168" s="572"/>
      <c r="C168" s="572"/>
      <c r="D168" s="572"/>
      <c r="E168" s="572"/>
      <c r="F168" s="572"/>
      <c r="G168" s="572"/>
      <c r="H168" s="572"/>
      <c r="I168" s="572"/>
      <c r="J168" s="507"/>
      <c r="K168" s="507"/>
      <c r="L168" s="507"/>
      <c r="M168" s="507"/>
      <c r="N168" s="507"/>
      <c r="O168" s="507"/>
      <c r="P168" s="507"/>
      <c r="Q168" s="507"/>
      <c r="R168" s="507"/>
      <c r="S168" s="507"/>
      <c r="T168" s="507"/>
      <c r="U168" s="507"/>
      <c r="V168" s="507"/>
      <c r="W168" s="507"/>
      <c r="X168" s="507"/>
      <c r="Y168" s="507"/>
      <c r="Z168" s="507"/>
    </row>
    <row r="169">
      <c r="A169" s="507"/>
      <c r="B169" s="572"/>
      <c r="C169" s="572"/>
      <c r="D169" s="572"/>
      <c r="E169" s="572"/>
      <c r="F169" s="572"/>
      <c r="G169" s="572"/>
      <c r="H169" s="572"/>
      <c r="I169" s="572"/>
      <c r="J169" s="507"/>
      <c r="K169" s="507"/>
      <c r="L169" s="507"/>
      <c r="M169" s="507"/>
      <c r="N169" s="507"/>
      <c r="O169" s="507"/>
      <c r="P169" s="507"/>
      <c r="Q169" s="507"/>
      <c r="R169" s="507"/>
      <c r="S169" s="507"/>
      <c r="T169" s="507"/>
      <c r="U169" s="507"/>
      <c r="V169" s="507"/>
      <c r="W169" s="507"/>
      <c r="X169" s="507"/>
      <c r="Y169" s="507"/>
      <c r="Z169" s="507"/>
    </row>
    <row r="170">
      <c r="A170" s="507"/>
      <c r="B170" s="572"/>
      <c r="C170" s="572"/>
      <c r="D170" s="572"/>
      <c r="E170" s="572"/>
      <c r="F170" s="572"/>
      <c r="G170" s="572"/>
      <c r="H170" s="572"/>
      <c r="I170" s="572"/>
      <c r="J170" s="507"/>
      <c r="K170" s="507"/>
      <c r="L170" s="507"/>
      <c r="M170" s="507"/>
      <c r="N170" s="507"/>
      <c r="O170" s="507"/>
      <c r="P170" s="507"/>
      <c r="Q170" s="507"/>
      <c r="R170" s="507"/>
      <c r="S170" s="507"/>
      <c r="T170" s="507"/>
      <c r="U170" s="507"/>
      <c r="V170" s="507"/>
      <c r="W170" s="507"/>
      <c r="X170" s="507"/>
      <c r="Y170" s="507"/>
      <c r="Z170" s="507"/>
    </row>
    <row r="171">
      <c r="A171" s="507"/>
      <c r="B171" s="572"/>
      <c r="C171" s="572"/>
      <c r="D171" s="572"/>
      <c r="E171" s="572"/>
      <c r="F171" s="572"/>
      <c r="G171" s="572"/>
      <c r="H171" s="572"/>
      <c r="I171" s="572"/>
      <c r="J171" s="507"/>
      <c r="K171" s="507"/>
      <c r="L171" s="507"/>
      <c r="M171" s="507"/>
      <c r="N171" s="507"/>
      <c r="O171" s="507"/>
      <c r="P171" s="507"/>
      <c r="Q171" s="507"/>
      <c r="R171" s="507"/>
      <c r="S171" s="507"/>
      <c r="T171" s="507"/>
      <c r="U171" s="507"/>
      <c r="V171" s="507"/>
      <c r="W171" s="507"/>
      <c r="X171" s="507"/>
      <c r="Y171" s="507"/>
      <c r="Z171" s="507"/>
    </row>
    <row r="172">
      <c r="A172" s="507"/>
      <c r="B172" s="572"/>
      <c r="C172" s="572"/>
      <c r="D172" s="572"/>
      <c r="E172" s="572"/>
      <c r="F172" s="572"/>
      <c r="G172" s="572"/>
      <c r="H172" s="572"/>
      <c r="I172" s="572"/>
      <c r="J172" s="507"/>
      <c r="K172" s="507"/>
      <c r="L172" s="507"/>
      <c r="M172" s="507"/>
      <c r="N172" s="507"/>
      <c r="O172" s="507"/>
      <c r="P172" s="507"/>
      <c r="Q172" s="507"/>
      <c r="R172" s="507"/>
      <c r="S172" s="507"/>
      <c r="T172" s="507"/>
      <c r="U172" s="507"/>
      <c r="V172" s="507"/>
      <c r="W172" s="507"/>
      <c r="X172" s="507"/>
      <c r="Y172" s="507"/>
      <c r="Z172" s="507"/>
    </row>
    <row r="173">
      <c r="A173" s="507"/>
      <c r="B173" s="572"/>
      <c r="C173" s="572"/>
      <c r="D173" s="572"/>
      <c r="E173" s="572"/>
      <c r="F173" s="572"/>
      <c r="G173" s="572"/>
      <c r="H173" s="572"/>
      <c r="I173" s="572"/>
      <c r="J173" s="507"/>
      <c r="K173" s="507"/>
      <c r="L173" s="507"/>
      <c r="M173" s="507"/>
      <c r="N173" s="507"/>
      <c r="O173" s="507"/>
      <c r="P173" s="507"/>
      <c r="Q173" s="507"/>
      <c r="R173" s="507"/>
      <c r="S173" s="507"/>
      <c r="T173" s="507"/>
      <c r="U173" s="507"/>
      <c r="V173" s="507"/>
      <c r="W173" s="507"/>
      <c r="X173" s="507"/>
      <c r="Y173" s="507"/>
      <c r="Z173" s="507"/>
    </row>
    <row r="174">
      <c r="A174" s="507"/>
      <c r="B174" s="572"/>
      <c r="C174" s="572"/>
      <c r="D174" s="572"/>
      <c r="E174" s="572"/>
      <c r="F174" s="572"/>
      <c r="G174" s="572"/>
      <c r="H174" s="572"/>
      <c r="I174" s="572"/>
      <c r="J174" s="507"/>
      <c r="K174" s="507"/>
      <c r="L174" s="507"/>
      <c r="M174" s="507"/>
      <c r="N174" s="507"/>
      <c r="O174" s="507"/>
      <c r="P174" s="507"/>
      <c r="Q174" s="507"/>
      <c r="R174" s="507"/>
      <c r="S174" s="507"/>
      <c r="T174" s="507"/>
      <c r="U174" s="507"/>
      <c r="V174" s="507"/>
      <c r="W174" s="507"/>
      <c r="X174" s="507"/>
      <c r="Y174" s="507"/>
      <c r="Z174" s="507"/>
    </row>
    <row r="175">
      <c r="A175" s="507"/>
      <c r="B175" s="572"/>
      <c r="C175" s="572"/>
      <c r="D175" s="572"/>
      <c r="E175" s="572"/>
      <c r="F175" s="572"/>
      <c r="G175" s="572"/>
      <c r="H175" s="572"/>
      <c r="I175" s="572"/>
      <c r="J175" s="507"/>
      <c r="K175" s="507"/>
      <c r="L175" s="507"/>
      <c r="M175" s="507"/>
      <c r="N175" s="507"/>
      <c r="O175" s="507"/>
      <c r="P175" s="507"/>
      <c r="Q175" s="507"/>
      <c r="R175" s="507"/>
      <c r="S175" s="507"/>
      <c r="T175" s="507"/>
      <c r="U175" s="507"/>
      <c r="V175" s="507"/>
      <c r="W175" s="507"/>
      <c r="X175" s="507"/>
      <c r="Y175" s="507"/>
      <c r="Z175" s="507"/>
    </row>
    <row r="176">
      <c r="A176" s="507"/>
      <c r="B176" s="572"/>
      <c r="C176" s="572"/>
      <c r="D176" s="572"/>
      <c r="E176" s="572"/>
      <c r="F176" s="572"/>
      <c r="G176" s="572"/>
      <c r="H176" s="572"/>
      <c r="I176" s="572"/>
      <c r="J176" s="507"/>
      <c r="K176" s="507"/>
      <c r="L176" s="507"/>
      <c r="M176" s="507"/>
      <c r="N176" s="507"/>
      <c r="O176" s="507"/>
      <c r="P176" s="507"/>
      <c r="Q176" s="507"/>
      <c r="R176" s="507"/>
      <c r="S176" s="507"/>
      <c r="T176" s="507"/>
      <c r="U176" s="507"/>
      <c r="V176" s="507"/>
      <c r="W176" s="507"/>
      <c r="X176" s="507"/>
      <c r="Y176" s="507"/>
      <c r="Z176" s="507"/>
    </row>
    <row r="177">
      <c r="A177" s="507"/>
      <c r="B177" s="572"/>
      <c r="C177" s="572"/>
      <c r="D177" s="572"/>
      <c r="E177" s="572"/>
      <c r="F177" s="572"/>
      <c r="G177" s="572"/>
      <c r="H177" s="572"/>
      <c r="I177" s="572"/>
      <c r="J177" s="507"/>
      <c r="K177" s="507"/>
      <c r="L177" s="507"/>
      <c r="M177" s="507"/>
      <c r="N177" s="507"/>
      <c r="O177" s="507"/>
      <c r="P177" s="507"/>
      <c r="Q177" s="507"/>
      <c r="R177" s="507"/>
      <c r="S177" s="507"/>
      <c r="T177" s="507"/>
      <c r="U177" s="507"/>
      <c r="V177" s="507"/>
      <c r="W177" s="507"/>
      <c r="X177" s="507"/>
      <c r="Y177" s="507"/>
      <c r="Z177" s="507"/>
    </row>
    <row r="178">
      <c r="A178" s="507"/>
      <c r="B178" s="572"/>
      <c r="C178" s="572"/>
      <c r="D178" s="572"/>
      <c r="E178" s="572"/>
      <c r="F178" s="572"/>
      <c r="G178" s="572"/>
      <c r="H178" s="572"/>
      <c r="I178" s="572"/>
      <c r="J178" s="507"/>
      <c r="K178" s="507"/>
      <c r="L178" s="507"/>
      <c r="M178" s="507"/>
      <c r="N178" s="507"/>
      <c r="O178" s="507"/>
      <c r="P178" s="507"/>
      <c r="Q178" s="507"/>
      <c r="R178" s="507"/>
      <c r="S178" s="507"/>
      <c r="T178" s="507"/>
      <c r="U178" s="507"/>
      <c r="V178" s="507"/>
      <c r="W178" s="507"/>
      <c r="X178" s="507"/>
      <c r="Y178" s="507"/>
      <c r="Z178" s="507"/>
    </row>
    <row r="179">
      <c r="A179" s="507"/>
      <c r="B179" s="572"/>
      <c r="C179" s="572"/>
      <c r="D179" s="572"/>
      <c r="E179" s="572"/>
      <c r="F179" s="572"/>
      <c r="G179" s="572"/>
      <c r="H179" s="572"/>
      <c r="I179" s="572"/>
      <c r="J179" s="507"/>
      <c r="K179" s="507"/>
      <c r="L179" s="507"/>
      <c r="M179" s="507"/>
      <c r="N179" s="507"/>
      <c r="O179" s="507"/>
      <c r="P179" s="507"/>
      <c r="Q179" s="507"/>
      <c r="R179" s="507"/>
      <c r="S179" s="507"/>
      <c r="T179" s="507"/>
      <c r="U179" s="507"/>
      <c r="V179" s="507"/>
      <c r="W179" s="507"/>
      <c r="X179" s="507"/>
      <c r="Y179" s="507"/>
      <c r="Z179" s="507"/>
    </row>
    <row r="180">
      <c r="A180" s="507"/>
      <c r="B180" s="572"/>
      <c r="C180" s="572"/>
      <c r="D180" s="572"/>
      <c r="E180" s="572"/>
      <c r="F180" s="572"/>
      <c r="G180" s="572"/>
      <c r="H180" s="572"/>
      <c r="I180" s="572"/>
      <c r="J180" s="507"/>
      <c r="K180" s="507"/>
      <c r="L180" s="507"/>
      <c r="M180" s="507"/>
      <c r="N180" s="507"/>
      <c r="O180" s="507"/>
      <c r="P180" s="507"/>
      <c r="Q180" s="507"/>
      <c r="R180" s="507"/>
      <c r="S180" s="507"/>
      <c r="T180" s="507"/>
      <c r="U180" s="507"/>
      <c r="V180" s="507"/>
      <c r="W180" s="507"/>
      <c r="X180" s="507"/>
      <c r="Y180" s="507"/>
      <c r="Z180" s="507"/>
    </row>
    <row r="181">
      <c r="A181" s="507"/>
      <c r="B181" s="572"/>
      <c r="C181" s="572"/>
      <c r="D181" s="572"/>
      <c r="E181" s="572"/>
      <c r="F181" s="572"/>
      <c r="G181" s="572"/>
      <c r="H181" s="572"/>
      <c r="I181" s="572"/>
      <c r="J181" s="507"/>
      <c r="K181" s="507"/>
      <c r="L181" s="507"/>
      <c r="M181" s="507"/>
      <c r="N181" s="507"/>
      <c r="O181" s="507"/>
      <c r="P181" s="507"/>
      <c r="Q181" s="507"/>
      <c r="R181" s="507"/>
      <c r="S181" s="507"/>
      <c r="T181" s="507"/>
      <c r="U181" s="507"/>
      <c r="V181" s="507"/>
      <c r="W181" s="507"/>
      <c r="X181" s="507"/>
      <c r="Y181" s="507"/>
      <c r="Z181" s="507"/>
    </row>
    <row r="182">
      <c r="A182" s="507"/>
      <c r="B182" s="572"/>
      <c r="C182" s="572"/>
      <c r="D182" s="572"/>
      <c r="E182" s="572"/>
      <c r="F182" s="572"/>
      <c r="G182" s="572"/>
      <c r="H182" s="572"/>
      <c r="I182" s="572"/>
      <c r="J182" s="507"/>
      <c r="K182" s="507"/>
      <c r="L182" s="507"/>
      <c r="M182" s="507"/>
      <c r="N182" s="507"/>
      <c r="O182" s="507"/>
      <c r="P182" s="507"/>
      <c r="Q182" s="507"/>
      <c r="R182" s="507"/>
      <c r="S182" s="507"/>
      <c r="T182" s="507"/>
      <c r="U182" s="507"/>
      <c r="V182" s="507"/>
      <c r="W182" s="507"/>
      <c r="X182" s="507"/>
      <c r="Y182" s="507"/>
      <c r="Z182" s="507"/>
    </row>
    <row r="183">
      <c r="A183" s="507"/>
      <c r="B183" s="572"/>
      <c r="C183" s="572"/>
      <c r="D183" s="572"/>
      <c r="E183" s="572"/>
      <c r="F183" s="572"/>
      <c r="G183" s="572"/>
      <c r="H183" s="572"/>
      <c r="I183" s="572"/>
      <c r="J183" s="507"/>
      <c r="K183" s="507"/>
      <c r="L183" s="507"/>
      <c r="M183" s="507"/>
      <c r="N183" s="507"/>
      <c r="O183" s="507"/>
      <c r="P183" s="507"/>
      <c r="Q183" s="507"/>
      <c r="R183" s="507"/>
      <c r="S183" s="507"/>
      <c r="T183" s="507"/>
      <c r="U183" s="507"/>
      <c r="V183" s="507"/>
      <c r="W183" s="507"/>
      <c r="X183" s="507"/>
      <c r="Y183" s="507"/>
      <c r="Z183" s="507"/>
    </row>
    <row r="184">
      <c r="A184" s="507"/>
      <c r="B184" s="572"/>
      <c r="C184" s="572"/>
      <c r="D184" s="572"/>
      <c r="E184" s="572"/>
      <c r="F184" s="572"/>
      <c r="G184" s="572"/>
      <c r="H184" s="572"/>
      <c r="I184" s="572"/>
      <c r="J184" s="507"/>
      <c r="K184" s="507"/>
      <c r="L184" s="507"/>
      <c r="M184" s="507"/>
      <c r="N184" s="507"/>
      <c r="O184" s="507"/>
      <c r="P184" s="507"/>
      <c r="Q184" s="507"/>
      <c r="R184" s="507"/>
      <c r="S184" s="507"/>
      <c r="T184" s="507"/>
      <c r="U184" s="507"/>
      <c r="V184" s="507"/>
      <c r="W184" s="507"/>
      <c r="X184" s="507"/>
      <c r="Y184" s="507"/>
      <c r="Z184" s="507"/>
    </row>
    <row r="185">
      <c r="A185" s="507"/>
      <c r="B185" s="572"/>
      <c r="C185" s="572"/>
      <c r="D185" s="572"/>
      <c r="E185" s="572"/>
      <c r="F185" s="572"/>
      <c r="G185" s="572"/>
      <c r="H185" s="572"/>
      <c r="I185" s="572"/>
      <c r="J185" s="507"/>
      <c r="K185" s="507"/>
      <c r="L185" s="507"/>
      <c r="M185" s="507"/>
      <c r="N185" s="507"/>
      <c r="O185" s="507"/>
      <c r="P185" s="507"/>
      <c r="Q185" s="507"/>
      <c r="R185" s="507"/>
      <c r="S185" s="507"/>
      <c r="T185" s="507"/>
      <c r="U185" s="507"/>
      <c r="V185" s="507"/>
      <c r="W185" s="507"/>
      <c r="X185" s="507"/>
      <c r="Y185" s="507"/>
      <c r="Z185" s="507"/>
    </row>
    <row r="186">
      <c r="A186" s="507"/>
      <c r="B186" s="572"/>
      <c r="C186" s="572"/>
      <c r="D186" s="572"/>
      <c r="E186" s="572"/>
      <c r="F186" s="572"/>
      <c r="G186" s="572"/>
      <c r="H186" s="572"/>
      <c r="I186" s="572"/>
      <c r="J186" s="507"/>
      <c r="K186" s="507"/>
      <c r="L186" s="507"/>
      <c r="M186" s="507"/>
      <c r="N186" s="507"/>
      <c r="O186" s="507"/>
      <c r="P186" s="507"/>
      <c r="Q186" s="507"/>
      <c r="R186" s="507"/>
      <c r="S186" s="507"/>
      <c r="T186" s="507"/>
      <c r="U186" s="507"/>
      <c r="V186" s="507"/>
      <c r="W186" s="507"/>
      <c r="X186" s="507"/>
      <c r="Y186" s="507"/>
      <c r="Z186" s="507"/>
    </row>
    <row r="187">
      <c r="A187" s="507"/>
      <c r="B187" s="572"/>
      <c r="C187" s="572"/>
      <c r="D187" s="572"/>
      <c r="E187" s="572"/>
      <c r="F187" s="572"/>
      <c r="G187" s="572"/>
      <c r="H187" s="572"/>
      <c r="I187" s="572"/>
      <c r="J187" s="507"/>
      <c r="K187" s="507"/>
      <c r="L187" s="507"/>
      <c r="M187" s="507"/>
      <c r="N187" s="507"/>
      <c r="O187" s="507"/>
      <c r="P187" s="507"/>
      <c r="Q187" s="507"/>
      <c r="R187" s="507"/>
      <c r="S187" s="507"/>
      <c r="T187" s="507"/>
      <c r="U187" s="507"/>
      <c r="V187" s="507"/>
      <c r="W187" s="507"/>
      <c r="X187" s="507"/>
      <c r="Y187" s="507"/>
      <c r="Z187" s="507"/>
    </row>
    <row r="188">
      <c r="A188" s="507"/>
      <c r="B188" s="572"/>
      <c r="C188" s="572"/>
      <c r="D188" s="572"/>
      <c r="E188" s="572"/>
      <c r="F188" s="572"/>
      <c r="G188" s="572"/>
      <c r="H188" s="572"/>
      <c r="I188" s="572"/>
      <c r="J188" s="507"/>
      <c r="K188" s="507"/>
      <c r="L188" s="507"/>
      <c r="M188" s="507"/>
      <c r="N188" s="507"/>
      <c r="O188" s="507"/>
      <c r="P188" s="507"/>
      <c r="Q188" s="507"/>
      <c r="R188" s="507"/>
      <c r="S188" s="507"/>
      <c r="T188" s="507"/>
      <c r="U188" s="507"/>
      <c r="V188" s="507"/>
      <c r="W188" s="507"/>
      <c r="X188" s="507"/>
      <c r="Y188" s="507"/>
      <c r="Z188" s="507"/>
    </row>
    <row r="189">
      <c r="A189" s="507"/>
      <c r="B189" s="572"/>
      <c r="C189" s="572"/>
      <c r="D189" s="572"/>
      <c r="E189" s="572"/>
      <c r="F189" s="572"/>
      <c r="G189" s="572"/>
      <c r="H189" s="572"/>
      <c r="I189" s="572"/>
      <c r="J189" s="507"/>
      <c r="K189" s="507"/>
      <c r="L189" s="507"/>
      <c r="M189" s="507"/>
      <c r="N189" s="507"/>
      <c r="O189" s="507"/>
      <c r="P189" s="507"/>
      <c r="Q189" s="507"/>
      <c r="R189" s="507"/>
      <c r="S189" s="507"/>
      <c r="T189" s="507"/>
      <c r="U189" s="507"/>
      <c r="V189" s="507"/>
      <c r="W189" s="507"/>
      <c r="X189" s="507"/>
      <c r="Y189" s="507"/>
      <c r="Z189" s="507"/>
    </row>
    <row r="190">
      <c r="A190" s="507"/>
      <c r="B190" s="572"/>
      <c r="C190" s="572"/>
      <c r="D190" s="572"/>
      <c r="E190" s="572"/>
      <c r="F190" s="572"/>
      <c r="G190" s="572"/>
      <c r="H190" s="572"/>
      <c r="I190" s="572"/>
      <c r="J190" s="507"/>
      <c r="K190" s="507"/>
      <c r="L190" s="507"/>
      <c r="M190" s="507"/>
      <c r="N190" s="507"/>
      <c r="O190" s="507"/>
      <c r="P190" s="507"/>
      <c r="Q190" s="507"/>
      <c r="R190" s="507"/>
      <c r="S190" s="507"/>
      <c r="T190" s="507"/>
      <c r="U190" s="507"/>
      <c r="V190" s="507"/>
      <c r="W190" s="507"/>
      <c r="X190" s="507"/>
      <c r="Y190" s="507"/>
      <c r="Z190" s="507"/>
    </row>
    <row r="191">
      <c r="A191" s="507"/>
      <c r="B191" s="572"/>
      <c r="C191" s="572"/>
      <c r="D191" s="572"/>
      <c r="E191" s="572"/>
      <c r="F191" s="572"/>
      <c r="G191" s="572"/>
      <c r="H191" s="572"/>
      <c r="I191" s="572"/>
      <c r="J191" s="507"/>
      <c r="K191" s="507"/>
      <c r="L191" s="507"/>
      <c r="M191" s="507"/>
      <c r="N191" s="507"/>
      <c r="O191" s="507"/>
      <c r="P191" s="507"/>
      <c r="Q191" s="507"/>
      <c r="R191" s="507"/>
      <c r="S191" s="507"/>
      <c r="T191" s="507"/>
      <c r="U191" s="507"/>
      <c r="V191" s="507"/>
      <c r="W191" s="507"/>
      <c r="X191" s="507"/>
      <c r="Y191" s="507"/>
      <c r="Z191" s="507"/>
    </row>
    <row r="192">
      <c r="A192" s="507"/>
      <c r="B192" s="572"/>
      <c r="C192" s="572"/>
      <c r="D192" s="572"/>
      <c r="E192" s="572"/>
      <c r="F192" s="572"/>
      <c r="G192" s="572"/>
      <c r="H192" s="572"/>
      <c r="I192" s="572"/>
      <c r="J192" s="507"/>
      <c r="K192" s="507"/>
      <c r="L192" s="507"/>
      <c r="M192" s="507"/>
      <c r="N192" s="507"/>
      <c r="O192" s="507"/>
      <c r="P192" s="507"/>
      <c r="Q192" s="507"/>
      <c r="R192" s="507"/>
      <c r="S192" s="507"/>
      <c r="T192" s="507"/>
      <c r="U192" s="507"/>
      <c r="V192" s="507"/>
      <c r="W192" s="507"/>
      <c r="X192" s="507"/>
      <c r="Y192" s="507"/>
      <c r="Z192" s="507"/>
    </row>
    <row r="193">
      <c r="A193" s="507"/>
      <c r="B193" s="572"/>
      <c r="C193" s="572"/>
      <c r="D193" s="572"/>
      <c r="E193" s="572"/>
      <c r="F193" s="572"/>
      <c r="G193" s="572"/>
      <c r="H193" s="572"/>
      <c r="I193" s="572"/>
      <c r="J193" s="507"/>
      <c r="K193" s="507"/>
      <c r="L193" s="507"/>
      <c r="M193" s="507"/>
      <c r="N193" s="507"/>
      <c r="O193" s="507"/>
      <c r="P193" s="507"/>
      <c r="Q193" s="507"/>
      <c r="R193" s="507"/>
      <c r="S193" s="507"/>
      <c r="T193" s="507"/>
      <c r="U193" s="507"/>
      <c r="V193" s="507"/>
      <c r="W193" s="507"/>
      <c r="X193" s="507"/>
      <c r="Y193" s="507"/>
      <c r="Z193" s="507"/>
    </row>
    <row r="194">
      <c r="A194" s="507"/>
      <c r="B194" s="572"/>
      <c r="C194" s="572"/>
      <c r="D194" s="572"/>
      <c r="E194" s="572"/>
      <c r="F194" s="572"/>
      <c r="G194" s="572"/>
      <c r="H194" s="572"/>
      <c r="I194" s="572"/>
      <c r="J194" s="507"/>
      <c r="K194" s="507"/>
      <c r="L194" s="507"/>
      <c r="M194" s="507"/>
      <c r="N194" s="507"/>
      <c r="O194" s="507"/>
      <c r="P194" s="507"/>
      <c r="Q194" s="507"/>
      <c r="R194" s="507"/>
      <c r="S194" s="507"/>
      <c r="T194" s="507"/>
      <c r="U194" s="507"/>
      <c r="V194" s="507"/>
      <c r="W194" s="507"/>
      <c r="X194" s="507"/>
      <c r="Y194" s="507"/>
      <c r="Z194" s="507"/>
    </row>
    <row r="195">
      <c r="A195" s="507"/>
      <c r="B195" s="572"/>
      <c r="C195" s="572"/>
      <c r="D195" s="572"/>
      <c r="E195" s="572"/>
      <c r="F195" s="572"/>
      <c r="G195" s="572"/>
      <c r="H195" s="572"/>
      <c r="I195" s="572"/>
      <c r="J195" s="507"/>
      <c r="K195" s="507"/>
      <c r="L195" s="507"/>
      <c r="M195" s="507"/>
      <c r="N195" s="507"/>
      <c r="O195" s="507"/>
      <c r="P195" s="507"/>
      <c r="Q195" s="507"/>
      <c r="R195" s="507"/>
      <c r="S195" s="507"/>
      <c r="T195" s="507"/>
      <c r="U195" s="507"/>
      <c r="V195" s="507"/>
      <c r="W195" s="507"/>
      <c r="X195" s="507"/>
      <c r="Y195" s="507"/>
      <c r="Z195" s="507"/>
    </row>
    <row r="196">
      <c r="A196" s="507"/>
      <c r="B196" s="572"/>
      <c r="C196" s="572"/>
      <c r="D196" s="572"/>
      <c r="E196" s="572"/>
      <c r="F196" s="572"/>
      <c r="G196" s="572"/>
      <c r="H196" s="572"/>
      <c r="I196" s="572"/>
      <c r="J196" s="507"/>
      <c r="K196" s="507"/>
      <c r="L196" s="507"/>
      <c r="M196" s="507"/>
      <c r="N196" s="507"/>
      <c r="O196" s="507"/>
      <c r="P196" s="507"/>
      <c r="Q196" s="507"/>
      <c r="R196" s="507"/>
      <c r="S196" s="507"/>
      <c r="T196" s="507"/>
      <c r="U196" s="507"/>
      <c r="V196" s="507"/>
      <c r="W196" s="507"/>
      <c r="X196" s="507"/>
      <c r="Y196" s="507"/>
      <c r="Z196" s="507"/>
    </row>
    <row r="197">
      <c r="A197" s="507"/>
      <c r="B197" s="572"/>
      <c r="C197" s="572"/>
      <c r="D197" s="572"/>
      <c r="E197" s="572"/>
      <c r="F197" s="572"/>
      <c r="G197" s="572"/>
      <c r="H197" s="572"/>
      <c r="I197" s="572"/>
      <c r="J197" s="507"/>
      <c r="K197" s="507"/>
      <c r="L197" s="507"/>
      <c r="M197" s="507"/>
      <c r="N197" s="507"/>
      <c r="O197" s="507"/>
      <c r="P197" s="507"/>
      <c r="Q197" s="507"/>
      <c r="R197" s="507"/>
      <c r="S197" s="507"/>
      <c r="T197" s="507"/>
      <c r="U197" s="507"/>
      <c r="V197" s="507"/>
      <c r="W197" s="507"/>
      <c r="X197" s="507"/>
      <c r="Y197" s="507"/>
      <c r="Z197" s="507"/>
    </row>
    <row r="198">
      <c r="A198" s="507"/>
      <c r="B198" s="572"/>
      <c r="C198" s="572"/>
      <c r="D198" s="572"/>
      <c r="E198" s="572"/>
      <c r="F198" s="572"/>
      <c r="G198" s="572"/>
      <c r="H198" s="572"/>
      <c r="I198" s="572"/>
      <c r="J198" s="507"/>
      <c r="K198" s="507"/>
      <c r="L198" s="507"/>
      <c r="M198" s="507"/>
      <c r="N198" s="507"/>
      <c r="O198" s="507"/>
      <c r="P198" s="507"/>
      <c r="Q198" s="507"/>
      <c r="R198" s="507"/>
      <c r="S198" s="507"/>
      <c r="T198" s="507"/>
      <c r="U198" s="507"/>
      <c r="V198" s="507"/>
      <c r="W198" s="507"/>
      <c r="X198" s="507"/>
      <c r="Y198" s="507"/>
      <c r="Z198" s="507"/>
    </row>
    <row r="199">
      <c r="A199" s="507"/>
      <c r="B199" s="572"/>
      <c r="C199" s="572"/>
      <c r="D199" s="572"/>
      <c r="E199" s="572"/>
      <c r="F199" s="572"/>
      <c r="G199" s="572"/>
      <c r="H199" s="572"/>
      <c r="I199" s="572"/>
      <c r="J199" s="507"/>
      <c r="K199" s="507"/>
      <c r="L199" s="507"/>
      <c r="M199" s="507"/>
      <c r="N199" s="507"/>
      <c r="O199" s="507"/>
      <c r="P199" s="507"/>
      <c r="Q199" s="507"/>
      <c r="R199" s="507"/>
      <c r="S199" s="507"/>
      <c r="T199" s="507"/>
      <c r="U199" s="507"/>
      <c r="V199" s="507"/>
      <c r="W199" s="507"/>
      <c r="X199" s="507"/>
      <c r="Y199" s="507"/>
      <c r="Z199" s="507"/>
    </row>
    <row r="200">
      <c r="A200" s="507"/>
      <c r="B200" s="572"/>
      <c r="C200" s="572"/>
      <c r="D200" s="572"/>
      <c r="E200" s="572"/>
      <c r="F200" s="572"/>
      <c r="G200" s="572"/>
      <c r="H200" s="572"/>
      <c r="I200" s="572"/>
      <c r="J200" s="507"/>
      <c r="K200" s="507"/>
      <c r="L200" s="507"/>
      <c r="M200" s="507"/>
      <c r="N200" s="507"/>
      <c r="O200" s="507"/>
      <c r="P200" s="507"/>
      <c r="Q200" s="507"/>
      <c r="R200" s="507"/>
      <c r="S200" s="507"/>
      <c r="T200" s="507"/>
      <c r="U200" s="507"/>
      <c r="V200" s="507"/>
      <c r="W200" s="507"/>
      <c r="X200" s="507"/>
      <c r="Y200" s="507"/>
      <c r="Z200" s="507"/>
    </row>
    <row r="201">
      <c r="A201" s="507"/>
      <c r="B201" s="572"/>
      <c r="C201" s="572"/>
      <c r="D201" s="572"/>
      <c r="E201" s="572"/>
      <c r="F201" s="572"/>
      <c r="G201" s="572"/>
      <c r="H201" s="572"/>
      <c r="I201" s="572"/>
      <c r="J201" s="507"/>
      <c r="K201" s="507"/>
      <c r="L201" s="507"/>
      <c r="M201" s="507"/>
      <c r="N201" s="507"/>
      <c r="O201" s="507"/>
      <c r="P201" s="507"/>
      <c r="Q201" s="507"/>
      <c r="R201" s="507"/>
      <c r="S201" s="507"/>
      <c r="T201" s="507"/>
      <c r="U201" s="507"/>
      <c r="V201" s="507"/>
      <c r="W201" s="507"/>
      <c r="X201" s="507"/>
      <c r="Y201" s="507"/>
      <c r="Z201" s="507"/>
    </row>
    <row r="202">
      <c r="A202" s="507"/>
      <c r="B202" s="572"/>
      <c r="C202" s="572"/>
      <c r="D202" s="572"/>
      <c r="E202" s="572"/>
      <c r="F202" s="572"/>
      <c r="G202" s="572"/>
      <c r="H202" s="572"/>
      <c r="I202" s="572"/>
      <c r="J202" s="507"/>
      <c r="K202" s="507"/>
      <c r="L202" s="507"/>
      <c r="M202" s="507"/>
      <c r="N202" s="507"/>
      <c r="O202" s="507"/>
      <c r="P202" s="507"/>
      <c r="Q202" s="507"/>
      <c r="R202" s="507"/>
      <c r="S202" s="507"/>
      <c r="T202" s="507"/>
      <c r="U202" s="507"/>
      <c r="V202" s="507"/>
      <c r="W202" s="507"/>
      <c r="X202" s="507"/>
      <c r="Y202" s="507"/>
      <c r="Z202" s="507"/>
    </row>
    <row r="203">
      <c r="A203" s="507"/>
      <c r="B203" s="572"/>
      <c r="C203" s="572"/>
      <c r="D203" s="572"/>
      <c r="E203" s="572"/>
      <c r="F203" s="572"/>
      <c r="G203" s="572"/>
      <c r="H203" s="572"/>
      <c r="I203" s="572"/>
      <c r="J203" s="507"/>
      <c r="K203" s="507"/>
      <c r="L203" s="507"/>
      <c r="M203" s="507"/>
      <c r="N203" s="507"/>
      <c r="O203" s="507"/>
      <c r="P203" s="507"/>
      <c r="Q203" s="507"/>
      <c r="R203" s="507"/>
      <c r="S203" s="507"/>
      <c r="T203" s="507"/>
      <c r="U203" s="507"/>
      <c r="V203" s="507"/>
      <c r="W203" s="507"/>
      <c r="X203" s="507"/>
      <c r="Y203" s="507"/>
      <c r="Z203" s="507"/>
    </row>
    <row r="204">
      <c r="A204" s="507"/>
      <c r="B204" s="572"/>
      <c r="C204" s="572"/>
      <c r="D204" s="572"/>
      <c r="E204" s="572"/>
      <c r="F204" s="572"/>
      <c r="G204" s="572"/>
      <c r="H204" s="572"/>
      <c r="I204" s="572"/>
      <c r="J204" s="507"/>
      <c r="K204" s="507"/>
      <c r="L204" s="507"/>
      <c r="M204" s="507"/>
      <c r="N204" s="507"/>
      <c r="O204" s="507"/>
      <c r="P204" s="507"/>
      <c r="Q204" s="507"/>
      <c r="R204" s="507"/>
      <c r="S204" s="507"/>
      <c r="T204" s="507"/>
      <c r="U204" s="507"/>
      <c r="V204" s="507"/>
      <c r="W204" s="507"/>
      <c r="X204" s="507"/>
      <c r="Y204" s="507"/>
      <c r="Z204" s="507"/>
    </row>
    <row r="205">
      <c r="A205" s="507"/>
      <c r="B205" s="572"/>
      <c r="C205" s="572"/>
      <c r="D205" s="572"/>
      <c r="E205" s="572"/>
      <c r="F205" s="572"/>
      <c r="G205" s="572"/>
      <c r="H205" s="572"/>
      <c r="I205" s="572"/>
      <c r="J205" s="507"/>
      <c r="K205" s="507"/>
      <c r="L205" s="507"/>
      <c r="M205" s="507"/>
      <c r="N205" s="507"/>
      <c r="O205" s="507"/>
      <c r="P205" s="507"/>
      <c r="Q205" s="507"/>
      <c r="R205" s="507"/>
      <c r="S205" s="507"/>
      <c r="T205" s="507"/>
      <c r="U205" s="507"/>
      <c r="V205" s="507"/>
      <c r="W205" s="507"/>
      <c r="X205" s="507"/>
      <c r="Y205" s="507"/>
      <c r="Z205" s="507"/>
    </row>
    <row r="206">
      <c r="A206" s="507"/>
      <c r="B206" s="572"/>
      <c r="C206" s="572"/>
      <c r="D206" s="572"/>
      <c r="E206" s="572"/>
      <c r="F206" s="572"/>
      <c r="G206" s="572"/>
      <c r="H206" s="572"/>
      <c r="I206" s="572"/>
      <c r="J206" s="507"/>
      <c r="K206" s="507"/>
      <c r="L206" s="507"/>
      <c r="M206" s="507"/>
      <c r="N206" s="507"/>
      <c r="O206" s="507"/>
      <c r="P206" s="507"/>
      <c r="Q206" s="507"/>
      <c r="R206" s="507"/>
      <c r="S206" s="507"/>
      <c r="T206" s="507"/>
      <c r="U206" s="507"/>
      <c r="V206" s="507"/>
      <c r="W206" s="507"/>
      <c r="X206" s="507"/>
      <c r="Y206" s="507"/>
      <c r="Z206" s="507"/>
    </row>
    <row r="207">
      <c r="A207" s="507"/>
      <c r="B207" s="572"/>
      <c r="C207" s="572"/>
      <c r="D207" s="572"/>
      <c r="E207" s="572"/>
      <c r="F207" s="572"/>
      <c r="G207" s="572"/>
      <c r="H207" s="572"/>
      <c r="I207" s="572"/>
      <c r="J207" s="507"/>
      <c r="K207" s="507"/>
      <c r="L207" s="507"/>
      <c r="M207" s="507"/>
      <c r="N207" s="507"/>
      <c r="O207" s="507"/>
      <c r="P207" s="507"/>
      <c r="Q207" s="507"/>
      <c r="R207" s="507"/>
      <c r="S207" s="507"/>
      <c r="T207" s="507"/>
      <c r="U207" s="507"/>
      <c r="V207" s="507"/>
      <c r="W207" s="507"/>
      <c r="X207" s="507"/>
      <c r="Y207" s="507"/>
      <c r="Z207" s="507"/>
    </row>
    <row r="208">
      <c r="A208" s="507"/>
      <c r="B208" s="572"/>
      <c r="C208" s="572"/>
      <c r="D208" s="572"/>
      <c r="E208" s="572"/>
      <c r="F208" s="572"/>
      <c r="G208" s="572"/>
      <c r="H208" s="572"/>
      <c r="I208" s="572"/>
      <c r="J208" s="507"/>
      <c r="K208" s="507"/>
      <c r="L208" s="507"/>
      <c r="M208" s="507"/>
      <c r="N208" s="507"/>
      <c r="O208" s="507"/>
      <c r="P208" s="507"/>
      <c r="Q208" s="507"/>
      <c r="R208" s="507"/>
      <c r="S208" s="507"/>
      <c r="T208" s="507"/>
      <c r="U208" s="507"/>
      <c r="V208" s="507"/>
      <c r="W208" s="507"/>
      <c r="X208" s="507"/>
      <c r="Y208" s="507"/>
      <c r="Z208" s="507"/>
    </row>
    <row r="209">
      <c r="A209" s="507"/>
      <c r="B209" s="572"/>
      <c r="C209" s="572"/>
      <c r="D209" s="572"/>
      <c r="E209" s="572"/>
      <c r="F209" s="572"/>
      <c r="G209" s="572"/>
      <c r="H209" s="572"/>
      <c r="I209" s="572"/>
      <c r="J209" s="507"/>
      <c r="K209" s="507"/>
      <c r="L209" s="507"/>
      <c r="M209" s="507"/>
      <c r="N209" s="507"/>
      <c r="O209" s="507"/>
      <c r="P209" s="507"/>
      <c r="Q209" s="507"/>
      <c r="R209" s="507"/>
      <c r="S209" s="507"/>
      <c r="T209" s="507"/>
      <c r="U209" s="507"/>
      <c r="V209" s="507"/>
      <c r="W209" s="507"/>
      <c r="X209" s="507"/>
      <c r="Y209" s="507"/>
      <c r="Z209" s="507"/>
    </row>
    <row r="210">
      <c r="A210" s="507"/>
      <c r="B210" s="572"/>
      <c r="C210" s="572"/>
      <c r="D210" s="572"/>
      <c r="E210" s="572"/>
      <c r="F210" s="572"/>
      <c r="G210" s="572"/>
      <c r="H210" s="572"/>
      <c r="I210" s="572"/>
      <c r="J210" s="507"/>
      <c r="K210" s="507"/>
      <c r="L210" s="507"/>
      <c r="M210" s="507"/>
      <c r="N210" s="507"/>
      <c r="O210" s="507"/>
      <c r="P210" s="507"/>
      <c r="Q210" s="507"/>
      <c r="R210" s="507"/>
      <c r="S210" s="507"/>
      <c r="T210" s="507"/>
      <c r="U210" s="507"/>
      <c r="V210" s="507"/>
      <c r="W210" s="507"/>
      <c r="X210" s="507"/>
      <c r="Y210" s="507"/>
      <c r="Z210" s="507"/>
    </row>
    <row r="211">
      <c r="A211" s="507"/>
      <c r="B211" s="572"/>
      <c r="C211" s="572"/>
      <c r="D211" s="572"/>
      <c r="E211" s="572"/>
      <c r="F211" s="572"/>
      <c r="G211" s="572"/>
      <c r="H211" s="572"/>
      <c r="I211" s="572"/>
      <c r="J211" s="507"/>
      <c r="K211" s="507"/>
      <c r="L211" s="507"/>
      <c r="M211" s="507"/>
      <c r="N211" s="507"/>
      <c r="O211" s="507"/>
      <c r="P211" s="507"/>
      <c r="Q211" s="507"/>
      <c r="R211" s="507"/>
      <c r="S211" s="507"/>
      <c r="T211" s="507"/>
      <c r="U211" s="507"/>
      <c r="V211" s="507"/>
      <c r="W211" s="507"/>
      <c r="X211" s="507"/>
      <c r="Y211" s="507"/>
      <c r="Z211" s="507"/>
    </row>
    <row r="212">
      <c r="A212" s="507"/>
      <c r="B212" s="572"/>
      <c r="C212" s="572"/>
      <c r="D212" s="572"/>
      <c r="E212" s="572"/>
      <c r="F212" s="572"/>
      <c r="G212" s="572"/>
      <c r="H212" s="572"/>
      <c r="I212" s="572"/>
      <c r="J212" s="507"/>
      <c r="K212" s="507"/>
      <c r="L212" s="507"/>
      <c r="M212" s="507"/>
      <c r="N212" s="507"/>
      <c r="O212" s="507"/>
      <c r="P212" s="507"/>
      <c r="Q212" s="507"/>
      <c r="R212" s="507"/>
      <c r="S212" s="507"/>
      <c r="T212" s="507"/>
      <c r="U212" s="507"/>
      <c r="V212" s="507"/>
      <c r="W212" s="507"/>
      <c r="X212" s="507"/>
      <c r="Y212" s="507"/>
      <c r="Z212" s="507"/>
    </row>
    <row r="213">
      <c r="A213" s="507"/>
      <c r="B213" s="572"/>
      <c r="C213" s="572"/>
      <c r="D213" s="572"/>
      <c r="E213" s="572"/>
      <c r="F213" s="572"/>
      <c r="G213" s="572"/>
      <c r="H213" s="572"/>
      <c r="I213" s="572"/>
      <c r="J213" s="507"/>
      <c r="K213" s="507"/>
      <c r="L213" s="507"/>
      <c r="M213" s="507"/>
      <c r="N213" s="507"/>
      <c r="O213" s="507"/>
      <c r="P213" s="507"/>
      <c r="Q213" s="507"/>
      <c r="R213" s="507"/>
      <c r="S213" s="507"/>
      <c r="T213" s="507"/>
      <c r="U213" s="507"/>
      <c r="V213" s="507"/>
      <c r="W213" s="507"/>
      <c r="X213" s="507"/>
      <c r="Y213" s="507"/>
      <c r="Z213" s="507"/>
    </row>
    <row r="214">
      <c r="A214" s="507"/>
      <c r="B214" s="572"/>
      <c r="C214" s="572"/>
      <c r="D214" s="572"/>
      <c r="E214" s="572"/>
      <c r="F214" s="572"/>
      <c r="G214" s="572"/>
      <c r="H214" s="572"/>
      <c r="I214" s="572"/>
      <c r="J214" s="507"/>
      <c r="K214" s="507"/>
      <c r="L214" s="507"/>
      <c r="M214" s="507"/>
      <c r="N214" s="507"/>
      <c r="O214" s="507"/>
      <c r="P214" s="507"/>
      <c r="Q214" s="507"/>
      <c r="R214" s="507"/>
      <c r="S214" s="507"/>
      <c r="T214" s="507"/>
      <c r="U214" s="507"/>
      <c r="V214" s="507"/>
      <c r="W214" s="507"/>
      <c r="X214" s="507"/>
      <c r="Y214" s="507"/>
      <c r="Z214" s="507"/>
    </row>
    <row r="215">
      <c r="A215" s="507"/>
      <c r="B215" s="572"/>
      <c r="C215" s="572"/>
      <c r="D215" s="572"/>
      <c r="E215" s="572"/>
      <c r="F215" s="572"/>
      <c r="G215" s="572"/>
      <c r="H215" s="572"/>
      <c r="I215" s="572"/>
      <c r="J215" s="507"/>
      <c r="K215" s="507"/>
      <c r="L215" s="507"/>
      <c r="M215" s="507"/>
      <c r="N215" s="507"/>
      <c r="O215" s="507"/>
      <c r="P215" s="507"/>
      <c r="Q215" s="507"/>
      <c r="R215" s="507"/>
      <c r="S215" s="507"/>
      <c r="T215" s="507"/>
      <c r="U215" s="507"/>
      <c r="V215" s="507"/>
      <c r="W215" s="507"/>
      <c r="X215" s="507"/>
      <c r="Y215" s="507"/>
      <c r="Z215" s="507"/>
    </row>
    <row r="216">
      <c r="A216" s="507"/>
      <c r="B216" s="572"/>
      <c r="C216" s="572"/>
      <c r="D216" s="572"/>
      <c r="E216" s="572"/>
      <c r="F216" s="572"/>
      <c r="G216" s="572"/>
      <c r="H216" s="572"/>
      <c r="I216" s="572"/>
      <c r="J216" s="507"/>
      <c r="K216" s="507"/>
      <c r="L216" s="507"/>
      <c r="M216" s="507"/>
      <c r="N216" s="507"/>
      <c r="O216" s="507"/>
      <c r="P216" s="507"/>
      <c r="Q216" s="507"/>
      <c r="R216" s="507"/>
      <c r="S216" s="507"/>
      <c r="T216" s="507"/>
      <c r="U216" s="507"/>
      <c r="V216" s="507"/>
      <c r="W216" s="507"/>
      <c r="X216" s="507"/>
      <c r="Y216" s="507"/>
      <c r="Z216" s="507"/>
    </row>
    <row r="217">
      <c r="A217" s="507"/>
      <c r="B217" s="572"/>
      <c r="C217" s="572"/>
      <c r="D217" s="572"/>
      <c r="E217" s="572"/>
      <c r="F217" s="572"/>
      <c r="G217" s="572"/>
      <c r="H217" s="572"/>
      <c r="I217" s="572"/>
      <c r="J217" s="507"/>
      <c r="K217" s="507"/>
      <c r="L217" s="507"/>
      <c r="M217" s="507"/>
      <c r="N217" s="507"/>
      <c r="O217" s="507"/>
      <c r="P217" s="507"/>
      <c r="Q217" s="507"/>
      <c r="R217" s="507"/>
      <c r="S217" s="507"/>
      <c r="T217" s="507"/>
      <c r="U217" s="507"/>
      <c r="V217" s="507"/>
      <c r="W217" s="507"/>
      <c r="X217" s="507"/>
      <c r="Y217" s="507"/>
      <c r="Z217" s="507"/>
    </row>
    <row r="218">
      <c r="A218" s="507"/>
      <c r="B218" s="572"/>
      <c r="C218" s="572"/>
      <c r="D218" s="572"/>
      <c r="E218" s="572"/>
      <c r="F218" s="572"/>
      <c r="G218" s="572"/>
      <c r="H218" s="572"/>
      <c r="I218" s="572"/>
      <c r="J218" s="507"/>
      <c r="K218" s="507"/>
      <c r="L218" s="507"/>
      <c r="M218" s="507"/>
      <c r="N218" s="507"/>
      <c r="O218" s="507"/>
      <c r="P218" s="507"/>
      <c r="Q218" s="507"/>
      <c r="R218" s="507"/>
      <c r="S218" s="507"/>
      <c r="T218" s="507"/>
      <c r="U218" s="507"/>
      <c r="V218" s="507"/>
      <c r="W218" s="507"/>
      <c r="X218" s="507"/>
      <c r="Y218" s="507"/>
      <c r="Z218" s="507"/>
    </row>
    <row r="219">
      <c r="A219" s="507"/>
      <c r="B219" s="572"/>
      <c r="C219" s="572"/>
      <c r="D219" s="572"/>
      <c r="E219" s="572"/>
      <c r="F219" s="572"/>
      <c r="G219" s="572"/>
      <c r="H219" s="572"/>
      <c r="I219" s="572"/>
      <c r="J219" s="507"/>
      <c r="K219" s="507"/>
      <c r="L219" s="507"/>
      <c r="M219" s="507"/>
      <c r="N219" s="507"/>
      <c r="O219" s="507"/>
      <c r="P219" s="507"/>
      <c r="Q219" s="507"/>
      <c r="R219" s="507"/>
      <c r="S219" s="507"/>
      <c r="T219" s="507"/>
      <c r="U219" s="507"/>
      <c r="V219" s="507"/>
      <c r="W219" s="507"/>
      <c r="X219" s="507"/>
      <c r="Y219" s="507"/>
      <c r="Z219" s="507"/>
    </row>
    <row r="220">
      <c r="A220" s="507"/>
      <c r="B220" s="572"/>
      <c r="C220" s="572"/>
      <c r="D220" s="572"/>
      <c r="E220" s="572"/>
      <c r="F220" s="572"/>
      <c r="G220" s="572"/>
      <c r="H220" s="572"/>
      <c r="I220" s="572"/>
      <c r="J220" s="507"/>
      <c r="K220" s="507"/>
      <c r="L220" s="507"/>
      <c r="M220" s="507"/>
      <c r="N220" s="507"/>
      <c r="O220" s="507"/>
      <c r="P220" s="507"/>
      <c r="Q220" s="507"/>
      <c r="R220" s="507"/>
      <c r="S220" s="507"/>
      <c r="T220" s="507"/>
      <c r="U220" s="507"/>
      <c r="V220" s="507"/>
      <c r="W220" s="507"/>
      <c r="X220" s="507"/>
      <c r="Y220" s="507"/>
      <c r="Z220" s="507"/>
    </row>
    <row r="221">
      <c r="A221" s="507"/>
      <c r="B221" s="572"/>
      <c r="C221" s="572"/>
      <c r="D221" s="572"/>
      <c r="E221" s="572"/>
      <c r="F221" s="572"/>
      <c r="G221" s="572"/>
      <c r="H221" s="572"/>
      <c r="I221" s="572"/>
      <c r="J221" s="507"/>
      <c r="K221" s="507"/>
      <c r="L221" s="507"/>
      <c r="M221" s="507"/>
      <c r="N221" s="507"/>
      <c r="O221" s="507"/>
      <c r="P221" s="507"/>
      <c r="Q221" s="507"/>
      <c r="R221" s="507"/>
      <c r="S221" s="507"/>
      <c r="T221" s="507"/>
      <c r="U221" s="507"/>
      <c r="V221" s="507"/>
      <c r="W221" s="507"/>
      <c r="X221" s="507"/>
      <c r="Y221" s="507"/>
      <c r="Z221" s="507"/>
    </row>
    <row r="222">
      <c r="A222" s="507"/>
      <c r="B222" s="572"/>
      <c r="C222" s="572"/>
      <c r="D222" s="572"/>
      <c r="E222" s="572"/>
      <c r="F222" s="572"/>
      <c r="G222" s="572"/>
      <c r="H222" s="572"/>
      <c r="I222" s="572"/>
      <c r="J222" s="507"/>
      <c r="K222" s="507"/>
      <c r="L222" s="507"/>
      <c r="M222" s="507"/>
      <c r="N222" s="507"/>
      <c r="O222" s="507"/>
      <c r="P222" s="507"/>
      <c r="Q222" s="507"/>
      <c r="R222" s="507"/>
      <c r="S222" s="507"/>
      <c r="T222" s="507"/>
      <c r="U222" s="507"/>
      <c r="V222" s="507"/>
      <c r="W222" s="507"/>
      <c r="X222" s="507"/>
      <c r="Y222" s="507"/>
      <c r="Z222" s="507"/>
    </row>
    <row r="223">
      <c r="A223" s="507"/>
      <c r="B223" s="572"/>
      <c r="C223" s="572"/>
      <c r="D223" s="572"/>
      <c r="E223" s="572"/>
      <c r="F223" s="572"/>
      <c r="G223" s="572"/>
      <c r="H223" s="572"/>
      <c r="I223" s="572"/>
      <c r="J223" s="507"/>
      <c r="K223" s="507"/>
      <c r="L223" s="507"/>
      <c r="M223" s="507"/>
      <c r="N223" s="507"/>
      <c r="O223" s="507"/>
      <c r="P223" s="507"/>
      <c r="Q223" s="507"/>
      <c r="R223" s="507"/>
      <c r="S223" s="507"/>
      <c r="T223" s="507"/>
      <c r="U223" s="507"/>
      <c r="V223" s="507"/>
      <c r="W223" s="507"/>
      <c r="X223" s="507"/>
      <c r="Y223" s="507"/>
      <c r="Z223" s="507"/>
    </row>
    <row r="224">
      <c r="A224" s="507"/>
      <c r="B224" s="572"/>
      <c r="C224" s="572"/>
      <c r="D224" s="572"/>
      <c r="E224" s="572"/>
      <c r="F224" s="572"/>
      <c r="G224" s="572"/>
      <c r="H224" s="572"/>
      <c r="I224" s="572"/>
      <c r="J224" s="507"/>
      <c r="K224" s="507"/>
      <c r="L224" s="507"/>
      <c r="M224" s="507"/>
      <c r="N224" s="507"/>
      <c r="O224" s="507"/>
      <c r="P224" s="507"/>
      <c r="Q224" s="507"/>
      <c r="R224" s="507"/>
      <c r="S224" s="507"/>
      <c r="T224" s="507"/>
      <c r="U224" s="507"/>
      <c r="V224" s="507"/>
      <c r="W224" s="507"/>
      <c r="X224" s="507"/>
      <c r="Y224" s="507"/>
      <c r="Z224" s="507"/>
    </row>
    <row r="225">
      <c r="A225" s="507"/>
      <c r="B225" s="572"/>
      <c r="C225" s="572"/>
      <c r="D225" s="572"/>
      <c r="E225" s="572"/>
      <c r="F225" s="572"/>
      <c r="G225" s="572"/>
      <c r="H225" s="572"/>
      <c r="I225" s="572"/>
      <c r="J225" s="507"/>
      <c r="K225" s="507"/>
      <c r="L225" s="507"/>
      <c r="M225" s="507"/>
      <c r="N225" s="507"/>
      <c r="O225" s="507"/>
      <c r="P225" s="507"/>
      <c r="Q225" s="507"/>
      <c r="R225" s="507"/>
      <c r="S225" s="507"/>
      <c r="T225" s="507"/>
      <c r="U225" s="507"/>
      <c r="V225" s="507"/>
      <c r="W225" s="507"/>
      <c r="X225" s="507"/>
      <c r="Y225" s="507"/>
      <c r="Z225" s="507"/>
    </row>
    <row r="226">
      <c r="A226" s="507"/>
      <c r="B226" s="572"/>
      <c r="C226" s="572"/>
      <c r="D226" s="572"/>
      <c r="E226" s="572"/>
      <c r="F226" s="572"/>
      <c r="G226" s="572"/>
      <c r="H226" s="572"/>
      <c r="I226" s="572"/>
      <c r="J226" s="507"/>
      <c r="K226" s="507"/>
      <c r="L226" s="507"/>
      <c r="M226" s="507"/>
      <c r="N226" s="507"/>
      <c r="O226" s="507"/>
      <c r="P226" s="507"/>
      <c r="Q226" s="507"/>
      <c r="R226" s="507"/>
      <c r="S226" s="507"/>
      <c r="T226" s="507"/>
      <c r="U226" s="507"/>
      <c r="V226" s="507"/>
      <c r="W226" s="507"/>
      <c r="X226" s="507"/>
      <c r="Y226" s="507"/>
      <c r="Z226" s="507"/>
    </row>
    <row r="227">
      <c r="A227" s="507"/>
      <c r="B227" s="572"/>
      <c r="C227" s="572"/>
      <c r="D227" s="572"/>
      <c r="E227" s="572"/>
      <c r="F227" s="572"/>
      <c r="G227" s="572"/>
      <c r="H227" s="572"/>
      <c r="I227" s="572"/>
      <c r="J227" s="507"/>
      <c r="K227" s="507"/>
      <c r="L227" s="507"/>
      <c r="M227" s="507"/>
      <c r="N227" s="507"/>
      <c r="O227" s="507"/>
      <c r="P227" s="507"/>
      <c r="Q227" s="507"/>
      <c r="R227" s="507"/>
      <c r="S227" s="507"/>
      <c r="T227" s="507"/>
      <c r="U227" s="507"/>
      <c r="V227" s="507"/>
      <c r="W227" s="507"/>
      <c r="X227" s="507"/>
      <c r="Y227" s="507"/>
      <c r="Z227" s="507"/>
    </row>
    <row r="228">
      <c r="A228" s="507"/>
      <c r="B228" s="572"/>
      <c r="C228" s="572"/>
      <c r="D228" s="572"/>
      <c r="E228" s="572"/>
      <c r="F228" s="572"/>
      <c r="G228" s="572"/>
      <c r="H228" s="572"/>
      <c r="I228" s="572"/>
      <c r="J228" s="507"/>
      <c r="K228" s="507"/>
      <c r="L228" s="507"/>
      <c r="M228" s="507"/>
      <c r="N228" s="507"/>
      <c r="O228" s="507"/>
      <c r="P228" s="507"/>
      <c r="Q228" s="507"/>
      <c r="R228" s="507"/>
      <c r="S228" s="507"/>
      <c r="T228" s="507"/>
      <c r="U228" s="507"/>
      <c r="V228" s="507"/>
      <c r="W228" s="507"/>
      <c r="X228" s="507"/>
      <c r="Y228" s="507"/>
      <c r="Z228" s="507"/>
    </row>
    <row r="229">
      <c r="A229" s="507"/>
      <c r="B229" s="572"/>
      <c r="C229" s="572"/>
      <c r="D229" s="572"/>
      <c r="E229" s="572"/>
      <c r="F229" s="572"/>
      <c r="G229" s="572"/>
      <c r="H229" s="572"/>
      <c r="I229" s="572"/>
      <c r="J229" s="507"/>
      <c r="K229" s="507"/>
      <c r="L229" s="507"/>
      <c r="M229" s="507"/>
      <c r="N229" s="507"/>
      <c r="O229" s="507"/>
      <c r="P229" s="507"/>
      <c r="Q229" s="507"/>
      <c r="R229" s="507"/>
      <c r="S229" s="507"/>
      <c r="T229" s="507"/>
      <c r="U229" s="507"/>
      <c r="V229" s="507"/>
      <c r="W229" s="507"/>
      <c r="X229" s="507"/>
      <c r="Y229" s="507"/>
      <c r="Z229" s="507"/>
    </row>
    <row r="230">
      <c r="A230" s="507"/>
      <c r="B230" s="572"/>
      <c r="C230" s="572"/>
      <c r="D230" s="572"/>
      <c r="E230" s="572"/>
      <c r="F230" s="572"/>
      <c r="G230" s="572"/>
      <c r="H230" s="572"/>
      <c r="I230" s="572"/>
      <c r="J230" s="507"/>
      <c r="K230" s="507"/>
      <c r="L230" s="507"/>
      <c r="M230" s="507"/>
      <c r="N230" s="507"/>
      <c r="O230" s="507"/>
      <c r="P230" s="507"/>
      <c r="Q230" s="507"/>
      <c r="R230" s="507"/>
      <c r="S230" s="507"/>
      <c r="T230" s="507"/>
      <c r="U230" s="507"/>
      <c r="V230" s="507"/>
      <c r="W230" s="507"/>
      <c r="X230" s="507"/>
      <c r="Y230" s="507"/>
      <c r="Z230" s="507"/>
    </row>
    <row r="231">
      <c r="A231" s="507"/>
      <c r="B231" s="572"/>
      <c r="C231" s="572"/>
      <c r="D231" s="572"/>
      <c r="E231" s="572"/>
      <c r="F231" s="572"/>
      <c r="G231" s="572"/>
      <c r="H231" s="572"/>
      <c r="I231" s="572"/>
      <c r="J231" s="507"/>
      <c r="K231" s="507"/>
      <c r="L231" s="507"/>
      <c r="M231" s="507"/>
      <c r="N231" s="507"/>
      <c r="O231" s="507"/>
      <c r="P231" s="507"/>
      <c r="Q231" s="507"/>
      <c r="R231" s="507"/>
      <c r="S231" s="507"/>
      <c r="T231" s="507"/>
      <c r="U231" s="507"/>
      <c r="V231" s="507"/>
      <c r="W231" s="507"/>
      <c r="X231" s="507"/>
      <c r="Y231" s="507"/>
      <c r="Z231" s="507"/>
    </row>
    <row r="232">
      <c r="A232" s="507"/>
      <c r="B232" s="572"/>
      <c r="C232" s="572"/>
      <c r="D232" s="572"/>
      <c r="E232" s="572"/>
      <c r="F232" s="572"/>
      <c r="G232" s="572"/>
      <c r="H232" s="572"/>
      <c r="I232" s="572"/>
      <c r="J232" s="507"/>
      <c r="K232" s="507"/>
      <c r="L232" s="507"/>
      <c r="M232" s="507"/>
      <c r="N232" s="507"/>
      <c r="O232" s="507"/>
      <c r="P232" s="507"/>
      <c r="Q232" s="507"/>
      <c r="R232" s="507"/>
      <c r="S232" s="507"/>
      <c r="T232" s="507"/>
      <c r="U232" s="507"/>
      <c r="V232" s="507"/>
      <c r="W232" s="507"/>
      <c r="X232" s="507"/>
      <c r="Y232" s="507"/>
      <c r="Z232" s="507"/>
    </row>
    <row r="233">
      <c r="A233" s="507"/>
      <c r="B233" s="572"/>
      <c r="C233" s="572"/>
      <c r="D233" s="572"/>
      <c r="E233" s="572"/>
      <c r="F233" s="572"/>
      <c r="G233" s="572"/>
      <c r="H233" s="572"/>
      <c r="I233" s="572"/>
      <c r="J233" s="507"/>
      <c r="K233" s="507"/>
      <c r="L233" s="507"/>
      <c r="M233" s="507"/>
      <c r="N233" s="507"/>
      <c r="O233" s="507"/>
      <c r="P233" s="507"/>
      <c r="Q233" s="507"/>
      <c r="R233" s="507"/>
      <c r="S233" s="507"/>
      <c r="T233" s="507"/>
      <c r="U233" s="507"/>
      <c r="V233" s="507"/>
      <c r="W233" s="507"/>
      <c r="X233" s="507"/>
      <c r="Y233" s="507"/>
      <c r="Z233" s="507"/>
    </row>
    <row r="234">
      <c r="A234" s="507"/>
      <c r="B234" s="572"/>
      <c r="C234" s="572"/>
      <c r="D234" s="572"/>
      <c r="E234" s="572"/>
      <c r="F234" s="572"/>
      <c r="G234" s="572"/>
      <c r="H234" s="572"/>
      <c r="I234" s="572"/>
      <c r="J234" s="507"/>
      <c r="K234" s="507"/>
      <c r="L234" s="507"/>
      <c r="M234" s="507"/>
      <c r="N234" s="507"/>
      <c r="O234" s="507"/>
      <c r="P234" s="507"/>
      <c r="Q234" s="507"/>
      <c r="R234" s="507"/>
      <c r="S234" s="507"/>
      <c r="T234" s="507"/>
      <c r="U234" s="507"/>
      <c r="V234" s="507"/>
      <c r="W234" s="507"/>
      <c r="X234" s="507"/>
      <c r="Y234" s="507"/>
      <c r="Z234" s="507"/>
    </row>
    <row r="235">
      <c r="A235" s="507"/>
      <c r="B235" s="572"/>
      <c r="C235" s="572"/>
      <c r="D235" s="572"/>
      <c r="E235" s="572"/>
      <c r="F235" s="572"/>
      <c r="G235" s="572"/>
      <c r="H235" s="572"/>
      <c r="I235" s="572"/>
      <c r="J235" s="507"/>
      <c r="K235" s="507"/>
      <c r="L235" s="507"/>
      <c r="M235" s="507"/>
      <c r="N235" s="507"/>
      <c r="O235" s="507"/>
      <c r="P235" s="507"/>
      <c r="Q235" s="507"/>
      <c r="R235" s="507"/>
      <c r="S235" s="507"/>
      <c r="T235" s="507"/>
      <c r="U235" s="507"/>
      <c r="V235" s="507"/>
      <c r="W235" s="507"/>
      <c r="X235" s="507"/>
      <c r="Y235" s="507"/>
      <c r="Z235" s="507"/>
    </row>
    <row r="236">
      <c r="A236" s="507"/>
      <c r="B236" s="572"/>
      <c r="C236" s="572"/>
      <c r="D236" s="572"/>
      <c r="E236" s="572"/>
      <c r="F236" s="572"/>
      <c r="G236" s="572"/>
      <c r="H236" s="572"/>
      <c r="I236" s="572"/>
      <c r="J236" s="507"/>
      <c r="K236" s="507"/>
      <c r="L236" s="507"/>
      <c r="M236" s="507"/>
      <c r="N236" s="507"/>
      <c r="O236" s="507"/>
      <c r="P236" s="507"/>
      <c r="Q236" s="507"/>
      <c r="R236" s="507"/>
      <c r="S236" s="507"/>
      <c r="T236" s="507"/>
      <c r="U236" s="507"/>
      <c r="V236" s="507"/>
      <c r="W236" s="507"/>
      <c r="X236" s="507"/>
      <c r="Y236" s="507"/>
      <c r="Z236" s="507"/>
    </row>
    <row r="237">
      <c r="A237" s="507"/>
      <c r="B237" s="572"/>
      <c r="C237" s="572"/>
      <c r="D237" s="572"/>
      <c r="E237" s="572"/>
      <c r="F237" s="572"/>
      <c r="G237" s="572"/>
      <c r="H237" s="572"/>
      <c r="I237" s="572"/>
      <c r="J237" s="507"/>
      <c r="K237" s="507"/>
      <c r="L237" s="507"/>
      <c r="M237" s="507"/>
      <c r="N237" s="507"/>
      <c r="O237" s="507"/>
      <c r="P237" s="507"/>
      <c r="Q237" s="507"/>
      <c r="R237" s="507"/>
      <c r="S237" s="507"/>
      <c r="T237" s="507"/>
      <c r="U237" s="507"/>
      <c r="V237" s="507"/>
      <c r="W237" s="507"/>
      <c r="X237" s="507"/>
      <c r="Y237" s="507"/>
      <c r="Z237" s="507"/>
    </row>
    <row r="238">
      <c r="A238" s="507"/>
      <c r="B238" s="572"/>
      <c r="C238" s="572"/>
      <c r="D238" s="572"/>
      <c r="E238" s="572"/>
      <c r="F238" s="572"/>
      <c r="G238" s="572"/>
      <c r="H238" s="572"/>
      <c r="I238" s="572"/>
      <c r="J238" s="507"/>
      <c r="K238" s="507"/>
      <c r="L238" s="507"/>
      <c r="M238" s="507"/>
      <c r="N238" s="507"/>
      <c r="O238" s="507"/>
      <c r="P238" s="507"/>
      <c r="Q238" s="507"/>
      <c r="R238" s="507"/>
      <c r="S238" s="507"/>
      <c r="T238" s="507"/>
      <c r="U238" s="507"/>
      <c r="V238" s="507"/>
      <c r="W238" s="507"/>
      <c r="X238" s="507"/>
      <c r="Y238" s="507"/>
      <c r="Z238" s="507"/>
    </row>
    <row r="239">
      <c r="A239" s="507"/>
      <c r="B239" s="572"/>
      <c r="C239" s="572"/>
      <c r="D239" s="572"/>
      <c r="E239" s="572"/>
      <c r="F239" s="572"/>
      <c r="G239" s="572"/>
      <c r="H239" s="572"/>
      <c r="I239" s="572"/>
      <c r="J239" s="507"/>
      <c r="K239" s="507"/>
      <c r="L239" s="507"/>
      <c r="M239" s="507"/>
      <c r="N239" s="507"/>
      <c r="O239" s="507"/>
      <c r="P239" s="507"/>
      <c r="Q239" s="507"/>
      <c r="R239" s="507"/>
      <c r="S239" s="507"/>
      <c r="T239" s="507"/>
      <c r="U239" s="507"/>
      <c r="V239" s="507"/>
      <c r="W239" s="507"/>
      <c r="X239" s="507"/>
      <c r="Y239" s="507"/>
      <c r="Z239" s="507"/>
    </row>
    <row r="240">
      <c r="A240" s="507"/>
      <c r="B240" s="572"/>
      <c r="C240" s="572"/>
      <c r="D240" s="572"/>
      <c r="E240" s="572"/>
      <c r="F240" s="572"/>
      <c r="G240" s="572"/>
      <c r="H240" s="572"/>
      <c r="I240" s="572"/>
      <c r="J240" s="507"/>
      <c r="K240" s="507"/>
      <c r="L240" s="507"/>
      <c r="M240" s="507"/>
      <c r="N240" s="507"/>
      <c r="O240" s="507"/>
      <c r="P240" s="507"/>
      <c r="Q240" s="507"/>
      <c r="R240" s="507"/>
      <c r="S240" s="507"/>
      <c r="T240" s="507"/>
      <c r="U240" s="507"/>
      <c r="V240" s="507"/>
      <c r="W240" s="507"/>
      <c r="X240" s="507"/>
      <c r="Y240" s="507"/>
      <c r="Z240" s="507"/>
    </row>
    <row r="241">
      <c r="A241" s="507"/>
      <c r="B241" s="572"/>
      <c r="C241" s="572"/>
      <c r="D241" s="572"/>
      <c r="E241" s="572"/>
      <c r="F241" s="572"/>
      <c r="G241" s="572"/>
      <c r="H241" s="572"/>
      <c r="I241" s="572"/>
      <c r="J241" s="507"/>
      <c r="K241" s="507"/>
      <c r="L241" s="507"/>
      <c r="M241" s="507"/>
      <c r="N241" s="507"/>
      <c r="O241" s="507"/>
      <c r="P241" s="507"/>
      <c r="Q241" s="507"/>
      <c r="R241" s="507"/>
      <c r="S241" s="507"/>
      <c r="T241" s="507"/>
      <c r="U241" s="507"/>
      <c r="V241" s="507"/>
      <c r="W241" s="507"/>
      <c r="X241" s="507"/>
      <c r="Y241" s="507"/>
      <c r="Z241" s="507"/>
    </row>
    <row r="242">
      <c r="A242" s="507"/>
      <c r="B242" s="572"/>
      <c r="C242" s="572"/>
      <c r="D242" s="572"/>
      <c r="E242" s="572"/>
      <c r="F242" s="572"/>
      <c r="G242" s="572"/>
      <c r="H242" s="572"/>
      <c r="I242" s="572"/>
      <c r="J242" s="507"/>
      <c r="K242" s="507"/>
      <c r="L242" s="507"/>
      <c r="M242" s="507"/>
      <c r="N242" s="507"/>
      <c r="O242" s="507"/>
      <c r="P242" s="507"/>
      <c r="Q242" s="507"/>
      <c r="R242" s="507"/>
      <c r="S242" s="507"/>
      <c r="T242" s="507"/>
      <c r="U242" s="507"/>
      <c r="V242" s="507"/>
      <c r="W242" s="507"/>
      <c r="X242" s="507"/>
      <c r="Y242" s="507"/>
      <c r="Z242" s="507"/>
    </row>
    <row r="243">
      <c r="A243" s="507"/>
      <c r="B243" s="572"/>
      <c r="C243" s="572"/>
      <c r="D243" s="572"/>
      <c r="E243" s="572"/>
      <c r="F243" s="572"/>
      <c r="G243" s="572"/>
      <c r="H243" s="572"/>
      <c r="I243" s="572"/>
      <c r="J243" s="507"/>
      <c r="K243" s="507"/>
      <c r="L243" s="507"/>
      <c r="M243" s="507"/>
      <c r="N243" s="507"/>
      <c r="O243" s="507"/>
      <c r="P243" s="507"/>
      <c r="Q243" s="507"/>
      <c r="R243" s="507"/>
      <c r="S243" s="507"/>
      <c r="T243" s="507"/>
      <c r="U243" s="507"/>
      <c r="V243" s="507"/>
      <c r="W243" s="507"/>
      <c r="X243" s="507"/>
      <c r="Y243" s="507"/>
      <c r="Z243" s="507"/>
    </row>
    <row r="244">
      <c r="A244" s="507"/>
      <c r="B244" s="572"/>
      <c r="C244" s="572"/>
      <c r="D244" s="572"/>
      <c r="E244" s="572"/>
      <c r="F244" s="572"/>
      <c r="G244" s="572"/>
      <c r="H244" s="572"/>
      <c r="I244" s="572"/>
      <c r="J244" s="507"/>
      <c r="K244" s="507"/>
      <c r="L244" s="507"/>
      <c r="M244" s="507"/>
      <c r="N244" s="507"/>
      <c r="O244" s="507"/>
      <c r="P244" s="507"/>
      <c r="Q244" s="507"/>
      <c r="R244" s="507"/>
      <c r="S244" s="507"/>
      <c r="T244" s="507"/>
      <c r="U244" s="507"/>
      <c r="V244" s="507"/>
      <c r="W244" s="507"/>
      <c r="X244" s="507"/>
      <c r="Y244" s="507"/>
      <c r="Z244" s="507"/>
    </row>
    <row r="245">
      <c r="A245" s="507"/>
      <c r="B245" s="572"/>
      <c r="C245" s="572"/>
      <c r="D245" s="572"/>
      <c r="E245" s="572"/>
      <c r="F245" s="572"/>
      <c r="G245" s="572"/>
      <c r="H245" s="572"/>
      <c r="I245" s="572"/>
      <c r="J245" s="507"/>
      <c r="K245" s="507"/>
      <c r="L245" s="507"/>
      <c r="M245" s="507"/>
      <c r="N245" s="507"/>
      <c r="O245" s="507"/>
      <c r="P245" s="507"/>
      <c r="Q245" s="507"/>
      <c r="R245" s="507"/>
      <c r="S245" s="507"/>
      <c r="T245" s="507"/>
      <c r="U245" s="507"/>
      <c r="V245" s="507"/>
      <c r="W245" s="507"/>
      <c r="X245" s="507"/>
      <c r="Y245" s="507"/>
      <c r="Z245" s="507"/>
    </row>
    <row r="246">
      <c r="A246" s="507"/>
      <c r="B246" s="572"/>
      <c r="C246" s="572"/>
      <c r="D246" s="572"/>
      <c r="E246" s="572"/>
      <c r="F246" s="572"/>
      <c r="G246" s="572"/>
      <c r="H246" s="572"/>
      <c r="I246" s="572"/>
      <c r="J246" s="507"/>
      <c r="K246" s="507"/>
      <c r="L246" s="507"/>
      <c r="M246" s="507"/>
      <c r="N246" s="507"/>
      <c r="O246" s="507"/>
      <c r="P246" s="507"/>
      <c r="Q246" s="507"/>
      <c r="R246" s="507"/>
      <c r="S246" s="507"/>
      <c r="T246" s="507"/>
      <c r="U246" s="507"/>
      <c r="V246" s="507"/>
      <c r="W246" s="507"/>
      <c r="X246" s="507"/>
      <c r="Y246" s="507"/>
      <c r="Z246" s="507"/>
    </row>
    <row r="247">
      <c r="A247" s="507"/>
      <c r="B247" s="572"/>
      <c r="C247" s="572"/>
      <c r="D247" s="572"/>
      <c r="E247" s="572"/>
      <c r="F247" s="572"/>
      <c r="G247" s="572"/>
      <c r="H247" s="572"/>
      <c r="I247" s="572"/>
      <c r="J247" s="507"/>
      <c r="K247" s="507"/>
      <c r="L247" s="507"/>
      <c r="M247" s="507"/>
      <c r="N247" s="507"/>
      <c r="O247" s="507"/>
      <c r="P247" s="507"/>
      <c r="Q247" s="507"/>
      <c r="R247" s="507"/>
      <c r="S247" s="507"/>
      <c r="T247" s="507"/>
      <c r="U247" s="507"/>
      <c r="V247" s="507"/>
      <c r="W247" s="507"/>
      <c r="X247" s="507"/>
      <c r="Y247" s="507"/>
      <c r="Z247" s="507"/>
    </row>
    <row r="248">
      <c r="A248" s="507"/>
      <c r="B248" s="572"/>
      <c r="C248" s="572"/>
      <c r="D248" s="572"/>
      <c r="E248" s="572"/>
      <c r="F248" s="572"/>
      <c r="G248" s="572"/>
      <c r="H248" s="572"/>
      <c r="I248" s="572"/>
      <c r="J248" s="507"/>
      <c r="K248" s="507"/>
      <c r="L248" s="507"/>
      <c r="M248" s="507"/>
      <c r="N248" s="507"/>
      <c r="O248" s="507"/>
      <c r="P248" s="507"/>
      <c r="Q248" s="507"/>
      <c r="R248" s="507"/>
      <c r="S248" s="507"/>
      <c r="T248" s="507"/>
      <c r="U248" s="507"/>
      <c r="V248" s="507"/>
      <c r="W248" s="507"/>
      <c r="X248" s="507"/>
      <c r="Y248" s="507"/>
      <c r="Z248" s="507"/>
    </row>
    <row r="249">
      <c r="A249" s="507"/>
      <c r="B249" s="572"/>
      <c r="C249" s="572"/>
      <c r="D249" s="572"/>
      <c r="E249" s="572"/>
      <c r="F249" s="572"/>
      <c r="G249" s="572"/>
      <c r="H249" s="572"/>
      <c r="I249" s="572"/>
      <c r="J249" s="507"/>
      <c r="K249" s="507"/>
      <c r="L249" s="507"/>
      <c r="M249" s="507"/>
      <c r="N249" s="507"/>
      <c r="O249" s="507"/>
      <c r="P249" s="507"/>
      <c r="Q249" s="507"/>
      <c r="R249" s="507"/>
      <c r="S249" s="507"/>
      <c r="T249" s="507"/>
      <c r="U249" s="507"/>
      <c r="V249" s="507"/>
      <c r="W249" s="507"/>
      <c r="X249" s="507"/>
      <c r="Y249" s="507"/>
      <c r="Z249" s="507"/>
    </row>
    <row r="250">
      <c r="A250" s="507"/>
      <c r="B250" s="572"/>
      <c r="C250" s="572"/>
      <c r="D250" s="572"/>
      <c r="E250" s="572"/>
      <c r="F250" s="572"/>
      <c r="G250" s="572"/>
      <c r="H250" s="572"/>
      <c r="I250" s="572"/>
      <c r="J250" s="507"/>
      <c r="K250" s="507"/>
      <c r="L250" s="507"/>
      <c r="M250" s="507"/>
      <c r="N250" s="507"/>
      <c r="O250" s="507"/>
      <c r="P250" s="507"/>
      <c r="Q250" s="507"/>
      <c r="R250" s="507"/>
      <c r="S250" s="507"/>
      <c r="T250" s="507"/>
      <c r="U250" s="507"/>
      <c r="V250" s="507"/>
      <c r="W250" s="507"/>
      <c r="X250" s="507"/>
      <c r="Y250" s="507"/>
      <c r="Z250" s="507"/>
    </row>
    <row r="251">
      <c r="A251" s="507"/>
      <c r="B251" s="572"/>
      <c r="C251" s="572"/>
      <c r="D251" s="572"/>
      <c r="E251" s="572"/>
      <c r="F251" s="572"/>
      <c r="G251" s="572"/>
      <c r="H251" s="572"/>
      <c r="I251" s="572"/>
      <c r="J251" s="507"/>
      <c r="K251" s="507"/>
      <c r="L251" s="507"/>
      <c r="M251" s="507"/>
      <c r="N251" s="507"/>
      <c r="O251" s="507"/>
      <c r="P251" s="507"/>
      <c r="Q251" s="507"/>
      <c r="R251" s="507"/>
      <c r="S251" s="507"/>
      <c r="T251" s="507"/>
      <c r="U251" s="507"/>
      <c r="V251" s="507"/>
      <c r="W251" s="507"/>
      <c r="X251" s="507"/>
      <c r="Y251" s="507"/>
      <c r="Z251" s="507"/>
    </row>
    <row r="252">
      <c r="A252" s="507"/>
      <c r="B252" s="572"/>
      <c r="C252" s="572"/>
      <c r="D252" s="572"/>
      <c r="E252" s="572"/>
      <c r="F252" s="572"/>
      <c r="G252" s="572"/>
      <c r="H252" s="572"/>
      <c r="I252" s="572"/>
      <c r="J252" s="507"/>
      <c r="K252" s="507"/>
      <c r="L252" s="507"/>
      <c r="M252" s="507"/>
      <c r="N252" s="507"/>
      <c r="O252" s="507"/>
      <c r="P252" s="507"/>
      <c r="Q252" s="507"/>
      <c r="R252" s="507"/>
      <c r="S252" s="507"/>
      <c r="T252" s="507"/>
      <c r="U252" s="507"/>
      <c r="V252" s="507"/>
      <c r="W252" s="507"/>
      <c r="X252" s="507"/>
      <c r="Y252" s="507"/>
      <c r="Z252" s="507"/>
    </row>
    <row r="253">
      <c r="A253" s="507"/>
      <c r="B253" s="572"/>
      <c r="C253" s="572"/>
      <c r="D253" s="572"/>
      <c r="E253" s="572"/>
      <c r="F253" s="572"/>
      <c r="G253" s="572"/>
      <c r="H253" s="572"/>
      <c r="I253" s="572"/>
      <c r="J253" s="507"/>
      <c r="K253" s="507"/>
      <c r="L253" s="507"/>
      <c r="M253" s="507"/>
      <c r="N253" s="507"/>
      <c r="O253" s="507"/>
      <c r="P253" s="507"/>
      <c r="Q253" s="507"/>
      <c r="R253" s="507"/>
      <c r="S253" s="507"/>
      <c r="T253" s="507"/>
      <c r="U253" s="507"/>
      <c r="V253" s="507"/>
      <c r="W253" s="507"/>
      <c r="X253" s="507"/>
      <c r="Y253" s="507"/>
      <c r="Z253" s="507"/>
    </row>
    <row r="254">
      <c r="A254" s="507"/>
      <c r="B254" s="572"/>
      <c r="C254" s="572"/>
      <c r="D254" s="572"/>
      <c r="E254" s="572"/>
      <c r="F254" s="572"/>
      <c r="G254" s="572"/>
      <c r="H254" s="572"/>
      <c r="I254" s="572"/>
      <c r="J254" s="507"/>
      <c r="K254" s="507"/>
      <c r="L254" s="507"/>
      <c r="M254" s="507"/>
      <c r="N254" s="507"/>
      <c r="O254" s="507"/>
      <c r="P254" s="507"/>
      <c r="Q254" s="507"/>
      <c r="R254" s="507"/>
      <c r="S254" s="507"/>
      <c r="T254" s="507"/>
      <c r="U254" s="507"/>
      <c r="V254" s="507"/>
      <c r="W254" s="507"/>
      <c r="X254" s="507"/>
      <c r="Y254" s="507"/>
      <c r="Z254" s="507"/>
    </row>
    <row r="255">
      <c r="A255" s="507"/>
      <c r="B255" s="572"/>
      <c r="C255" s="572"/>
      <c r="D255" s="572"/>
      <c r="E255" s="572"/>
      <c r="F255" s="572"/>
      <c r="G255" s="572"/>
      <c r="H255" s="572"/>
      <c r="I255" s="572"/>
      <c r="J255" s="507"/>
      <c r="K255" s="507"/>
      <c r="L255" s="507"/>
      <c r="M255" s="507"/>
      <c r="N255" s="507"/>
      <c r="O255" s="507"/>
      <c r="P255" s="507"/>
      <c r="Q255" s="507"/>
      <c r="R255" s="507"/>
      <c r="S255" s="507"/>
      <c r="T255" s="507"/>
      <c r="U255" s="507"/>
      <c r="V255" s="507"/>
      <c r="W255" s="507"/>
      <c r="X255" s="507"/>
      <c r="Y255" s="507"/>
      <c r="Z255" s="507"/>
    </row>
    <row r="256">
      <c r="A256" s="507"/>
      <c r="B256" s="572"/>
      <c r="C256" s="572"/>
      <c r="D256" s="572"/>
      <c r="E256" s="572"/>
      <c r="F256" s="572"/>
      <c r="G256" s="572"/>
      <c r="H256" s="572"/>
      <c r="I256" s="572"/>
      <c r="J256" s="507"/>
      <c r="K256" s="507"/>
      <c r="L256" s="507"/>
      <c r="M256" s="507"/>
      <c r="N256" s="507"/>
      <c r="O256" s="507"/>
      <c r="P256" s="507"/>
      <c r="Q256" s="507"/>
      <c r="R256" s="507"/>
      <c r="S256" s="507"/>
      <c r="T256" s="507"/>
      <c r="U256" s="507"/>
      <c r="V256" s="507"/>
      <c r="W256" s="507"/>
      <c r="X256" s="507"/>
      <c r="Y256" s="507"/>
      <c r="Z256" s="507"/>
    </row>
    <row r="257">
      <c r="A257" s="507"/>
      <c r="B257" s="572"/>
      <c r="C257" s="572"/>
      <c r="D257" s="572"/>
      <c r="E257" s="572"/>
      <c r="F257" s="572"/>
      <c r="G257" s="572"/>
      <c r="H257" s="572"/>
      <c r="I257" s="572"/>
      <c r="J257" s="507"/>
      <c r="K257" s="507"/>
      <c r="L257" s="507"/>
      <c r="M257" s="507"/>
      <c r="N257" s="507"/>
      <c r="O257" s="507"/>
      <c r="P257" s="507"/>
      <c r="Q257" s="507"/>
      <c r="R257" s="507"/>
      <c r="S257" s="507"/>
      <c r="T257" s="507"/>
      <c r="U257" s="507"/>
      <c r="V257" s="507"/>
      <c r="W257" s="507"/>
      <c r="X257" s="507"/>
      <c r="Y257" s="507"/>
      <c r="Z257" s="507"/>
    </row>
    <row r="258">
      <c r="A258" s="507"/>
      <c r="B258" s="572"/>
      <c r="C258" s="572"/>
      <c r="D258" s="572"/>
      <c r="E258" s="572"/>
      <c r="F258" s="572"/>
      <c r="G258" s="572"/>
      <c r="H258" s="572"/>
      <c r="I258" s="572"/>
      <c r="J258" s="507"/>
      <c r="K258" s="507"/>
      <c r="L258" s="507"/>
      <c r="M258" s="507"/>
      <c r="N258" s="507"/>
      <c r="O258" s="507"/>
      <c r="P258" s="507"/>
      <c r="Q258" s="507"/>
      <c r="R258" s="507"/>
      <c r="S258" s="507"/>
      <c r="T258" s="507"/>
      <c r="U258" s="507"/>
      <c r="V258" s="507"/>
      <c r="W258" s="507"/>
      <c r="X258" s="507"/>
      <c r="Y258" s="507"/>
      <c r="Z258" s="507"/>
    </row>
    <row r="259">
      <c r="A259" s="507"/>
      <c r="B259" s="572"/>
      <c r="C259" s="572"/>
      <c r="D259" s="572"/>
      <c r="E259" s="572"/>
      <c r="F259" s="572"/>
      <c r="G259" s="572"/>
      <c r="H259" s="572"/>
      <c r="I259" s="572"/>
      <c r="J259" s="507"/>
      <c r="K259" s="507"/>
      <c r="L259" s="507"/>
      <c r="M259" s="507"/>
      <c r="N259" s="507"/>
      <c r="O259" s="507"/>
      <c r="P259" s="507"/>
      <c r="Q259" s="507"/>
      <c r="R259" s="507"/>
      <c r="S259" s="507"/>
      <c r="T259" s="507"/>
      <c r="U259" s="507"/>
      <c r="V259" s="507"/>
      <c r="W259" s="507"/>
      <c r="X259" s="507"/>
      <c r="Y259" s="507"/>
      <c r="Z259" s="507"/>
    </row>
    <row r="260">
      <c r="A260" s="507"/>
      <c r="B260" s="572"/>
      <c r="C260" s="572"/>
      <c r="D260" s="572"/>
      <c r="E260" s="572"/>
      <c r="F260" s="572"/>
      <c r="G260" s="572"/>
      <c r="H260" s="572"/>
      <c r="I260" s="572"/>
      <c r="J260" s="507"/>
      <c r="K260" s="507"/>
      <c r="L260" s="507"/>
      <c r="M260" s="507"/>
      <c r="N260" s="507"/>
      <c r="O260" s="507"/>
      <c r="P260" s="507"/>
      <c r="Q260" s="507"/>
      <c r="R260" s="507"/>
      <c r="S260" s="507"/>
      <c r="T260" s="507"/>
      <c r="U260" s="507"/>
      <c r="V260" s="507"/>
      <c r="W260" s="507"/>
      <c r="X260" s="507"/>
      <c r="Y260" s="507"/>
      <c r="Z260" s="507"/>
    </row>
    <row r="261">
      <c r="A261" s="507"/>
      <c r="B261" s="572"/>
      <c r="C261" s="572"/>
      <c r="D261" s="572"/>
      <c r="E261" s="572"/>
      <c r="F261" s="572"/>
      <c r="G261" s="572"/>
      <c r="H261" s="572"/>
      <c r="I261" s="572"/>
      <c r="J261" s="507"/>
      <c r="K261" s="507"/>
      <c r="L261" s="507"/>
      <c r="M261" s="507"/>
      <c r="N261" s="507"/>
      <c r="O261" s="507"/>
      <c r="P261" s="507"/>
      <c r="Q261" s="507"/>
      <c r="R261" s="507"/>
      <c r="S261" s="507"/>
      <c r="T261" s="507"/>
      <c r="U261" s="507"/>
      <c r="V261" s="507"/>
      <c r="W261" s="507"/>
      <c r="X261" s="507"/>
      <c r="Y261" s="507"/>
      <c r="Z261" s="507"/>
    </row>
    <row r="262">
      <c r="A262" s="507"/>
      <c r="B262" s="572"/>
      <c r="C262" s="572"/>
      <c r="D262" s="572"/>
      <c r="E262" s="572"/>
      <c r="F262" s="572"/>
      <c r="G262" s="572"/>
      <c r="H262" s="572"/>
      <c r="I262" s="572"/>
      <c r="J262" s="507"/>
      <c r="K262" s="507"/>
      <c r="L262" s="507"/>
      <c r="M262" s="507"/>
      <c r="N262" s="507"/>
      <c r="O262" s="507"/>
      <c r="P262" s="507"/>
      <c r="Q262" s="507"/>
      <c r="R262" s="507"/>
      <c r="S262" s="507"/>
      <c r="T262" s="507"/>
      <c r="U262" s="507"/>
      <c r="V262" s="507"/>
      <c r="W262" s="507"/>
      <c r="X262" s="507"/>
      <c r="Y262" s="507"/>
      <c r="Z262" s="507"/>
    </row>
    <row r="263">
      <c r="A263" s="507"/>
      <c r="B263" s="572"/>
      <c r="C263" s="572"/>
      <c r="D263" s="572"/>
      <c r="E263" s="572"/>
      <c r="F263" s="572"/>
      <c r="G263" s="572"/>
      <c r="H263" s="572"/>
      <c r="I263" s="572"/>
      <c r="J263" s="507"/>
      <c r="K263" s="507"/>
      <c r="L263" s="507"/>
      <c r="M263" s="507"/>
      <c r="N263" s="507"/>
      <c r="O263" s="507"/>
      <c r="P263" s="507"/>
      <c r="Q263" s="507"/>
      <c r="R263" s="507"/>
      <c r="S263" s="507"/>
      <c r="T263" s="507"/>
      <c r="U263" s="507"/>
      <c r="V263" s="507"/>
      <c r="W263" s="507"/>
      <c r="X263" s="507"/>
      <c r="Y263" s="507"/>
      <c r="Z263" s="507"/>
    </row>
    <row r="264">
      <c r="A264" s="507"/>
      <c r="B264" s="572"/>
      <c r="C264" s="572"/>
      <c r="D264" s="572"/>
      <c r="E264" s="572"/>
      <c r="F264" s="572"/>
      <c r="G264" s="572"/>
      <c r="H264" s="572"/>
      <c r="I264" s="572"/>
      <c r="J264" s="507"/>
      <c r="K264" s="507"/>
      <c r="L264" s="507"/>
      <c r="M264" s="507"/>
      <c r="N264" s="507"/>
      <c r="O264" s="507"/>
      <c r="P264" s="507"/>
      <c r="Q264" s="507"/>
      <c r="R264" s="507"/>
      <c r="S264" s="507"/>
      <c r="T264" s="507"/>
      <c r="U264" s="507"/>
      <c r="V264" s="507"/>
      <c r="W264" s="507"/>
      <c r="X264" s="507"/>
      <c r="Y264" s="507"/>
      <c r="Z264" s="507"/>
    </row>
    <row r="265">
      <c r="A265" s="507"/>
      <c r="B265" s="572"/>
      <c r="C265" s="572"/>
      <c r="D265" s="572"/>
      <c r="E265" s="572"/>
      <c r="F265" s="572"/>
      <c r="G265" s="572"/>
      <c r="H265" s="572"/>
      <c r="I265" s="572"/>
      <c r="J265" s="507"/>
      <c r="K265" s="507"/>
      <c r="L265" s="507"/>
      <c r="M265" s="507"/>
      <c r="N265" s="507"/>
      <c r="O265" s="507"/>
      <c r="P265" s="507"/>
      <c r="Q265" s="507"/>
      <c r="R265" s="507"/>
      <c r="S265" s="507"/>
      <c r="T265" s="507"/>
      <c r="U265" s="507"/>
      <c r="V265" s="507"/>
      <c r="W265" s="507"/>
      <c r="X265" s="507"/>
      <c r="Y265" s="507"/>
      <c r="Z265" s="507"/>
    </row>
    <row r="266">
      <c r="A266" s="507"/>
      <c r="B266" s="572"/>
      <c r="C266" s="572"/>
      <c r="D266" s="572"/>
      <c r="E266" s="572"/>
      <c r="F266" s="572"/>
      <c r="G266" s="572"/>
      <c r="H266" s="572"/>
      <c r="I266" s="572"/>
      <c r="J266" s="507"/>
      <c r="K266" s="507"/>
      <c r="L266" s="507"/>
      <c r="M266" s="507"/>
      <c r="N266" s="507"/>
      <c r="O266" s="507"/>
      <c r="P266" s="507"/>
      <c r="Q266" s="507"/>
      <c r="R266" s="507"/>
      <c r="S266" s="507"/>
      <c r="T266" s="507"/>
      <c r="U266" s="507"/>
      <c r="V266" s="507"/>
      <c r="W266" s="507"/>
      <c r="X266" s="507"/>
      <c r="Y266" s="507"/>
      <c r="Z266" s="507"/>
    </row>
    <row r="267">
      <c r="A267" s="507"/>
      <c r="B267" s="572"/>
      <c r="C267" s="572"/>
      <c r="D267" s="572"/>
      <c r="E267" s="572"/>
      <c r="F267" s="572"/>
      <c r="G267" s="572"/>
      <c r="H267" s="572"/>
      <c r="I267" s="572"/>
      <c r="J267" s="507"/>
      <c r="K267" s="507"/>
      <c r="L267" s="507"/>
      <c r="M267" s="507"/>
      <c r="N267" s="507"/>
      <c r="O267" s="507"/>
      <c r="P267" s="507"/>
      <c r="Q267" s="507"/>
      <c r="R267" s="507"/>
      <c r="S267" s="507"/>
      <c r="T267" s="507"/>
      <c r="U267" s="507"/>
      <c r="V267" s="507"/>
      <c r="W267" s="507"/>
      <c r="X267" s="507"/>
      <c r="Y267" s="507"/>
      <c r="Z267" s="507"/>
    </row>
    <row r="268">
      <c r="A268" s="507"/>
      <c r="B268" s="572"/>
      <c r="C268" s="572"/>
      <c r="D268" s="572"/>
      <c r="E268" s="572"/>
      <c r="F268" s="572"/>
      <c r="G268" s="572"/>
      <c r="H268" s="572"/>
      <c r="I268" s="572"/>
      <c r="J268" s="507"/>
      <c r="K268" s="507"/>
      <c r="L268" s="507"/>
      <c r="M268" s="507"/>
      <c r="N268" s="507"/>
      <c r="O268" s="507"/>
      <c r="P268" s="507"/>
      <c r="Q268" s="507"/>
      <c r="R268" s="507"/>
      <c r="S268" s="507"/>
      <c r="T268" s="507"/>
      <c r="U268" s="507"/>
      <c r="V268" s="507"/>
      <c r="W268" s="507"/>
      <c r="X268" s="507"/>
      <c r="Y268" s="507"/>
      <c r="Z268" s="507"/>
    </row>
    <row r="269">
      <c r="A269" s="507"/>
      <c r="B269" s="572"/>
      <c r="C269" s="572"/>
      <c r="D269" s="572"/>
      <c r="E269" s="572"/>
      <c r="F269" s="572"/>
      <c r="G269" s="572"/>
      <c r="H269" s="572"/>
      <c r="I269" s="572"/>
      <c r="J269" s="507"/>
      <c r="K269" s="507"/>
      <c r="L269" s="507"/>
      <c r="M269" s="507"/>
      <c r="N269" s="507"/>
      <c r="O269" s="507"/>
      <c r="P269" s="507"/>
      <c r="Q269" s="507"/>
      <c r="R269" s="507"/>
      <c r="S269" s="507"/>
      <c r="T269" s="507"/>
      <c r="U269" s="507"/>
      <c r="V269" s="507"/>
      <c r="W269" s="507"/>
      <c r="X269" s="507"/>
      <c r="Y269" s="507"/>
      <c r="Z269" s="507"/>
    </row>
    <row r="270">
      <c r="A270" s="507"/>
      <c r="B270" s="572"/>
      <c r="C270" s="572"/>
      <c r="D270" s="572"/>
      <c r="E270" s="572"/>
      <c r="F270" s="572"/>
      <c r="G270" s="572"/>
      <c r="H270" s="572"/>
      <c r="I270" s="572"/>
      <c r="J270" s="507"/>
      <c r="K270" s="507"/>
      <c r="L270" s="507"/>
      <c r="M270" s="507"/>
      <c r="N270" s="507"/>
      <c r="O270" s="507"/>
      <c r="P270" s="507"/>
      <c r="Q270" s="507"/>
      <c r="R270" s="507"/>
      <c r="S270" s="507"/>
      <c r="T270" s="507"/>
      <c r="U270" s="507"/>
      <c r="V270" s="507"/>
      <c r="W270" s="507"/>
      <c r="X270" s="507"/>
      <c r="Y270" s="507"/>
      <c r="Z270" s="507"/>
    </row>
    <row r="271">
      <c r="A271" s="507"/>
      <c r="B271" s="572"/>
      <c r="C271" s="572"/>
      <c r="D271" s="572"/>
      <c r="E271" s="572"/>
      <c r="F271" s="572"/>
      <c r="G271" s="572"/>
      <c r="H271" s="572"/>
      <c r="I271" s="572"/>
      <c r="J271" s="507"/>
      <c r="K271" s="507"/>
      <c r="L271" s="507"/>
      <c r="M271" s="507"/>
      <c r="N271" s="507"/>
      <c r="O271" s="507"/>
      <c r="P271" s="507"/>
      <c r="Q271" s="507"/>
      <c r="R271" s="507"/>
      <c r="S271" s="507"/>
      <c r="T271" s="507"/>
      <c r="U271" s="507"/>
      <c r="V271" s="507"/>
      <c r="W271" s="507"/>
      <c r="X271" s="507"/>
      <c r="Y271" s="507"/>
      <c r="Z271" s="507"/>
    </row>
    <row r="272">
      <c r="A272" s="507"/>
      <c r="B272" s="572"/>
      <c r="C272" s="572"/>
      <c r="D272" s="572"/>
      <c r="E272" s="572"/>
      <c r="F272" s="572"/>
      <c r="G272" s="572"/>
      <c r="H272" s="572"/>
      <c r="I272" s="572"/>
      <c r="J272" s="507"/>
      <c r="K272" s="507"/>
      <c r="L272" s="507"/>
      <c r="M272" s="507"/>
      <c r="N272" s="507"/>
      <c r="O272" s="507"/>
      <c r="P272" s="507"/>
      <c r="Q272" s="507"/>
      <c r="R272" s="507"/>
      <c r="S272" s="507"/>
      <c r="T272" s="507"/>
      <c r="U272" s="507"/>
      <c r="V272" s="507"/>
      <c r="W272" s="507"/>
      <c r="X272" s="507"/>
      <c r="Y272" s="507"/>
      <c r="Z272" s="507"/>
    </row>
    <row r="273">
      <c r="A273" s="507"/>
      <c r="B273" s="572"/>
      <c r="C273" s="572"/>
      <c r="D273" s="572"/>
      <c r="E273" s="572"/>
      <c r="F273" s="572"/>
      <c r="G273" s="572"/>
      <c r="H273" s="572"/>
      <c r="I273" s="572"/>
      <c r="J273" s="507"/>
      <c r="K273" s="507"/>
      <c r="L273" s="507"/>
      <c r="M273" s="507"/>
      <c r="N273" s="507"/>
      <c r="O273" s="507"/>
      <c r="P273" s="507"/>
      <c r="Q273" s="507"/>
      <c r="R273" s="507"/>
      <c r="S273" s="507"/>
      <c r="T273" s="507"/>
      <c r="U273" s="507"/>
      <c r="V273" s="507"/>
      <c r="W273" s="507"/>
      <c r="X273" s="507"/>
      <c r="Y273" s="507"/>
      <c r="Z273" s="507"/>
    </row>
    <row r="274">
      <c r="A274" s="507"/>
      <c r="B274" s="572"/>
      <c r="C274" s="572"/>
      <c r="D274" s="572"/>
      <c r="E274" s="572"/>
      <c r="F274" s="572"/>
      <c r="G274" s="572"/>
      <c r="H274" s="572"/>
      <c r="I274" s="572"/>
      <c r="J274" s="507"/>
      <c r="K274" s="507"/>
      <c r="L274" s="507"/>
      <c r="M274" s="507"/>
      <c r="N274" s="507"/>
      <c r="O274" s="507"/>
      <c r="P274" s="507"/>
      <c r="Q274" s="507"/>
      <c r="R274" s="507"/>
      <c r="S274" s="507"/>
      <c r="T274" s="507"/>
      <c r="U274" s="507"/>
      <c r="V274" s="507"/>
      <c r="W274" s="507"/>
      <c r="X274" s="507"/>
      <c r="Y274" s="507"/>
      <c r="Z274" s="507"/>
    </row>
    <row r="275">
      <c r="A275" s="507"/>
      <c r="B275" s="572"/>
      <c r="C275" s="572"/>
      <c r="D275" s="572"/>
      <c r="E275" s="572"/>
      <c r="F275" s="572"/>
      <c r="G275" s="572"/>
      <c r="H275" s="572"/>
      <c r="I275" s="572"/>
      <c r="J275" s="507"/>
      <c r="K275" s="507"/>
      <c r="L275" s="507"/>
      <c r="M275" s="507"/>
      <c r="N275" s="507"/>
      <c r="O275" s="507"/>
      <c r="P275" s="507"/>
      <c r="Q275" s="507"/>
      <c r="R275" s="507"/>
      <c r="S275" s="507"/>
      <c r="T275" s="507"/>
      <c r="U275" s="507"/>
      <c r="V275" s="507"/>
      <c r="W275" s="507"/>
      <c r="X275" s="507"/>
      <c r="Y275" s="507"/>
      <c r="Z275" s="507"/>
    </row>
    <row r="276">
      <c r="A276" s="507"/>
      <c r="B276" s="572"/>
      <c r="C276" s="572"/>
      <c r="D276" s="572"/>
      <c r="E276" s="572"/>
      <c r="F276" s="572"/>
      <c r="G276" s="572"/>
      <c r="H276" s="572"/>
      <c r="I276" s="572"/>
      <c r="J276" s="507"/>
      <c r="K276" s="507"/>
      <c r="L276" s="507"/>
      <c r="M276" s="507"/>
      <c r="N276" s="507"/>
      <c r="O276" s="507"/>
      <c r="P276" s="507"/>
      <c r="Q276" s="507"/>
      <c r="R276" s="507"/>
      <c r="S276" s="507"/>
      <c r="T276" s="507"/>
      <c r="U276" s="507"/>
      <c r="V276" s="507"/>
      <c r="W276" s="507"/>
      <c r="X276" s="507"/>
      <c r="Y276" s="507"/>
      <c r="Z276" s="507"/>
    </row>
    <row r="277">
      <c r="A277" s="507"/>
      <c r="B277" s="572"/>
      <c r="C277" s="572"/>
      <c r="D277" s="572"/>
      <c r="E277" s="572"/>
      <c r="F277" s="572"/>
      <c r="G277" s="572"/>
      <c r="H277" s="572"/>
      <c r="I277" s="572"/>
      <c r="J277" s="507"/>
      <c r="K277" s="507"/>
      <c r="L277" s="507"/>
      <c r="M277" s="507"/>
      <c r="N277" s="507"/>
      <c r="O277" s="507"/>
      <c r="P277" s="507"/>
      <c r="Q277" s="507"/>
      <c r="R277" s="507"/>
      <c r="S277" s="507"/>
      <c r="T277" s="507"/>
      <c r="U277" s="507"/>
      <c r="V277" s="507"/>
      <c r="W277" s="507"/>
      <c r="X277" s="507"/>
      <c r="Y277" s="507"/>
      <c r="Z277" s="507"/>
    </row>
    <row r="278">
      <c r="A278" s="507"/>
      <c r="B278" s="572"/>
      <c r="C278" s="572"/>
      <c r="D278" s="572"/>
      <c r="E278" s="572"/>
      <c r="F278" s="572"/>
      <c r="G278" s="572"/>
      <c r="H278" s="572"/>
      <c r="I278" s="572"/>
      <c r="J278" s="507"/>
      <c r="K278" s="507"/>
      <c r="L278" s="507"/>
      <c r="M278" s="507"/>
      <c r="N278" s="507"/>
      <c r="O278" s="507"/>
      <c r="P278" s="507"/>
      <c r="Q278" s="507"/>
      <c r="R278" s="507"/>
      <c r="S278" s="507"/>
      <c r="T278" s="507"/>
      <c r="U278" s="507"/>
      <c r="V278" s="507"/>
      <c r="W278" s="507"/>
      <c r="X278" s="507"/>
      <c r="Y278" s="507"/>
      <c r="Z278" s="507"/>
    </row>
    <row r="279">
      <c r="A279" s="507"/>
      <c r="B279" s="572"/>
      <c r="C279" s="572"/>
      <c r="D279" s="572"/>
      <c r="E279" s="572"/>
      <c r="F279" s="572"/>
      <c r="G279" s="572"/>
      <c r="H279" s="572"/>
      <c r="I279" s="572"/>
      <c r="J279" s="507"/>
      <c r="K279" s="507"/>
      <c r="L279" s="507"/>
      <c r="M279" s="507"/>
      <c r="N279" s="507"/>
      <c r="O279" s="507"/>
      <c r="P279" s="507"/>
      <c r="Q279" s="507"/>
      <c r="R279" s="507"/>
      <c r="S279" s="507"/>
      <c r="T279" s="507"/>
      <c r="U279" s="507"/>
      <c r="V279" s="507"/>
      <c r="W279" s="507"/>
      <c r="X279" s="507"/>
      <c r="Y279" s="507"/>
      <c r="Z279" s="507"/>
    </row>
    <row r="280">
      <c r="A280" s="507"/>
      <c r="B280" s="572"/>
      <c r="C280" s="572"/>
      <c r="D280" s="572"/>
      <c r="E280" s="572"/>
      <c r="F280" s="572"/>
      <c r="G280" s="572"/>
      <c r="H280" s="572"/>
      <c r="I280" s="572"/>
      <c r="J280" s="507"/>
      <c r="K280" s="507"/>
      <c r="L280" s="507"/>
      <c r="M280" s="507"/>
      <c r="N280" s="507"/>
      <c r="O280" s="507"/>
      <c r="P280" s="507"/>
      <c r="Q280" s="507"/>
      <c r="R280" s="507"/>
      <c r="S280" s="507"/>
      <c r="T280" s="507"/>
      <c r="U280" s="507"/>
      <c r="V280" s="507"/>
      <c r="W280" s="507"/>
      <c r="X280" s="507"/>
      <c r="Y280" s="507"/>
      <c r="Z280" s="507"/>
    </row>
    <row r="281">
      <c r="A281" s="507"/>
      <c r="B281" s="572"/>
      <c r="C281" s="572"/>
      <c r="D281" s="572"/>
      <c r="E281" s="572"/>
      <c r="F281" s="572"/>
      <c r="G281" s="572"/>
      <c r="H281" s="572"/>
      <c r="I281" s="572"/>
      <c r="J281" s="507"/>
      <c r="K281" s="507"/>
      <c r="L281" s="507"/>
      <c r="M281" s="507"/>
      <c r="N281" s="507"/>
      <c r="O281" s="507"/>
      <c r="P281" s="507"/>
      <c r="Q281" s="507"/>
      <c r="R281" s="507"/>
      <c r="S281" s="507"/>
      <c r="T281" s="507"/>
      <c r="U281" s="507"/>
      <c r="V281" s="507"/>
      <c r="W281" s="507"/>
      <c r="X281" s="507"/>
      <c r="Y281" s="507"/>
      <c r="Z281" s="507"/>
    </row>
    <row r="282">
      <c r="A282" s="507"/>
      <c r="B282" s="572"/>
      <c r="C282" s="572"/>
      <c r="D282" s="572"/>
      <c r="E282" s="572"/>
      <c r="F282" s="572"/>
      <c r="G282" s="572"/>
      <c r="H282" s="572"/>
      <c r="I282" s="572"/>
      <c r="J282" s="507"/>
      <c r="K282" s="507"/>
      <c r="L282" s="507"/>
      <c r="M282" s="507"/>
      <c r="N282" s="507"/>
      <c r="O282" s="507"/>
      <c r="P282" s="507"/>
      <c r="Q282" s="507"/>
      <c r="R282" s="507"/>
      <c r="S282" s="507"/>
      <c r="T282" s="507"/>
      <c r="U282" s="507"/>
      <c r="V282" s="507"/>
      <c r="W282" s="507"/>
      <c r="X282" s="507"/>
      <c r="Y282" s="507"/>
      <c r="Z282" s="507"/>
    </row>
    <row r="283">
      <c r="A283" s="507"/>
      <c r="B283" s="572"/>
      <c r="C283" s="572"/>
      <c r="D283" s="572"/>
      <c r="E283" s="572"/>
      <c r="F283" s="572"/>
      <c r="G283" s="572"/>
      <c r="H283" s="572"/>
      <c r="I283" s="572"/>
      <c r="J283" s="507"/>
      <c r="K283" s="507"/>
      <c r="L283" s="507"/>
      <c r="M283" s="507"/>
      <c r="N283" s="507"/>
      <c r="O283" s="507"/>
      <c r="P283" s="507"/>
      <c r="Q283" s="507"/>
      <c r="R283" s="507"/>
      <c r="S283" s="507"/>
      <c r="T283" s="507"/>
      <c r="U283" s="507"/>
      <c r="V283" s="507"/>
      <c r="W283" s="507"/>
      <c r="X283" s="507"/>
      <c r="Y283" s="507"/>
      <c r="Z283" s="507"/>
    </row>
    <row r="284">
      <c r="A284" s="507"/>
      <c r="B284" s="572"/>
      <c r="C284" s="572"/>
      <c r="D284" s="572"/>
      <c r="E284" s="572"/>
      <c r="F284" s="572"/>
      <c r="G284" s="572"/>
      <c r="H284" s="572"/>
      <c r="I284" s="572"/>
      <c r="J284" s="507"/>
      <c r="K284" s="507"/>
      <c r="L284" s="507"/>
      <c r="M284" s="507"/>
      <c r="N284" s="507"/>
      <c r="O284" s="507"/>
      <c r="P284" s="507"/>
      <c r="Q284" s="507"/>
      <c r="R284" s="507"/>
      <c r="S284" s="507"/>
      <c r="T284" s="507"/>
      <c r="U284" s="507"/>
      <c r="V284" s="507"/>
      <c r="W284" s="507"/>
      <c r="X284" s="507"/>
      <c r="Y284" s="507"/>
      <c r="Z284" s="507"/>
    </row>
    <row r="285">
      <c r="A285" s="507"/>
      <c r="B285" s="572"/>
      <c r="C285" s="572"/>
      <c r="D285" s="572"/>
      <c r="E285" s="572"/>
      <c r="F285" s="572"/>
      <c r="G285" s="572"/>
      <c r="H285" s="572"/>
      <c r="I285" s="572"/>
      <c r="J285" s="507"/>
      <c r="K285" s="507"/>
      <c r="L285" s="507"/>
      <c r="M285" s="507"/>
      <c r="N285" s="507"/>
      <c r="O285" s="507"/>
      <c r="P285" s="507"/>
      <c r="Q285" s="507"/>
      <c r="R285" s="507"/>
      <c r="S285" s="507"/>
      <c r="T285" s="507"/>
      <c r="U285" s="507"/>
      <c r="V285" s="507"/>
      <c r="W285" s="507"/>
      <c r="X285" s="507"/>
      <c r="Y285" s="507"/>
      <c r="Z285" s="507"/>
    </row>
    <row r="286">
      <c r="A286" s="507"/>
      <c r="B286" s="572"/>
      <c r="C286" s="572"/>
      <c r="D286" s="572"/>
      <c r="E286" s="572"/>
      <c r="F286" s="572"/>
      <c r="G286" s="572"/>
      <c r="H286" s="572"/>
      <c r="I286" s="572"/>
      <c r="J286" s="507"/>
      <c r="K286" s="507"/>
      <c r="L286" s="507"/>
      <c r="M286" s="507"/>
      <c r="N286" s="507"/>
      <c r="O286" s="507"/>
      <c r="P286" s="507"/>
      <c r="Q286" s="507"/>
      <c r="R286" s="507"/>
      <c r="S286" s="507"/>
      <c r="T286" s="507"/>
      <c r="U286" s="507"/>
      <c r="V286" s="507"/>
      <c r="W286" s="507"/>
      <c r="X286" s="507"/>
      <c r="Y286" s="507"/>
      <c r="Z286" s="507"/>
    </row>
    <row r="287">
      <c r="A287" s="507"/>
      <c r="B287" s="572"/>
      <c r="C287" s="572"/>
      <c r="D287" s="572"/>
      <c r="E287" s="572"/>
      <c r="F287" s="572"/>
      <c r="G287" s="572"/>
      <c r="H287" s="572"/>
      <c r="I287" s="572"/>
      <c r="J287" s="507"/>
      <c r="K287" s="507"/>
      <c r="L287" s="507"/>
      <c r="M287" s="507"/>
      <c r="N287" s="507"/>
      <c r="O287" s="507"/>
      <c r="P287" s="507"/>
      <c r="Q287" s="507"/>
      <c r="R287" s="507"/>
      <c r="S287" s="507"/>
      <c r="T287" s="507"/>
      <c r="U287" s="507"/>
      <c r="V287" s="507"/>
      <c r="W287" s="507"/>
      <c r="X287" s="507"/>
      <c r="Y287" s="507"/>
      <c r="Z287" s="507"/>
    </row>
    <row r="288">
      <c r="A288" s="507"/>
      <c r="B288" s="572"/>
      <c r="C288" s="572"/>
      <c r="D288" s="572"/>
      <c r="E288" s="572"/>
      <c r="F288" s="572"/>
      <c r="G288" s="572"/>
      <c r="H288" s="572"/>
      <c r="I288" s="572"/>
      <c r="J288" s="507"/>
      <c r="K288" s="507"/>
      <c r="L288" s="507"/>
      <c r="M288" s="507"/>
      <c r="N288" s="507"/>
      <c r="O288" s="507"/>
      <c r="P288" s="507"/>
      <c r="Q288" s="507"/>
      <c r="R288" s="507"/>
      <c r="S288" s="507"/>
      <c r="T288" s="507"/>
      <c r="U288" s="507"/>
      <c r="V288" s="507"/>
      <c r="W288" s="507"/>
      <c r="X288" s="507"/>
      <c r="Y288" s="507"/>
      <c r="Z288" s="507"/>
    </row>
    <row r="289">
      <c r="A289" s="507"/>
      <c r="B289" s="572"/>
      <c r="C289" s="572"/>
      <c r="D289" s="572"/>
      <c r="E289" s="572"/>
      <c r="F289" s="572"/>
      <c r="G289" s="572"/>
      <c r="H289" s="572"/>
      <c r="I289" s="572"/>
      <c r="J289" s="507"/>
      <c r="K289" s="507"/>
      <c r="L289" s="507"/>
      <c r="M289" s="507"/>
      <c r="N289" s="507"/>
      <c r="O289" s="507"/>
      <c r="P289" s="507"/>
      <c r="Q289" s="507"/>
      <c r="R289" s="507"/>
      <c r="S289" s="507"/>
      <c r="T289" s="507"/>
      <c r="U289" s="507"/>
      <c r="V289" s="507"/>
      <c r="W289" s="507"/>
      <c r="X289" s="507"/>
      <c r="Y289" s="507"/>
      <c r="Z289" s="507"/>
    </row>
    <row r="290">
      <c r="A290" s="507"/>
      <c r="B290" s="572"/>
      <c r="C290" s="572"/>
      <c r="D290" s="572"/>
      <c r="E290" s="572"/>
      <c r="F290" s="572"/>
      <c r="G290" s="572"/>
      <c r="H290" s="572"/>
      <c r="I290" s="572"/>
      <c r="J290" s="507"/>
      <c r="K290" s="507"/>
      <c r="L290" s="507"/>
      <c r="M290" s="507"/>
      <c r="N290" s="507"/>
      <c r="O290" s="507"/>
      <c r="P290" s="507"/>
      <c r="Q290" s="507"/>
      <c r="R290" s="507"/>
      <c r="S290" s="507"/>
      <c r="T290" s="507"/>
      <c r="U290" s="507"/>
      <c r="V290" s="507"/>
      <c r="W290" s="507"/>
      <c r="X290" s="507"/>
      <c r="Y290" s="507"/>
      <c r="Z290" s="507"/>
    </row>
    <row r="291">
      <c r="A291" s="507"/>
      <c r="B291" s="572"/>
      <c r="C291" s="572"/>
      <c r="D291" s="572"/>
      <c r="E291" s="572"/>
      <c r="F291" s="572"/>
      <c r="G291" s="572"/>
      <c r="H291" s="572"/>
      <c r="I291" s="572"/>
      <c r="J291" s="507"/>
      <c r="K291" s="507"/>
      <c r="L291" s="507"/>
      <c r="M291" s="507"/>
      <c r="N291" s="507"/>
      <c r="O291" s="507"/>
      <c r="P291" s="507"/>
      <c r="Q291" s="507"/>
      <c r="R291" s="507"/>
      <c r="S291" s="507"/>
      <c r="T291" s="507"/>
      <c r="U291" s="507"/>
      <c r="V291" s="507"/>
      <c r="W291" s="507"/>
      <c r="X291" s="507"/>
      <c r="Y291" s="507"/>
      <c r="Z291" s="507"/>
    </row>
    <row r="292">
      <c r="A292" s="507"/>
      <c r="B292" s="572"/>
      <c r="C292" s="572"/>
      <c r="D292" s="572"/>
      <c r="E292" s="572"/>
      <c r="F292" s="572"/>
      <c r="G292" s="572"/>
      <c r="H292" s="572"/>
      <c r="I292" s="572"/>
      <c r="J292" s="507"/>
      <c r="K292" s="507"/>
      <c r="L292" s="507"/>
      <c r="M292" s="507"/>
      <c r="N292" s="507"/>
      <c r="O292" s="507"/>
      <c r="P292" s="507"/>
      <c r="Q292" s="507"/>
      <c r="R292" s="507"/>
      <c r="S292" s="507"/>
      <c r="T292" s="507"/>
      <c r="U292" s="507"/>
      <c r="V292" s="507"/>
      <c r="W292" s="507"/>
      <c r="X292" s="507"/>
      <c r="Y292" s="507"/>
      <c r="Z292" s="507"/>
    </row>
    <row r="293">
      <c r="A293" s="507"/>
      <c r="B293" s="572"/>
      <c r="C293" s="572"/>
      <c r="D293" s="572"/>
      <c r="E293" s="572"/>
      <c r="F293" s="572"/>
      <c r="G293" s="572"/>
      <c r="H293" s="572"/>
      <c r="I293" s="572"/>
      <c r="J293" s="507"/>
      <c r="K293" s="507"/>
      <c r="L293" s="507"/>
      <c r="M293" s="507"/>
      <c r="N293" s="507"/>
      <c r="O293" s="507"/>
      <c r="P293" s="507"/>
      <c r="Q293" s="507"/>
      <c r="R293" s="507"/>
      <c r="S293" s="507"/>
      <c r="T293" s="507"/>
      <c r="U293" s="507"/>
      <c r="V293" s="507"/>
      <c r="W293" s="507"/>
      <c r="X293" s="507"/>
      <c r="Y293" s="507"/>
      <c r="Z293" s="507"/>
    </row>
    <row r="294">
      <c r="A294" s="507"/>
      <c r="B294" s="572"/>
      <c r="C294" s="572"/>
      <c r="D294" s="572"/>
      <c r="E294" s="572"/>
      <c r="F294" s="572"/>
      <c r="G294" s="572"/>
      <c r="H294" s="572"/>
      <c r="I294" s="572"/>
      <c r="J294" s="507"/>
      <c r="K294" s="507"/>
      <c r="L294" s="507"/>
      <c r="M294" s="507"/>
      <c r="N294" s="507"/>
      <c r="O294" s="507"/>
      <c r="P294" s="507"/>
      <c r="Q294" s="507"/>
      <c r="R294" s="507"/>
      <c r="S294" s="507"/>
      <c r="T294" s="507"/>
      <c r="U294" s="507"/>
      <c r="V294" s="507"/>
      <c r="W294" s="507"/>
      <c r="X294" s="507"/>
      <c r="Y294" s="507"/>
      <c r="Z294" s="507"/>
    </row>
    <row r="295">
      <c r="A295" s="507"/>
      <c r="B295" s="572"/>
      <c r="C295" s="572"/>
      <c r="D295" s="572"/>
      <c r="E295" s="572"/>
      <c r="F295" s="572"/>
      <c r="G295" s="572"/>
      <c r="H295" s="572"/>
      <c r="I295" s="572"/>
      <c r="J295" s="507"/>
      <c r="K295" s="507"/>
      <c r="L295" s="507"/>
      <c r="M295" s="507"/>
      <c r="N295" s="507"/>
      <c r="O295" s="507"/>
      <c r="P295" s="507"/>
      <c r="Q295" s="507"/>
      <c r="R295" s="507"/>
      <c r="S295" s="507"/>
      <c r="T295" s="507"/>
      <c r="U295" s="507"/>
      <c r="V295" s="507"/>
      <c r="W295" s="507"/>
      <c r="X295" s="507"/>
      <c r="Y295" s="507"/>
      <c r="Z295" s="507"/>
    </row>
    <row r="296">
      <c r="A296" s="507"/>
      <c r="B296" s="572"/>
      <c r="C296" s="572"/>
      <c r="D296" s="572"/>
      <c r="E296" s="572"/>
      <c r="F296" s="572"/>
      <c r="G296" s="572"/>
      <c r="H296" s="572"/>
      <c r="I296" s="572"/>
      <c r="J296" s="507"/>
      <c r="K296" s="507"/>
      <c r="L296" s="507"/>
      <c r="M296" s="507"/>
      <c r="N296" s="507"/>
      <c r="O296" s="507"/>
      <c r="P296" s="507"/>
      <c r="Q296" s="507"/>
      <c r="R296" s="507"/>
      <c r="S296" s="507"/>
      <c r="T296" s="507"/>
      <c r="U296" s="507"/>
      <c r="V296" s="507"/>
      <c r="W296" s="507"/>
      <c r="X296" s="507"/>
      <c r="Y296" s="507"/>
      <c r="Z296" s="507"/>
    </row>
    <row r="297">
      <c r="A297" s="507"/>
      <c r="B297" s="572"/>
      <c r="C297" s="572"/>
      <c r="D297" s="572"/>
      <c r="E297" s="572"/>
      <c r="F297" s="572"/>
      <c r="G297" s="572"/>
      <c r="H297" s="572"/>
      <c r="I297" s="572"/>
      <c r="J297" s="507"/>
      <c r="K297" s="507"/>
      <c r="L297" s="507"/>
      <c r="M297" s="507"/>
      <c r="N297" s="507"/>
      <c r="O297" s="507"/>
      <c r="P297" s="507"/>
      <c r="Q297" s="507"/>
      <c r="R297" s="507"/>
      <c r="S297" s="507"/>
      <c r="T297" s="507"/>
      <c r="U297" s="507"/>
      <c r="V297" s="507"/>
      <c r="W297" s="507"/>
      <c r="X297" s="507"/>
      <c r="Y297" s="507"/>
      <c r="Z297" s="507"/>
    </row>
    <row r="298">
      <c r="A298" s="507"/>
      <c r="B298" s="572"/>
      <c r="C298" s="572"/>
      <c r="D298" s="572"/>
      <c r="E298" s="572"/>
      <c r="F298" s="572"/>
      <c r="G298" s="572"/>
      <c r="H298" s="572"/>
      <c r="I298" s="572"/>
      <c r="J298" s="507"/>
      <c r="K298" s="507"/>
      <c r="L298" s="507"/>
      <c r="M298" s="507"/>
      <c r="N298" s="507"/>
      <c r="O298" s="507"/>
      <c r="P298" s="507"/>
      <c r="Q298" s="507"/>
      <c r="R298" s="507"/>
      <c r="S298" s="507"/>
      <c r="T298" s="507"/>
      <c r="U298" s="507"/>
      <c r="V298" s="507"/>
      <c r="W298" s="507"/>
      <c r="X298" s="507"/>
      <c r="Y298" s="507"/>
      <c r="Z298" s="507"/>
    </row>
    <row r="299">
      <c r="A299" s="507"/>
      <c r="B299" s="572"/>
      <c r="C299" s="572"/>
      <c r="D299" s="572"/>
      <c r="E299" s="572"/>
      <c r="F299" s="572"/>
      <c r="G299" s="572"/>
      <c r="H299" s="572"/>
      <c r="I299" s="572"/>
      <c r="J299" s="507"/>
      <c r="K299" s="507"/>
      <c r="L299" s="507"/>
      <c r="M299" s="507"/>
      <c r="N299" s="507"/>
      <c r="O299" s="507"/>
      <c r="P299" s="507"/>
      <c r="Q299" s="507"/>
      <c r="R299" s="507"/>
      <c r="S299" s="507"/>
      <c r="T299" s="507"/>
      <c r="U299" s="507"/>
      <c r="V299" s="507"/>
      <c r="W299" s="507"/>
      <c r="X299" s="507"/>
      <c r="Y299" s="507"/>
      <c r="Z299" s="507"/>
    </row>
    <row r="300">
      <c r="A300" s="507"/>
      <c r="B300" s="572"/>
      <c r="C300" s="572"/>
      <c r="D300" s="572"/>
      <c r="E300" s="572"/>
      <c r="F300" s="572"/>
      <c r="G300" s="572"/>
      <c r="H300" s="572"/>
      <c r="I300" s="572"/>
      <c r="J300" s="507"/>
      <c r="K300" s="507"/>
      <c r="L300" s="507"/>
      <c r="M300" s="507"/>
      <c r="N300" s="507"/>
      <c r="O300" s="507"/>
      <c r="P300" s="507"/>
      <c r="Q300" s="507"/>
      <c r="R300" s="507"/>
      <c r="S300" s="507"/>
      <c r="T300" s="507"/>
      <c r="U300" s="507"/>
      <c r="V300" s="507"/>
      <c r="W300" s="507"/>
      <c r="X300" s="507"/>
      <c r="Y300" s="507"/>
      <c r="Z300" s="507"/>
    </row>
    <row r="301">
      <c r="A301" s="507"/>
      <c r="B301" s="572"/>
      <c r="C301" s="572"/>
      <c r="D301" s="572"/>
      <c r="E301" s="572"/>
      <c r="F301" s="572"/>
      <c r="G301" s="572"/>
      <c r="H301" s="572"/>
      <c r="I301" s="572"/>
      <c r="J301" s="507"/>
      <c r="K301" s="507"/>
      <c r="L301" s="507"/>
      <c r="M301" s="507"/>
      <c r="N301" s="507"/>
      <c r="O301" s="507"/>
      <c r="P301" s="507"/>
      <c r="Q301" s="507"/>
      <c r="R301" s="507"/>
      <c r="S301" s="507"/>
      <c r="T301" s="507"/>
      <c r="U301" s="507"/>
      <c r="V301" s="507"/>
      <c r="W301" s="507"/>
      <c r="X301" s="507"/>
      <c r="Y301" s="507"/>
      <c r="Z301" s="507"/>
    </row>
    <row r="302">
      <c r="A302" s="507"/>
      <c r="B302" s="572"/>
      <c r="C302" s="572"/>
      <c r="D302" s="572"/>
      <c r="E302" s="572"/>
      <c r="F302" s="572"/>
      <c r="G302" s="572"/>
      <c r="H302" s="572"/>
      <c r="I302" s="572"/>
      <c r="J302" s="507"/>
      <c r="K302" s="507"/>
      <c r="L302" s="507"/>
      <c r="M302" s="507"/>
      <c r="N302" s="507"/>
      <c r="O302" s="507"/>
      <c r="P302" s="507"/>
      <c r="Q302" s="507"/>
      <c r="R302" s="507"/>
      <c r="S302" s="507"/>
      <c r="T302" s="507"/>
      <c r="U302" s="507"/>
      <c r="V302" s="507"/>
      <c r="W302" s="507"/>
      <c r="X302" s="507"/>
      <c r="Y302" s="507"/>
      <c r="Z302" s="507"/>
    </row>
    <row r="303">
      <c r="A303" s="507"/>
      <c r="B303" s="572"/>
      <c r="C303" s="572"/>
      <c r="D303" s="572"/>
      <c r="E303" s="572"/>
      <c r="F303" s="572"/>
      <c r="G303" s="572"/>
      <c r="H303" s="572"/>
      <c r="I303" s="572"/>
      <c r="J303" s="507"/>
      <c r="K303" s="507"/>
      <c r="L303" s="507"/>
      <c r="M303" s="507"/>
      <c r="N303" s="507"/>
      <c r="O303" s="507"/>
      <c r="P303" s="507"/>
      <c r="Q303" s="507"/>
      <c r="R303" s="507"/>
      <c r="S303" s="507"/>
      <c r="T303" s="507"/>
      <c r="U303" s="507"/>
      <c r="V303" s="507"/>
      <c r="W303" s="507"/>
      <c r="X303" s="507"/>
      <c r="Y303" s="507"/>
      <c r="Z303" s="507"/>
    </row>
    <row r="304">
      <c r="A304" s="507"/>
      <c r="B304" s="572"/>
      <c r="C304" s="572"/>
      <c r="D304" s="572"/>
      <c r="E304" s="572"/>
      <c r="F304" s="572"/>
      <c r="G304" s="572"/>
      <c r="H304" s="572"/>
      <c r="I304" s="572"/>
      <c r="J304" s="507"/>
      <c r="K304" s="507"/>
      <c r="L304" s="507"/>
      <c r="M304" s="507"/>
      <c r="N304" s="507"/>
      <c r="O304" s="507"/>
      <c r="P304" s="507"/>
      <c r="Q304" s="507"/>
      <c r="R304" s="507"/>
      <c r="S304" s="507"/>
      <c r="T304" s="507"/>
      <c r="U304" s="507"/>
      <c r="V304" s="507"/>
      <c r="W304" s="507"/>
      <c r="X304" s="507"/>
      <c r="Y304" s="507"/>
      <c r="Z304" s="507"/>
    </row>
    <row r="305">
      <c r="A305" s="507"/>
      <c r="B305" s="572"/>
      <c r="C305" s="572"/>
      <c r="D305" s="572"/>
      <c r="E305" s="572"/>
      <c r="F305" s="572"/>
      <c r="G305" s="572"/>
      <c r="H305" s="572"/>
      <c r="I305" s="572"/>
      <c r="J305" s="507"/>
      <c r="K305" s="507"/>
      <c r="L305" s="507"/>
      <c r="M305" s="507"/>
      <c r="N305" s="507"/>
      <c r="O305" s="507"/>
      <c r="P305" s="507"/>
      <c r="Q305" s="507"/>
      <c r="R305" s="507"/>
      <c r="S305" s="507"/>
      <c r="T305" s="507"/>
      <c r="U305" s="507"/>
      <c r="V305" s="507"/>
      <c r="W305" s="507"/>
      <c r="X305" s="507"/>
      <c r="Y305" s="507"/>
      <c r="Z305" s="507"/>
    </row>
    <row r="306">
      <c r="A306" s="507"/>
      <c r="B306" s="572"/>
      <c r="C306" s="572"/>
      <c r="D306" s="572"/>
      <c r="E306" s="572"/>
      <c r="F306" s="572"/>
      <c r="G306" s="572"/>
      <c r="H306" s="572"/>
      <c r="I306" s="572"/>
      <c r="J306" s="507"/>
      <c r="K306" s="507"/>
      <c r="L306" s="507"/>
      <c r="M306" s="507"/>
      <c r="N306" s="507"/>
      <c r="O306" s="507"/>
      <c r="P306" s="507"/>
      <c r="Q306" s="507"/>
      <c r="R306" s="507"/>
      <c r="S306" s="507"/>
      <c r="T306" s="507"/>
      <c r="U306" s="507"/>
      <c r="V306" s="507"/>
      <c r="W306" s="507"/>
      <c r="X306" s="507"/>
      <c r="Y306" s="507"/>
      <c r="Z306" s="507"/>
    </row>
    <row r="307">
      <c r="A307" s="507"/>
      <c r="B307" s="572"/>
      <c r="C307" s="572"/>
      <c r="D307" s="572"/>
      <c r="E307" s="572"/>
      <c r="F307" s="572"/>
      <c r="G307" s="572"/>
      <c r="H307" s="572"/>
      <c r="I307" s="572"/>
      <c r="J307" s="507"/>
      <c r="K307" s="507"/>
      <c r="L307" s="507"/>
      <c r="M307" s="507"/>
      <c r="N307" s="507"/>
      <c r="O307" s="507"/>
      <c r="P307" s="507"/>
      <c r="Q307" s="507"/>
      <c r="R307" s="507"/>
      <c r="S307" s="507"/>
      <c r="T307" s="507"/>
      <c r="U307" s="507"/>
      <c r="V307" s="507"/>
      <c r="W307" s="507"/>
      <c r="X307" s="507"/>
      <c r="Y307" s="507"/>
      <c r="Z307" s="507"/>
    </row>
    <row r="308">
      <c r="A308" s="507"/>
      <c r="B308" s="572"/>
      <c r="C308" s="572"/>
      <c r="D308" s="572"/>
      <c r="E308" s="572"/>
      <c r="F308" s="572"/>
      <c r="G308" s="572"/>
      <c r="H308" s="572"/>
      <c r="I308" s="572"/>
      <c r="J308" s="507"/>
      <c r="K308" s="507"/>
      <c r="L308" s="507"/>
      <c r="M308" s="507"/>
      <c r="N308" s="507"/>
      <c r="O308" s="507"/>
      <c r="P308" s="507"/>
      <c r="Q308" s="507"/>
      <c r="R308" s="507"/>
      <c r="S308" s="507"/>
      <c r="T308" s="507"/>
      <c r="U308" s="507"/>
      <c r="V308" s="507"/>
      <c r="W308" s="507"/>
      <c r="X308" s="507"/>
      <c r="Y308" s="507"/>
      <c r="Z308" s="507"/>
    </row>
    <row r="309">
      <c r="A309" s="507"/>
      <c r="B309" s="572"/>
      <c r="C309" s="572"/>
      <c r="D309" s="572"/>
      <c r="E309" s="572"/>
      <c r="F309" s="572"/>
      <c r="G309" s="572"/>
      <c r="H309" s="572"/>
      <c r="I309" s="572"/>
      <c r="J309" s="507"/>
      <c r="K309" s="507"/>
      <c r="L309" s="507"/>
      <c r="M309" s="507"/>
      <c r="N309" s="507"/>
      <c r="O309" s="507"/>
      <c r="P309" s="507"/>
      <c r="Q309" s="507"/>
      <c r="R309" s="507"/>
      <c r="S309" s="507"/>
      <c r="T309" s="507"/>
      <c r="U309" s="507"/>
      <c r="V309" s="507"/>
      <c r="W309" s="507"/>
      <c r="X309" s="507"/>
      <c r="Y309" s="507"/>
      <c r="Z309" s="507"/>
    </row>
    <row r="310">
      <c r="A310" s="507"/>
      <c r="B310" s="572"/>
      <c r="C310" s="572"/>
      <c r="D310" s="572"/>
      <c r="E310" s="572"/>
      <c r="F310" s="572"/>
      <c r="G310" s="572"/>
      <c r="H310" s="572"/>
      <c r="I310" s="572"/>
      <c r="J310" s="507"/>
      <c r="K310" s="507"/>
      <c r="L310" s="507"/>
      <c r="M310" s="507"/>
      <c r="N310" s="507"/>
      <c r="O310" s="507"/>
      <c r="P310" s="507"/>
      <c r="Q310" s="507"/>
      <c r="R310" s="507"/>
      <c r="S310" s="507"/>
      <c r="T310" s="507"/>
      <c r="U310" s="507"/>
      <c r="V310" s="507"/>
      <c r="W310" s="507"/>
      <c r="X310" s="507"/>
      <c r="Y310" s="507"/>
      <c r="Z310" s="507"/>
    </row>
    <row r="311">
      <c r="A311" s="507"/>
      <c r="B311" s="572"/>
      <c r="C311" s="572"/>
      <c r="D311" s="572"/>
      <c r="E311" s="572"/>
      <c r="F311" s="572"/>
      <c r="G311" s="572"/>
      <c r="H311" s="572"/>
      <c r="I311" s="572"/>
      <c r="J311" s="507"/>
      <c r="K311" s="507"/>
      <c r="L311" s="507"/>
      <c r="M311" s="507"/>
      <c r="N311" s="507"/>
      <c r="O311" s="507"/>
      <c r="P311" s="507"/>
      <c r="Q311" s="507"/>
      <c r="R311" s="507"/>
      <c r="S311" s="507"/>
      <c r="T311" s="507"/>
      <c r="U311" s="507"/>
      <c r="V311" s="507"/>
      <c r="W311" s="507"/>
      <c r="X311" s="507"/>
      <c r="Y311" s="507"/>
      <c r="Z311" s="507"/>
    </row>
    <row r="312">
      <c r="A312" s="507"/>
      <c r="B312" s="572"/>
      <c r="C312" s="572"/>
      <c r="D312" s="572"/>
      <c r="E312" s="572"/>
      <c r="F312" s="572"/>
      <c r="G312" s="572"/>
      <c r="H312" s="572"/>
      <c r="I312" s="572"/>
      <c r="J312" s="507"/>
      <c r="K312" s="507"/>
      <c r="L312" s="507"/>
      <c r="M312" s="507"/>
      <c r="N312" s="507"/>
      <c r="O312" s="507"/>
      <c r="P312" s="507"/>
      <c r="Q312" s="507"/>
      <c r="R312" s="507"/>
      <c r="S312" s="507"/>
      <c r="T312" s="507"/>
      <c r="U312" s="507"/>
      <c r="V312" s="507"/>
      <c r="W312" s="507"/>
      <c r="X312" s="507"/>
      <c r="Y312" s="507"/>
      <c r="Z312" s="507"/>
    </row>
    <row r="313">
      <c r="A313" s="507"/>
      <c r="B313" s="572"/>
      <c r="C313" s="572"/>
      <c r="D313" s="572"/>
      <c r="E313" s="572"/>
      <c r="F313" s="572"/>
      <c r="G313" s="572"/>
      <c r="H313" s="572"/>
      <c r="I313" s="572"/>
      <c r="J313" s="507"/>
      <c r="K313" s="507"/>
      <c r="L313" s="507"/>
      <c r="M313" s="507"/>
      <c r="N313" s="507"/>
      <c r="O313" s="507"/>
      <c r="P313" s="507"/>
      <c r="Q313" s="507"/>
      <c r="R313" s="507"/>
      <c r="S313" s="507"/>
      <c r="T313" s="507"/>
      <c r="U313" s="507"/>
      <c r="V313" s="507"/>
      <c r="W313" s="507"/>
      <c r="X313" s="507"/>
      <c r="Y313" s="507"/>
      <c r="Z313" s="507"/>
    </row>
    <row r="314">
      <c r="A314" s="507"/>
      <c r="B314" s="572"/>
      <c r="C314" s="572"/>
      <c r="D314" s="572"/>
      <c r="E314" s="572"/>
      <c r="F314" s="572"/>
      <c r="G314" s="572"/>
      <c r="H314" s="572"/>
      <c r="I314" s="572"/>
      <c r="J314" s="507"/>
      <c r="K314" s="507"/>
      <c r="L314" s="507"/>
      <c r="M314" s="507"/>
      <c r="N314" s="507"/>
      <c r="O314" s="507"/>
      <c r="P314" s="507"/>
      <c r="Q314" s="507"/>
      <c r="R314" s="507"/>
      <c r="S314" s="507"/>
      <c r="T314" s="507"/>
      <c r="U314" s="507"/>
      <c r="V314" s="507"/>
      <c r="W314" s="507"/>
      <c r="X314" s="507"/>
      <c r="Y314" s="507"/>
      <c r="Z314" s="507"/>
    </row>
    <row r="315">
      <c r="A315" s="507"/>
      <c r="B315" s="572"/>
      <c r="C315" s="572"/>
      <c r="D315" s="572"/>
      <c r="E315" s="572"/>
      <c r="F315" s="572"/>
      <c r="G315" s="572"/>
      <c r="H315" s="572"/>
      <c r="I315" s="572"/>
      <c r="J315" s="507"/>
      <c r="K315" s="507"/>
      <c r="L315" s="507"/>
      <c r="M315" s="507"/>
      <c r="N315" s="507"/>
      <c r="O315" s="507"/>
      <c r="P315" s="507"/>
      <c r="Q315" s="507"/>
      <c r="R315" s="507"/>
      <c r="S315" s="507"/>
      <c r="T315" s="507"/>
      <c r="U315" s="507"/>
      <c r="V315" s="507"/>
      <c r="W315" s="507"/>
      <c r="X315" s="507"/>
      <c r="Y315" s="507"/>
      <c r="Z315" s="507"/>
    </row>
    <row r="316">
      <c r="A316" s="507"/>
      <c r="B316" s="572"/>
      <c r="C316" s="572"/>
      <c r="D316" s="572"/>
      <c r="E316" s="572"/>
      <c r="F316" s="572"/>
      <c r="G316" s="572"/>
      <c r="H316" s="572"/>
      <c r="I316" s="572"/>
      <c r="J316" s="507"/>
      <c r="K316" s="507"/>
      <c r="L316" s="507"/>
      <c r="M316" s="507"/>
      <c r="N316" s="507"/>
      <c r="O316" s="507"/>
      <c r="P316" s="507"/>
      <c r="Q316" s="507"/>
      <c r="R316" s="507"/>
      <c r="S316" s="507"/>
      <c r="T316" s="507"/>
      <c r="U316" s="507"/>
      <c r="V316" s="507"/>
      <c r="W316" s="507"/>
      <c r="X316" s="507"/>
      <c r="Y316" s="507"/>
      <c r="Z316" s="507"/>
    </row>
    <row r="317">
      <c r="A317" s="507"/>
      <c r="B317" s="572"/>
      <c r="C317" s="572"/>
      <c r="D317" s="572"/>
      <c r="E317" s="572"/>
      <c r="F317" s="572"/>
      <c r="G317" s="572"/>
      <c r="H317" s="572"/>
      <c r="I317" s="572"/>
      <c r="J317" s="507"/>
      <c r="K317" s="507"/>
      <c r="L317" s="507"/>
      <c r="M317" s="507"/>
      <c r="N317" s="507"/>
      <c r="O317" s="507"/>
      <c r="P317" s="507"/>
      <c r="Q317" s="507"/>
      <c r="R317" s="507"/>
      <c r="S317" s="507"/>
      <c r="T317" s="507"/>
      <c r="U317" s="507"/>
      <c r="V317" s="507"/>
      <c r="W317" s="507"/>
      <c r="X317" s="507"/>
      <c r="Y317" s="507"/>
      <c r="Z317" s="507"/>
    </row>
    <row r="318">
      <c r="A318" s="507"/>
      <c r="B318" s="572"/>
      <c r="C318" s="572"/>
      <c r="D318" s="572"/>
      <c r="E318" s="572"/>
      <c r="F318" s="572"/>
      <c r="G318" s="572"/>
      <c r="H318" s="572"/>
      <c r="I318" s="572"/>
      <c r="J318" s="507"/>
      <c r="K318" s="507"/>
      <c r="L318" s="507"/>
      <c r="M318" s="507"/>
      <c r="N318" s="507"/>
      <c r="O318" s="507"/>
      <c r="P318" s="507"/>
      <c r="Q318" s="507"/>
      <c r="R318" s="507"/>
      <c r="S318" s="507"/>
      <c r="T318" s="507"/>
      <c r="U318" s="507"/>
      <c r="V318" s="507"/>
      <c r="W318" s="507"/>
      <c r="X318" s="507"/>
      <c r="Y318" s="507"/>
      <c r="Z318" s="507"/>
    </row>
    <row r="319">
      <c r="A319" s="507"/>
      <c r="B319" s="572"/>
      <c r="C319" s="572"/>
      <c r="D319" s="572"/>
      <c r="E319" s="572"/>
      <c r="F319" s="572"/>
      <c r="G319" s="572"/>
      <c r="H319" s="572"/>
      <c r="I319" s="572"/>
      <c r="J319" s="507"/>
      <c r="K319" s="507"/>
      <c r="L319" s="507"/>
      <c r="M319" s="507"/>
      <c r="N319" s="507"/>
      <c r="O319" s="507"/>
      <c r="P319" s="507"/>
      <c r="Q319" s="507"/>
      <c r="R319" s="507"/>
      <c r="S319" s="507"/>
      <c r="T319" s="507"/>
      <c r="U319" s="507"/>
      <c r="V319" s="507"/>
      <c r="W319" s="507"/>
      <c r="X319" s="507"/>
      <c r="Y319" s="507"/>
      <c r="Z319" s="507"/>
    </row>
    <row r="320">
      <c r="A320" s="507"/>
      <c r="B320" s="572"/>
      <c r="C320" s="572"/>
      <c r="D320" s="572"/>
      <c r="E320" s="572"/>
      <c r="F320" s="572"/>
      <c r="G320" s="572"/>
      <c r="H320" s="572"/>
      <c r="I320" s="572"/>
      <c r="J320" s="507"/>
      <c r="K320" s="507"/>
      <c r="L320" s="507"/>
      <c r="M320" s="507"/>
      <c r="N320" s="507"/>
      <c r="O320" s="507"/>
      <c r="P320" s="507"/>
      <c r="Q320" s="507"/>
      <c r="R320" s="507"/>
      <c r="S320" s="507"/>
      <c r="T320" s="507"/>
      <c r="U320" s="507"/>
      <c r="V320" s="507"/>
      <c r="W320" s="507"/>
      <c r="X320" s="507"/>
      <c r="Y320" s="507"/>
      <c r="Z320" s="507"/>
    </row>
    <row r="321">
      <c r="A321" s="507"/>
      <c r="B321" s="572"/>
      <c r="C321" s="572"/>
      <c r="D321" s="572"/>
      <c r="E321" s="572"/>
      <c r="F321" s="572"/>
      <c r="G321" s="572"/>
      <c r="H321" s="572"/>
      <c r="I321" s="572"/>
      <c r="J321" s="507"/>
      <c r="K321" s="507"/>
      <c r="L321" s="507"/>
      <c r="M321" s="507"/>
      <c r="N321" s="507"/>
      <c r="O321" s="507"/>
      <c r="P321" s="507"/>
      <c r="Q321" s="507"/>
      <c r="R321" s="507"/>
      <c r="S321" s="507"/>
      <c r="T321" s="507"/>
      <c r="U321" s="507"/>
      <c r="V321" s="507"/>
      <c r="W321" s="507"/>
      <c r="X321" s="507"/>
      <c r="Y321" s="507"/>
      <c r="Z321" s="507"/>
    </row>
    <row r="322">
      <c r="A322" s="507"/>
      <c r="B322" s="572"/>
      <c r="C322" s="572"/>
      <c r="D322" s="572"/>
      <c r="E322" s="572"/>
      <c r="F322" s="572"/>
      <c r="G322" s="572"/>
      <c r="H322" s="572"/>
      <c r="I322" s="572"/>
      <c r="J322" s="507"/>
      <c r="K322" s="507"/>
      <c r="L322" s="507"/>
      <c r="M322" s="507"/>
      <c r="N322" s="507"/>
      <c r="O322" s="507"/>
      <c r="P322" s="507"/>
      <c r="Q322" s="507"/>
      <c r="R322" s="507"/>
      <c r="S322" s="507"/>
      <c r="T322" s="507"/>
      <c r="U322" s="507"/>
      <c r="V322" s="507"/>
      <c r="W322" s="507"/>
      <c r="X322" s="507"/>
      <c r="Y322" s="507"/>
      <c r="Z322" s="507"/>
    </row>
    <row r="323">
      <c r="A323" s="507"/>
      <c r="B323" s="572"/>
      <c r="C323" s="572"/>
      <c r="D323" s="572"/>
      <c r="E323" s="572"/>
      <c r="F323" s="572"/>
      <c r="G323" s="572"/>
      <c r="H323" s="572"/>
      <c r="I323" s="572"/>
      <c r="J323" s="507"/>
      <c r="K323" s="507"/>
      <c r="L323" s="507"/>
      <c r="M323" s="507"/>
      <c r="N323" s="507"/>
      <c r="O323" s="507"/>
      <c r="P323" s="507"/>
      <c r="Q323" s="507"/>
      <c r="R323" s="507"/>
      <c r="S323" s="507"/>
      <c r="T323" s="507"/>
      <c r="U323" s="507"/>
      <c r="V323" s="507"/>
      <c r="W323" s="507"/>
      <c r="X323" s="507"/>
      <c r="Y323" s="507"/>
      <c r="Z323" s="507"/>
    </row>
    <row r="324">
      <c r="A324" s="507"/>
      <c r="B324" s="572"/>
      <c r="C324" s="572"/>
      <c r="D324" s="572"/>
      <c r="E324" s="572"/>
      <c r="F324" s="572"/>
      <c r="G324" s="572"/>
      <c r="H324" s="572"/>
      <c r="I324" s="572"/>
      <c r="J324" s="507"/>
      <c r="K324" s="507"/>
      <c r="L324" s="507"/>
      <c r="M324" s="507"/>
      <c r="N324" s="507"/>
      <c r="O324" s="507"/>
      <c r="P324" s="507"/>
      <c r="Q324" s="507"/>
      <c r="R324" s="507"/>
      <c r="S324" s="507"/>
      <c r="T324" s="507"/>
      <c r="U324" s="507"/>
      <c r="V324" s="507"/>
      <c r="W324" s="507"/>
      <c r="X324" s="507"/>
      <c r="Y324" s="507"/>
      <c r="Z324" s="507"/>
    </row>
    <row r="325">
      <c r="A325" s="507"/>
      <c r="B325" s="572"/>
      <c r="C325" s="572"/>
      <c r="D325" s="572"/>
      <c r="E325" s="572"/>
      <c r="F325" s="572"/>
      <c r="G325" s="572"/>
      <c r="H325" s="572"/>
      <c r="I325" s="572"/>
      <c r="J325" s="507"/>
      <c r="K325" s="507"/>
      <c r="L325" s="507"/>
      <c r="M325" s="507"/>
      <c r="N325" s="507"/>
      <c r="O325" s="507"/>
      <c r="P325" s="507"/>
      <c r="Q325" s="507"/>
      <c r="R325" s="507"/>
      <c r="S325" s="507"/>
      <c r="T325" s="507"/>
      <c r="U325" s="507"/>
      <c r="V325" s="507"/>
      <c r="W325" s="507"/>
      <c r="X325" s="507"/>
      <c r="Y325" s="507"/>
      <c r="Z325" s="507"/>
    </row>
    <row r="326">
      <c r="A326" s="507"/>
      <c r="B326" s="572"/>
      <c r="C326" s="572"/>
      <c r="D326" s="572"/>
      <c r="E326" s="572"/>
      <c r="F326" s="572"/>
      <c r="G326" s="572"/>
      <c r="H326" s="572"/>
      <c r="I326" s="572"/>
      <c r="J326" s="507"/>
      <c r="K326" s="507"/>
      <c r="L326" s="507"/>
      <c r="M326" s="507"/>
      <c r="N326" s="507"/>
      <c r="O326" s="507"/>
      <c r="P326" s="507"/>
      <c r="Q326" s="507"/>
      <c r="R326" s="507"/>
      <c r="S326" s="507"/>
      <c r="T326" s="507"/>
      <c r="U326" s="507"/>
      <c r="V326" s="507"/>
      <c r="W326" s="507"/>
      <c r="X326" s="507"/>
      <c r="Y326" s="507"/>
      <c r="Z326" s="507"/>
    </row>
    <row r="327">
      <c r="A327" s="507"/>
      <c r="B327" s="572"/>
      <c r="C327" s="572"/>
      <c r="D327" s="572"/>
      <c r="E327" s="572"/>
      <c r="F327" s="572"/>
      <c r="G327" s="572"/>
      <c r="H327" s="572"/>
      <c r="I327" s="572"/>
      <c r="J327" s="507"/>
      <c r="K327" s="507"/>
      <c r="L327" s="507"/>
      <c r="M327" s="507"/>
      <c r="N327" s="507"/>
      <c r="O327" s="507"/>
      <c r="P327" s="507"/>
      <c r="Q327" s="507"/>
      <c r="R327" s="507"/>
      <c r="S327" s="507"/>
      <c r="T327" s="507"/>
      <c r="U327" s="507"/>
      <c r="V327" s="507"/>
      <c r="W327" s="507"/>
      <c r="X327" s="507"/>
      <c r="Y327" s="507"/>
      <c r="Z327" s="507"/>
    </row>
    <row r="328">
      <c r="A328" s="507"/>
      <c r="B328" s="572"/>
      <c r="C328" s="572"/>
      <c r="D328" s="572"/>
      <c r="E328" s="572"/>
      <c r="F328" s="572"/>
      <c r="G328" s="572"/>
      <c r="H328" s="572"/>
      <c r="I328" s="572"/>
      <c r="J328" s="507"/>
      <c r="K328" s="507"/>
      <c r="L328" s="507"/>
      <c r="M328" s="507"/>
      <c r="N328" s="507"/>
      <c r="O328" s="507"/>
      <c r="P328" s="507"/>
      <c r="Q328" s="507"/>
      <c r="R328" s="507"/>
      <c r="S328" s="507"/>
      <c r="T328" s="507"/>
      <c r="U328" s="507"/>
      <c r="V328" s="507"/>
      <c r="W328" s="507"/>
      <c r="X328" s="507"/>
      <c r="Y328" s="507"/>
      <c r="Z328" s="507"/>
    </row>
    <row r="329">
      <c r="A329" s="507"/>
      <c r="B329" s="572"/>
      <c r="C329" s="572"/>
      <c r="D329" s="572"/>
      <c r="E329" s="572"/>
      <c r="F329" s="572"/>
      <c r="G329" s="572"/>
      <c r="H329" s="572"/>
      <c r="I329" s="572"/>
      <c r="J329" s="507"/>
      <c r="K329" s="507"/>
      <c r="L329" s="507"/>
      <c r="M329" s="507"/>
      <c r="N329" s="507"/>
      <c r="O329" s="507"/>
      <c r="P329" s="507"/>
      <c r="Q329" s="507"/>
      <c r="R329" s="507"/>
      <c r="S329" s="507"/>
      <c r="T329" s="507"/>
      <c r="U329" s="507"/>
      <c r="V329" s="507"/>
      <c r="W329" s="507"/>
      <c r="X329" s="507"/>
      <c r="Y329" s="507"/>
      <c r="Z329" s="507"/>
    </row>
    <row r="330">
      <c r="A330" s="507"/>
      <c r="B330" s="572"/>
      <c r="C330" s="572"/>
      <c r="D330" s="572"/>
      <c r="E330" s="572"/>
      <c r="F330" s="572"/>
      <c r="G330" s="572"/>
      <c r="H330" s="572"/>
      <c r="I330" s="572"/>
      <c r="J330" s="507"/>
      <c r="K330" s="507"/>
      <c r="L330" s="507"/>
      <c r="M330" s="507"/>
      <c r="N330" s="507"/>
      <c r="O330" s="507"/>
      <c r="P330" s="507"/>
      <c r="Q330" s="507"/>
      <c r="R330" s="507"/>
      <c r="S330" s="507"/>
      <c r="T330" s="507"/>
      <c r="U330" s="507"/>
      <c r="V330" s="507"/>
      <c r="W330" s="507"/>
      <c r="X330" s="507"/>
      <c r="Y330" s="507"/>
      <c r="Z330" s="507"/>
    </row>
    <row r="331">
      <c r="A331" s="507"/>
      <c r="B331" s="572"/>
      <c r="C331" s="572"/>
      <c r="D331" s="572"/>
      <c r="E331" s="572"/>
      <c r="F331" s="572"/>
      <c r="G331" s="572"/>
      <c r="H331" s="572"/>
      <c r="I331" s="572"/>
      <c r="J331" s="507"/>
      <c r="K331" s="507"/>
      <c r="L331" s="507"/>
      <c r="M331" s="507"/>
      <c r="N331" s="507"/>
      <c r="O331" s="507"/>
      <c r="P331" s="507"/>
      <c r="Q331" s="507"/>
      <c r="R331" s="507"/>
      <c r="S331" s="507"/>
      <c r="T331" s="507"/>
      <c r="U331" s="507"/>
      <c r="V331" s="507"/>
      <c r="W331" s="507"/>
      <c r="X331" s="507"/>
      <c r="Y331" s="507"/>
      <c r="Z331" s="507"/>
    </row>
    <row r="332">
      <c r="A332" s="507"/>
      <c r="B332" s="572"/>
      <c r="C332" s="572"/>
      <c r="D332" s="572"/>
      <c r="E332" s="572"/>
      <c r="F332" s="572"/>
      <c r="G332" s="572"/>
      <c r="H332" s="572"/>
      <c r="I332" s="572"/>
      <c r="J332" s="507"/>
      <c r="K332" s="507"/>
      <c r="L332" s="507"/>
      <c r="M332" s="507"/>
      <c r="N332" s="507"/>
      <c r="O332" s="507"/>
      <c r="P332" s="507"/>
      <c r="Q332" s="507"/>
      <c r="R332" s="507"/>
      <c r="S332" s="507"/>
      <c r="T332" s="507"/>
      <c r="U332" s="507"/>
      <c r="V332" s="507"/>
      <c r="W332" s="507"/>
      <c r="X332" s="507"/>
      <c r="Y332" s="507"/>
      <c r="Z332" s="507"/>
    </row>
    <row r="333">
      <c r="A333" s="507"/>
      <c r="B333" s="572"/>
      <c r="C333" s="572"/>
      <c r="D333" s="572"/>
      <c r="E333" s="572"/>
      <c r="F333" s="572"/>
      <c r="G333" s="572"/>
      <c r="H333" s="572"/>
      <c r="I333" s="572"/>
      <c r="J333" s="507"/>
      <c r="K333" s="507"/>
      <c r="L333" s="507"/>
      <c r="M333" s="507"/>
      <c r="N333" s="507"/>
      <c r="O333" s="507"/>
      <c r="P333" s="507"/>
      <c r="Q333" s="507"/>
      <c r="R333" s="507"/>
      <c r="S333" s="507"/>
      <c r="T333" s="507"/>
      <c r="U333" s="507"/>
      <c r="V333" s="507"/>
      <c r="W333" s="507"/>
      <c r="X333" s="507"/>
      <c r="Y333" s="507"/>
      <c r="Z333" s="507"/>
    </row>
    <row r="334">
      <c r="A334" s="507"/>
      <c r="B334" s="572"/>
      <c r="C334" s="572"/>
      <c r="D334" s="572"/>
      <c r="E334" s="572"/>
      <c r="F334" s="572"/>
      <c r="G334" s="572"/>
      <c r="H334" s="572"/>
      <c r="I334" s="572"/>
      <c r="J334" s="507"/>
      <c r="K334" s="507"/>
      <c r="L334" s="507"/>
      <c r="M334" s="507"/>
      <c r="N334" s="507"/>
      <c r="O334" s="507"/>
      <c r="P334" s="507"/>
      <c r="Q334" s="507"/>
      <c r="R334" s="507"/>
      <c r="S334" s="507"/>
      <c r="T334" s="507"/>
      <c r="U334" s="507"/>
      <c r="V334" s="507"/>
      <c r="W334" s="507"/>
      <c r="X334" s="507"/>
      <c r="Y334" s="507"/>
      <c r="Z334" s="507"/>
    </row>
    <row r="335">
      <c r="A335" s="507"/>
      <c r="B335" s="572"/>
      <c r="C335" s="572"/>
      <c r="D335" s="572"/>
      <c r="E335" s="572"/>
      <c r="F335" s="572"/>
      <c r="G335" s="572"/>
      <c r="H335" s="572"/>
      <c r="I335" s="572"/>
      <c r="J335" s="507"/>
      <c r="K335" s="507"/>
      <c r="L335" s="507"/>
      <c r="M335" s="507"/>
      <c r="N335" s="507"/>
      <c r="O335" s="507"/>
      <c r="P335" s="507"/>
      <c r="Q335" s="507"/>
      <c r="R335" s="507"/>
      <c r="S335" s="507"/>
      <c r="T335" s="507"/>
      <c r="U335" s="507"/>
      <c r="V335" s="507"/>
      <c r="W335" s="507"/>
      <c r="X335" s="507"/>
      <c r="Y335" s="507"/>
      <c r="Z335" s="507"/>
    </row>
    <row r="336">
      <c r="A336" s="507"/>
      <c r="B336" s="572"/>
      <c r="C336" s="572"/>
      <c r="D336" s="572"/>
      <c r="E336" s="572"/>
      <c r="F336" s="572"/>
      <c r="G336" s="572"/>
      <c r="H336" s="572"/>
      <c r="I336" s="572"/>
      <c r="J336" s="507"/>
      <c r="K336" s="507"/>
      <c r="L336" s="507"/>
      <c r="M336" s="507"/>
      <c r="N336" s="507"/>
      <c r="O336" s="507"/>
      <c r="P336" s="507"/>
      <c r="Q336" s="507"/>
      <c r="R336" s="507"/>
      <c r="S336" s="507"/>
      <c r="T336" s="507"/>
      <c r="U336" s="507"/>
      <c r="V336" s="507"/>
      <c r="W336" s="507"/>
      <c r="X336" s="507"/>
      <c r="Y336" s="507"/>
      <c r="Z336" s="507"/>
    </row>
    <row r="337">
      <c r="A337" s="507"/>
      <c r="B337" s="572"/>
      <c r="C337" s="572"/>
      <c r="D337" s="572"/>
      <c r="E337" s="572"/>
      <c r="F337" s="572"/>
      <c r="G337" s="572"/>
      <c r="H337" s="572"/>
      <c r="I337" s="572"/>
      <c r="J337" s="507"/>
      <c r="K337" s="507"/>
      <c r="L337" s="507"/>
      <c r="M337" s="507"/>
      <c r="N337" s="507"/>
      <c r="O337" s="507"/>
      <c r="P337" s="507"/>
      <c r="Q337" s="507"/>
      <c r="R337" s="507"/>
      <c r="S337" s="507"/>
      <c r="T337" s="507"/>
      <c r="U337" s="507"/>
      <c r="V337" s="507"/>
      <c r="W337" s="507"/>
      <c r="X337" s="507"/>
      <c r="Y337" s="507"/>
      <c r="Z337" s="507"/>
    </row>
    <row r="338">
      <c r="A338" s="507"/>
      <c r="B338" s="572"/>
      <c r="C338" s="572"/>
      <c r="D338" s="572"/>
      <c r="E338" s="572"/>
      <c r="F338" s="572"/>
      <c r="G338" s="572"/>
      <c r="H338" s="572"/>
      <c r="I338" s="572"/>
      <c r="J338" s="507"/>
      <c r="K338" s="507"/>
      <c r="L338" s="507"/>
      <c r="M338" s="507"/>
      <c r="N338" s="507"/>
      <c r="O338" s="507"/>
      <c r="P338" s="507"/>
      <c r="Q338" s="507"/>
      <c r="R338" s="507"/>
      <c r="S338" s="507"/>
      <c r="T338" s="507"/>
      <c r="U338" s="507"/>
      <c r="V338" s="507"/>
      <c r="W338" s="507"/>
      <c r="X338" s="507"/>
      <c r="Y338" s="507"/>
      <c r="Z338" s="507"/>
    </row>
    <row r="339">
      <c r="A339" s="507"/>
      <c r="B339" s="572"/>
      <c r="C339" s="572"/>
      <c r="D339" s="572"/>
      <c r="E339" s="572"/>
      <c r="F339" s="572"/>
      <c r="G339" s="572"/>
      <c r="H339" s="572"/>
      <c r="I339" s="572"/>
      <c r="J339" s="507"/>
      <c r="K339" s="507"/>
      <c r="L339" s="507"/>
      <c r="M339" s="507"/>
      <c r="N339" s="507"/>
      <c r="O339" s="507"/>
      <c r="P339" s="507"/>
      <c r="Q339" s="507"/>
      <c r="R339" s="507"/>
      <c r="S339" s="507"/>
      <c r="T339" s="507"/>
      <c r="U339" s="507"/>
      <c r="V339" s="507"/>
      <c r="W339" s="507"/>
      <c r="X339" s="507"/>
      <c r="Y339" s="507"/>
      <c r="Z339" s="507"/>
    </row>
    <row r="340">
      <c r="A340" s="507"/>
      <c r="B340" s="572"/>
      <c r="C340" s="572"/>
      <c r="D340" s="572"/>
      <c r="E340" s="572"/>
      <c r="F340" s="572"/>
      <c r="G340" s="572"/>
      <c r="H340" s="572"/>
      <c r="I340" s="572"/>
      <c r="J340" s="507"/>
      <c r="K340" s="507"/>
      <c r="L340" s="507"/>
      <c r="M340" s="507"/>
      <c r="N340" s="507"/>
      <c r="O340" s="507"/>
      <c r="P340" s="507"/>
      <c r="Q340" s="507"/>
      <c r="R340" s="507"/>
      <c r="S340" s="507"/>
      <c r="T340" s="507"/>
      <c r="U340" s="507"/>
      <c r="V340" s="507"/>
      <c r="W340" s="507"/>
      <c r="X340" s="507"/>
      <c r="Y340" s="507"/>
      <c r="Z340" s="507"/>
    </row>
    <row r="341">
      <c r="A341" s="507"/>
      <c r="B341" s="572"/>
      <c r="C341" s="572"/>
      <c r="D341" s="572"/>
      <c r="E341" s="572"/>
      <c r="F341" s="572"/>
      <c r="G341" s="572"/>
      <c r="H341" s="572"/>
      <c r="I341" s="572"/>
      <c r="J341" s="507"/>
      <c r="K341" s="507"/>
      <c r="L341" s="507"/>
      <c r="M341" s="507"/>
      <c r="N341" s="507"/>
      <c r="O341" s="507"/>
      <c r="P341" s="507"/>
      <c r="Q341" s="507"/>
      <c r="R341" s="507"/>
      <c r="S341" s="507"/>
      <c r="T341" s="507"/>
      <c r="U341" s="507"/>
      <c r="V341" s="507"/>
      <c r="W341" s="507"/>
      <c r="X341" s="507"/>
      <c r="Y341" s="507"/>
      <c r="Z341" s="507"/>
    </row>
    <row r="342">
      <c r="A342" s="507"/>
      <c r="B342" s="572"/>
      <c r="C342" s="572"/>
      <c r="D342" s="572"/>
      <c r="E342" s="572"/>
      <c r="F342" s="572"/>
      <c r="G342" s="572"/>
      <c r="H342" s="572"/>
      <c r="I342" s="572"/>
      <c r="J342" s="507"/>
      <c r="K342" s="507"/>
      <c r="L342" s="507"/>
      <c r="M342" s="507"/>
      <c r="N342" s="507"/>
      <c r="O342" s="507"/>
      <c r="P342" s="507"/>
      <c r="Q342" s="507"/>
      <c r="R342" s="507"/>
      <c r="S342" s="507"/>
      <c r="T342" s="507"/>
      <c r="U342" s="507"/>
      <c r="V342" s="507"/>
      <c r="W342" s="507"/>
      <c r="X342" s="507"/>
      <c r="Y342" s="507"/>
      <c r="Z342" s="507"/>
    </row>
    <row r="343">
      <c r="A343" s="507"/>
      <c r="B343" s="572"/>
      <c r="C343" s="572"/>
      <c r="D343" s="572"/>
      <c r="E343" s="572"/>
      <c r="F343" s="572"/>
      <c r="G343" s="572"/>
      <c r="H343" s="572"/>
      <c r="I343" s="572"/>
      <c r="J343" s="507"/>
      <c r="K343" s="507"/>
      <c r="L343" s="507"/>
      <c r="M343" s="507"/>
      <c r="N343" s="507"/>
      <c r="O343" s="507"/>
      <c r="P343" s="507"/>
      <c r="Q343" s="507"/>
      <c r="R343" s="507"/>
      <c r="S343" s="507"/>
      <c r="T343" s="507"/>
      <c r="U343" s="507"/>
      <c r="V343" s="507"/>
      <c r="W343" s="507"/>
      <c r="X343" s="507"/>
      <c r="Y343" s="507"/>
      <c r="Z343" s="507"/>
    </row>
    <row r="344">
      <c r="A344" s="507"/>
      <c r="B344" s="572"/>
      <c r="C344" s="572"/>
      <c r="D344" s="572"/>
      <c r="E344" s="572"/>
      <c r="F344" s="572"/>
      <c r="G344" s="572"/>
      <c r="H344" s="572"/>
      <c r="I344" s="572"/>
      <c r="J344" s="507"/>
      <c r="K344" s="507"/>
      <c r="L344" s="507"/>
      <c r="M344" s="507"/>
      <c r="N344" s="507"/>
      <c r="O344" s="507"/>
      <c r="P344" s="507"/>
      <c r="Q344" s="507"/>
      <c r="R344" s="507"/>
      <c r="S344" s="507"/>
      <c r="T344" s="507"/>
      <c r="U344" s="507"/>
      <c r="V344" s="507"/>
      <c r="W344" s="507"/>
      <c r="X344" s="507"/>
      <c r="Y344" s="507"/>
      <c r="Z344" s="507"/>
    </row>
    <row r="345">
      <c r="A345" s="507"/>
      <c r="B345" s="572"/>
      <c r="C345" s="572"/>
      <c r="D345" s="572"/>
      <c r="E345" s="572"/>
      <c r="F345" s="572"/>
      <c r="G345" s="572"/>
      <c r="H345" s="572"/>
      <c r="I345" s="572"/>
      <c r="J345" s="507"/>
      <c r="K345" s="507"/>
      <c r="L345" s="507"/>
      <c r="M345" s="507"/>
      <c r="N345" s="507"/>
      <c r="O345" s="507"/>
      <c r="P345" s="507"/>
      <c r="Q345" s="507"/>
      <c r="R345" s="507"/>
      <c r="S345" s="507"/>
      <c r="T345" s="507"/>
      <c r="U345" s="507"/>
      <c r="V345" s="507"/>
      <c r="W345" s="507"/>
      <c r="X345" s="507"/>
      <c r="Y345" s="507"/>
      <c r="Z345" s="507"/>
    </row>
    <row r="346">
      <c r="A346" s="507"/>
      <c r="B346" s="572"/>
      <c r="C346" s="572"/>
      <c r="D346" s="572"/>
      <c r="E346" s="572"/>
      <c r="F346" s="572"/>
      <c r="G346" s="572"/>
      <c r="H346" s="572"/>
      <c r="I346" s="572"/>
      <c r="J346" s="507"/>
      <c r="K346" s="507"/>
      <c r="L346" s="507"/>
      <c r="M346" s="507"/>
      <c r="N346" s="507"/>
      <c r="O346" s="507"/>
      <c r="P346" s="507"/>
      <c r="Q346" s="507"/>
      <c r="R346" s="507"/>
      <c r="S346" s="507"/>
      <c r="T346" s="507"/>
      <c r="U346" s="507"/>
      <c r="V346" s="507"/>
      <c r="W346" s="507"/>
      <c r="X346" s="507"/>
      <c r="Y346" s="507"/>
      <c r="Z346" s="507"/>
    </row>
    <row r="347">
      <c r="A347" s="507"/>
      <c r="B347" s="572"/>
      <c r="C347" s="572"/>
      <c r="D347" s="572"/>
      <c r="E347" s="572"/>
      <c r="F347" s="572"/>
      <c r="G347" s="572"/>
      <c r="H347" s="572"/>
      <c r="I347" s="572"/>
      <c r="J347" s="507"/>
      <c r="K347" s="507"/>
      <c r="L347" s="507"/>
      <c r="M347" s="507"/>
      <c r="N347" s="507"/>
      <c r="O347" s="507"/>
      <c r="P347" s="507"/>
      <c r="Q347" s="507"/>
      <c r="R347" s="507"/>
      <c r="S347" s="507"/>
      <c r="T347" s="507"/>
      <c r="U347" s="507"/>
      <c r="V347" s="507"/>
      <c r="W347" s="507"/>
      <c r="X347" s="507"/>
      <c r="Y347" s="507"/>
      <c r="Z347" s="507"/>
    </row>
    <row r="348">
      <c r="A348" s="507"/>
      <c r="B348" s="572"/>
      <c r="C348" s="572"/>
      <c r="D348" s="572"/>
      <c r="E348" s="572"/>
      <c r="F348" s="572"/>
      <c r="G348" s="572"/>
      <c r="H348" s="572"/>
      <c r="I348" s="572"/>
      <c r="J348" s="507"/>
      <c r="K348" s="507"/>
      <c r="L348" s="507"/>
      <c r="M348" s="507"/>
      <c r="N348" s="507"/>
      <c r="O348" s="507"/>
      <c r="P348" s="507"/>
      <c r="Q348" s="507"/>
      <c r="R348" s="507"/>
      <c r="S348" s="507"/>
      <c r="T348" s="507"/>
      <c r="U348" s="507"/>
      <c r="V348" s="507"/>
      <c r="W348" s="507"/>
      <c r="X348" s="507"/>
      <c r="Y348" s="507"/>
      <c r="Z348" s="507"/>
    </row>
    <row r="349">
      <c r="A349" s="507"/>
      <c r="B349" s="572"/>
      <c r="C349" s="572"/>
      <c r="D349" s="572"/>
      <c r="E349" s="572"/>
      <c r="F349" s="572"/>
      <c r="G349" s="572"/>
      <c r="H349" s="572"/>
      <c r="I349" s="572"/>
      <c r="J349" s="507"/>
      <c r="K349" s="507"/>
      <c r="L349" s="507"/>
      <c r="M349" s="507"/>
      <c r="N349" s="507"/>
      <c r="O349" s="507"/>
      <c r="P349" s="507"/>
      <c r="Q349" s="507"/>
      <c r="R349" s="507"/>
      <c r="S349" s="507"/>
      <c r="T349" s="507"/>
      <c r="U349" s="507"/>
      <c r="V349" s="507"/>
      <c r="W349" s="507"/>
      <c r="X349" s="507"/>
      <c r="Y349" s="507"/>
      <c r="Z349" s="507"/>
    </row>
    <row r="350">
      <c r="A350" s="507"/>
      <c r="B350" s="572"/>
      <c r="C350" s="572"/>
      <c r="D350" s="572"/>
      <c r="E350" s="572"/>
      <c r="F350" s="572"/>
      <c r="G350" s="572"/>
      <c r="H350" s="572"/>
      <c r="I350" s="572"/>
      <c r="J350" s="507"/>
      <c r="K350" s="507"/>
      <c r="L350" s="507"/>
      <c r="M350" s="507"/>
      <c r="N350" s="507"/>
      <c r="O350" s="507"/>
      <c r="P350" s="507"/>
      <c r="Q350" s="507"/>
      <c r="R350" s="507"/>
      <c r="S350" s="507"/>
      <c r="T350" s="507"/>
      <c r="U350" s="507"/>
      <c r="V350" s="507"/>
      <c r="W350" s="507"/>
      <c r="X350" s="507"/>
      <c r="Y350" s="507"/>
      <c r="Z350" s="507"/>
    </row>
    <row r="351">
      <c r="A351" s="507"/>
      <c r="B351" s="572"/>
      <c r="C351" s="572"/>
      <c r="D351" s="572"/>
      <c r="E351" s="572"/>
      <c r="F351" s="572"/>
      <c r="G351" s="572"/>
      <c r="H351" s="572"/>
      <c r="I351" s="572"/>
      <c r="J351" s="507"/>
      <c r="K351" s="507"/>
      <c r="L351" s="507"/>
      <c r="M351" s="507"/>
      <c r="N351" s="507"/>
      <c r="O351" s="507"/>
      <c r="P351" s="507"/>
      <c r="Q351" s="507"/>
      <c r="R351" s="507"/>
      <c r="S351" s="507"/>
      <c r="T351" s="507"/>
      <c r="U351" s="507"/>
      <c r="V351" s="507"/>
      <c r="W351" s="507"/>
      <c r="X351" s="507"/>
      <c r="Y351" s="507"/>
      <c r="Z351" s="507"/>
    </row>
    <row r="352">
      <c r="A352" s="507"/>
      <c r="B352" s="572"/>
      <c r="C352" s="572"/>
      <c r="D352" s="572"/>
      <c r="E352" s="572"/>
      <c r="F352" s="572"/>
      <c r="G352" s="572"/>
      <c r="H352" s="572"/>
      <c r="I352" s="572"/>
      <c r="J352" s="507"/>
      <c r="K352" s="507"/>
      <c r="L352" s="507"/>
      <c r="M352" s="507"/>
      <c r="N352" s="507"/>
      <c r="O352" s="507"/>
      <c r="P352" s="507"/>
      <c r="Q352" s="507"/>
      <c r="R352" s="507"/>
      <c r="S352" s="507"/>
      <c r="T352" s="507"/>
      <c r="U352" s="507"/>
      <c r="V352" s="507"/>
      <c r="W352" s="507"/>
      <c r="X352" s="507"/>
      <c r="Y352" s="507"/>
      <c r="Z352" s="507"/>
    </row>
    <row r="353">
      <c r="A353" s="507"/>
      <c r="B353" s="572"/>
      <c r="C353" s="572"/>
      <c r="D353" s="572"/>
      <c r="E353" s="572"/>
      <c r="F353" s="572"/>
      <c r="G353" s="572"/>
      <c r="H353" s="572"/>
      <c r="I353" s="572"/>
      <c r="J353" s="507"/>
      <c r="K353" s="507"/>
      <c r="L353" s="507"/>
      <c r="M353" s="507"/>
      <c r="N353" s="507"/>
      <c r="O353" s="507"/>
      <c r="P353" s="507"/>
      <c r="Q353" s="507"/>
      <c r="R353" s="507"/>
      <c r="S353" s="507"/>
      <c r="T353" s="507"/>
      <c r="U353" s="507"/>
      <c r="V353" s="507"/>
      <c r="W353" s="507"/>
      <c r="X353" s="507"/>
      <c r="Y353" s="507"/>
      <c r="Z353" s="507"/>
    </row>
    <row r="354">
      <c r="A354" s="507"/>
      <c r="B354" s="572"/>
      <c r="C354" s="572"/>
      <c r="D354" s="572"/>
      <c r="E354" s="572"/>
      <c r="F354" s="572"/>
      <c r="G354" s="572"/>
      <c r="H354" s="572"/>
      <c r="I354" s="572"/>
      <c r="J354" s="507"/>
      <c r="K354" s="507"/>
      <c r="L354" s="507"/>
      <c r="M354" s="507"/>
      <c r="N354" s="507"/>
      <c r="O354" s="507"/>
      <c r="P354" s="507"/>
      <c r="Q354" s="507"/>
      <c r="R354" s="507"/>
      <c r="S354" s="507"/>
      <c r="T354" s="507"/>
      <c r="U354" s="507"/>
      <c r="V354" s="507"/>
      <c r="W354" s="507"/>
      <c r="X354" s="507"/>
      <c r="Y354" s="507"/>
      <c r="Z354" s="507"/>
    </row>
    <row r="355">
      <c r="A355" s="507"/>
      <c r="B355" s="572"/>
      <c r="C355" s="572"/>
      <c r="D355" s="572"/>
      <c r="E355" s="572"/>
      <c r="F355" s="572"/>
      <c r="G355" s="572"/>
      <c r="H355" s="572"/>
      <c r="I355" s="572"/>
      <c r="J355" s="507"/>
      <c r="K355" s="507"/>
      <c r="L355" s="507"/>
      <c r="M355" s="507"/>
      <c r="N355" s="507"/>
      <c r="O355" s="507"/>
      <c r="P355" s="507"/>
      <c r="Q355" s="507"/>
      <c r="R355" s="507"/>
      <c r="S355" s="507"/>
      <c r="T355" s="507"/>
      <c r="U355" s="507"/>
      <c r="V355" s="507"/>
      <c r="W355" s="507"/>
      <c r="X355" s="507"/>
      <c r="Y355" s="507"/>
      <c r="Z355" s="507"/>
    </row>
    <row r="356">
      <c r="A356" s="507"/>
      <c r="B356" s="572"/>
      <c r="C356" s="572"/>
      <c r="D356" s="572"/>
      <c r="E356" s="572"/>
      <c r="F356" s="572"/>
      <c r="G356" s="572"/>
      <c r="H356" s="572"/>
      <c r="I356" s="572"/>
      <c r="J356" s="507"/>
      <c r="K356" s="507"/>
      <c r="L356" s="507"/>
      <c r="M356" s="507"/>
      <c r="N356" s="507"/>
      <c r="O356" s="507"/>
      <c r="P356" s="507"/>
      <c r="Q356" s="507"/>
      <c r="R356" s="507"/>
      <c r="S356" s="507"/>
      <c r="T356" s="507"/>
      <c r="U356" s="507"/>
      <c r="V356" s="507"/>
      <c r="W356" s="507"/>
      <c r="X356" s="507"/>
      <c r="Y356" s="507"/>
      <c r="Z356" s="507"/>
    </row>
    <row r="357">
      <c r="A357" s="507"/>
      <c r="B357" s="572"/>
      <c r="C357" s="572"/>
      <c r="D357" s="572"/>
      <c r="E357" s="572"/>
      <c r="F357" s="572"/>
      <c r="G357" s="572"/>
      <c r="H357" s="572"/>
      <c r="I357" s="572"/>
      <c r="J357" s="507"/>
      <c r="K357" s="507"/>
      <c r="L357" s="507"/>
      <c r="M357" s="507"/>
      <c r="N357" s="507"/>
      <c r="O357" s="507"/>
      <c r="P357" s="507"/>
      <c r="Q357" s="507"/>
      <c r="R357" s="507"/>
      <c r="S357" s="507"/>
      <c r="T357" s="507"/>
      <c r="U357" s="507"/>
      <c r="V357" s="507"/>
      <c r="W357" s="507"/>
      <c r="X357" s="507"/>
      <c r="Y357" s="507"/>
      <c r="Z357" s="507"/>
    </row>
    <row r="358">
      <c r="A358" s="507"/>
      <c r="B358" s="572"/>
      <c r="C358" s="572"/>
      <c r="D358" s="572"/>
      <c r="E358" s="572"/>
      <c r="F358" s="572"/>
      <c r="G358" s="572"/>
      <c r="H358" s="572"/>
      <c r="I358" s="572"/>
      <c r="J358" s="507"/>
      <c r="K358" s="507"/>
      <c r="L358" s="507"/>
      <c r="M358" s="507"/>
      <c r="N358" s="507"/>
      <c r="O358" s="507"/>
      <c r="P358" s="507"/>
      <c r="Q358" s="507"/>
      <c r="R358" s="507"/>
      <c r="S358" s="507"/>
      <c r="T358" s="507"/>
      <c r="U358" s="507"/>
      <c r="V358" s="507"/>
      <c r="W358" s="507"/>
      <c r="X358" s="507"/>
      <c r="Y358" s="507"/>
      <c r="Z358" s="507"/>
    </row>
    <row r="359">
      <c r="A359" s="507"/>
      <c r="B359" s="572"/>
      <c r="C359" s="572"/>
      <c r="D359" s="572"/>
      <c r="E359" s="572"/>
      <c r="F359" s="572"/>
      <c r="G359" s="572"/>
      <c r="H359" s="572"/>
      <c r="I359" s="572"/>
      <c r="J359" s="507"/>
      <c r="K359" s="507"/>
      <c r="L359" s="507"/>
      <c r="M359" s="507"/>
      <c r="N359" s="507"/>
      <c r="O359" s="507"/>
      <c r="P359" s="507"/>
      <c r="Q359" s="507"/>
      <c r="R359" s="507"/>
      <c r="S359" s="507"/>
      <c r="T359" s="507"/>
      <c r="U359" s="507"/>
      <c r="V359" s="507"/>
      <c r="W359" s="507"/>
      <c r="X359" s="507"/>
      <c r="Y359" s="507"/>
      <c r="Z359" s="507"/>
    </row>
    <row r="360">
      <c r="A360" s="507"/>
      <c r="B360" s="572"/>
      <c r="C360" s="572"/>
      <c r="D360" s="572"/>
      <c r="E360" s="572"/>
      <c r="F360" s="572"/>
      <c r="G360" s="572"/>
      <c r="H360" s="572"/>
      <c r="I360" s="572"/>
      <c r="J360" s="507"/>
      <c r="K360" s="507"/>
      <c r="L360" s="507"/>
      <c r="M360" s="507"/>
      <c r="N360" s="507"/>
      <c r="O360" s="507"/>
      <c r="P360" s="507"/>
      <c r="Q360" s="507"/>
      <c r="R360" s="507"/>
      <c r="S360" s="507"/>
      <c r="T360" s="507"/>
      <c r="U360" s="507"/>
      <c r="V360" s="507"/>
      <c r="W360" s="507"/>
      <c r="X360" s="507"/>
      <c r="Y360" s="507"/>
      <c r="Z360" s="507"/>
    </row>
    <row r="361">
      <c r="A361" s="507"/>
      <c r="B361" s="572"/>
      <c r="C361" s="572"/>
      <c r="D361" s="572"/>
      <c r="E361" s="572"/>
      <c r="F361" s="572"/>
      <c r="G361" s="572"/>
      <c r="H361" s="572"/>
      <c r="I361" s="572"/>
      <c r="J361" s="507"/>
      <c r="K361" s="507"/>
      <c r="L361" s="507"/>
      <c r="M361" s="507"/>
      <c r="N361" s="507"/>
      <c r="O361" s="507"/>
      <c r="P361" s="507"/>
      <c r="Q361" s="507"/>
      <c r="R361" s="507"/>
      <c r="S361" s="507"/>
      <c r="T361" s="507"/>
      <c r="U361" s="507"/>
      <c r="V361" s="507"/>
      <c r="W361" s="507"/>
      <c r="X361" s="507"/>
      <c r="Y361" s="507"/>
      <c r="Z361" s="507"/>
    </row>
    <row r="362">
      <c r="A362" s="507"/>
      <c r="B362" s="572"/>
      <c r="C362" s="572"/>
      <c r="D362" s="572"/>
      <c r="E362" s="572"/>
      <c r="F362" s="572"/>
      <c r="G362" s="572"/>
      <c r="H362" s="572"/>
      <c r="I362" s="572"/>
      <c r="J362" s="507"/>
      <c r="K362" s="507"/>
      <c r="L362" s="507"/>
      <c r="M362" s="507"/>
      <c r="N362" s="507"/>
      <c r="O362" s="507"/>
      <c r="P362" s="507"/>
      <c r="Q362" s="507"/>
      <c r="R362" s="507"/>
      <c r="S362" s="507"/>
      <c r="T362" s="507"/>
      <c r="U362" s="507"/>
      <c r="V362" s="507"/>
      <c r="W362" s="507"/>
      <c r="X362" s="507"/>
      <c r="Y362" s="507"/>
      <c r="Z362" s="507"/>
    </row>
    <row r="363">
      <c r="A363" s="507"/>
      <c r="B363" s="572"/>
      <c r="C363" s="572"/>
      <c r="D363" s="572"/>
      <c r="E363" s="572"/>
      <c r="F363" s="572"/>
      <c r="G363" s="572"/>
      <c r="H363" s="572"/>
      <c r="I363" s="572"/>
      <c r="J363" s="507"/>
      <c r="K363" s="507"/>
      <c r="L363" s="507"/>
      <c r="M363" s="507"/>
      <c r="N363" s="507"/>
      <c r="O363" s="507"/>
      <c r="P363" s="507"/>
      <c r="Q363" s="507"/>
      <c r="R363" s="507"/>
      <c r="S363" s="507"/>
      <c r="T363" s="507"/>
      <c r="U363" s="507"/>
      <c r="V363" s="507"/>
      <c r="W363" s="507"/>
      <c r="X363" s="507"/>
      <c r="Y363" s="507"/>
      <c r="Z363" s="507"/>
    </row>
    <row r="364">
      <c r="A364" s="507"/>
      <c r="B364" s="572"/>
      <c r="C364" s="572"/>
      <c r="D364" s="572"/>
      <c r="E364" s="572"/>
      <c r="F364" s="572"/>
      <c r="G364" s="572"/>
      <c r="H364" s="572"/>
      <c r="I364" s="572"/>
      <c r="J364" s="507"/>
      <c r="K364" s="507"/>
      <c r="L364" s="507"/>
      <c r="M364" s="507"/>
      <c r="N364" s="507"/>
      <c r="O364" s="507"/>
      <c r="P364" s="507"/>
      <c r="Q364" s="507"/>
      <c r="R364" s="507"/>
      <c r="S364" s="507"/>
      <c r="T364" s="507"/>
      <c r="U364" s="507"/>
      <c r="V364" s="507"/>
      <c r="W364" s="507"/>
      <c r="X364" s="507"/>
      <c r="Y364" s="507"/>
      <c r="Z364" s="507"/>
    </row>
    <row r="365">
      <c r="A365" s="507"/>
      <c r="B365" s="572"/>
      <c r="C365" s="572"/>
      <c r="D365" s="572"/>
      <c r="E365" s="572"/>
      <c r="F365" s="572"/>
      <c r="G365" s="572"/>
      <c r="H365" s="572"/>
      <c r="I365" s="572"/>
      <c r="J365" s="507"/>
      <c r="K365" s="507"/>
      <c r="L365" s="507"/>
      <c r="M365" s="507"/>
      <c r="N365" s="507"/>
      <c r="O365" s="507"/>
      <c r="P365" s="507"/>
      <c r="Q365" s="507"/>
      <c r="R365" s="507"/>
      <c r="S365" s="507"/>
      <c r="T365" s="507"/>
      <c r="U365" s="507"/>
      <c r="V365" s="507"/>
      <c r="W365" s="507"/>
      <c r="X365" s="507"/>
      <c r="Y365" s="507"/>
      <c r="Z365" s="507"/>
    </row>
    <row r="366">
      <c r="A366" s="507"/>
      <c r="B366" s="572"/>
      <c r="C366" s="572"/>
      <c r="D366" s="572"/>
      <c r="E366" s="572"/>
      <c r="F366" s="572"/>
      <c r="G366" s="572"/>
      <c r="H366" s="572"/>
      <c r="I366" s="572"/>
      <c r="J366" s="507"/>
      <c r="K366" s="507"/>
      <c r="L366" s="507"/>
      <c r="M366" s="507"/>
      <c r="N366" s="507"/>
      <c r="O366" s="507"/>
      <c r="P366" s="507"/>
      <c r="Q366" s="507"/>
      <c r="R366" s="507"/>
      <c r="S366" s="507"/>
      <c r="T366" s="507"/>
      <c r="U366" s="507"/>
      <c r="V366" s="507"/>
      <c r="W366" s="507"/>
      <c r="X366" s="507"/>
      <c r="Y366" s="507"/>
      <c r="Z366" s="507"/>
    </row>
    <row r="367">
      <c r="A367" s="507"/>
      <c r="B367" s="572"/>
      <c r="C367" s="572"/>
      <c r="D367" s="572"/>
      <c r="E367" s="572"/>
      <c r="F367" s="572"/>
      <c r="G367" s="572"/>
      <c r="H367" s="572"/>
      <c r="I367" s="572"/>
      <c r="J367" s="507"/>
      <c r="K367" s="507"/>
      <c r="L367" s="507"/>
      <c r="M367" s="507"/>
      <c r="N367" s="507"/>
      <c r="O367" s="507"/>
      <c r="P367" s="507"/>
      <c r="Q367" s="507"/>
      <c r="R367" s="507"/>
      <c r="S367" s="507"/>
      <c r="T367" s="507"/>
      <c r="U367" s="507"/>
      <c r="V367" s="507"/>
      <c r="W367" s="507"/>
      <c r="X367" s="507"/>
      <c r="Y367" s="507"/>
      <c r="Z367" s="507"/>
    </row>
    <row r="368">
      <c r="A368" s="507"/>
      <c r="B368" s="572"/>
      <c r="C368" s="572"/>
      <c r="D368" s="572"/>
      <c r="E368" s="572"/>
      <c r="F368" s="572"/>
      <c r="G368" s="572"/>
      <c r="H368" s="572"/>
      <c r="I368" s="572"/>
      <c r="J368" s="507"/>
      <c r="K368" s="507"/>
      <c r="L368" s="507"/>
      <c r="M368" s="507"/>
      <c r="N368" s="507"/>
      <c r="O368" s="507"/>
      <c r="P368" s="507"/>
      <c r="Q368" s="507"/>
      <c r="R368" s="507"/>
      <c r="S368" s="507"/>
      <c r="T368" s="507"/>
      <c r="U368" s="507"/>
      <c r="V368" s="507"/>
      <c r="W368" s="507"/>
      <c r="X368" s="507"/>
      <c r="Y368" s="507"/>
      <c r="Z368" s="507"/>
    </row>
    <row r="369">
      <c r="A369" s="507"/>
      <c r="B369" s="572"/>
      <c r="C369" s="572"/>
      <c r="D369" s="572"/>
      <c r="E369" s="572"/>
      <c r="F369" s="572"/>
      <c r="G369" s="572"/>
      <c r="H369" s="572"/>
      <c r="I369" s="572"/>
      <c r="J369" s="507"/>
      <c r="K369" s="507"/>
      <c r="L369" s="507"/>
      <c r="M369" s="507"/>
      <c r="N369" s="507"/>
      <c r="O369" s="507"/>
      <c r="P369" s="507"/>
      <c r="Q369" s="507"/>
      <c r="R369" s="507"/>
      <c r="S369" s="507"/>
      <c r="T369" s="507"/>
      <c r="U369" s="507"/>
      <c r="V369" s="507"/>
      <c r="W369" s="507"/>
      <c r="X369" s="507"/>
      <c r="Y369" s="507"/>
      <c r="Z369" s="507"/>
    </row>
    <row r="370">
      <c r="A370" s="507"/>
      <c r="B370" s="572"/>
      <c r="C370" s="572"/>
      <c r="D370" s="572"/>
      <c r="E370" s="572"/>
      <c r="F370" s="572"/>
      <c r="G370" s="572"/>
      <c r="H370" s="572"/>
      <c r="I370" s="572"/>
      <c r="J370" s="507"/>
      <c r="K370" s="507"/>
      <c r="L370" s="507"/>
      <c r="M370" s="507"/>
      <c r="N370" s="507"/>
      <c r="O370" s="507"/>
      <c r="P370" s="507"/>
      <c r="Q370" s="507"/>
      <c r="R370" s="507"/>
      <c r="S370" s="507"/>
      <c r="T370" s="507"/>
      <c r="U370" s="507"/>
      <c r="V370" s="507"/>
      <c r="W370" s="507"/>
      <c r="X370" s="507"/>
      <c r="Y370" s="507"/>
      <c r="Z370" s="507"/>
    </row>
    <row r="371">
      <c r="A371" s="507"/>
      <c r="B371" s="572"/>
      <c r="C371" s="572"/>
      <c r="D371" s="572"/>
      <c r="E371" s="572"/>
      <c r="F371" s="572"/>
      <c r="G371" s="572"/>
      <c r="H371" s="572"/>
      <c r="I371" s="572"/>
      <c r="J371" s="507"/>
      <c r="K371" s="507"/>
      <c r="L371" s="507"/>
      <c r="M371" s="507"/>
      <c r="N371" s="507"/>
      <c r="O371" s="507"/>
      <c r="P371" s="507"/>
      <c r="Q371" s="507"/>
      <c r="R371" s="507"/>
      <c r="S371" s="507"/>
      <c r="T371" s="507"/>
      <c r="U371" s="507"/>
      <c r="V371" s="507"/>
      <c r="W371" s="507"/>
      <c r="X371" s="507"/>
      <c r="Y371" s="507"/>
      <c r="Z371" s="507"/>
    </row>
    <row r="372">
      <c r="A372" s="507"/>
      <c r="B372" s="572"/>
      <c r="C372" s="572"/>
      <c r="D372" s="572"/>
      <c r="E372" s="572"/>
      <c r="F372" s="572"/>
      <c r="G372" s="572"/>
      <c r="H372" s="572"/>
      <c r="I372" s="572"/>
      <c r="J372" s="507"/>
      <c r="K372" s="507"/>
      <c r="L372" s="507"/>
      <c r="M372" s="507"/>
      <c r="N372" s="507"/>
      <c r="O372" s="507"/>
      <c r="P372" s="507"/>
      <c r="Q372" s="507"/>
      <c r="R372" s="507"/>
      <c r="S372" s="507"/>
      <c r="T372" s="507"/>
      <c r="U372" s="507"/>
      <c r="V372" s="507"/>
      <c r="W372" s="507"/>
      <c r="X372" s="507"/>
      <c r="Y372" s="507"/>
      <c r="Z372" s="507"/>
    </row>
    <row r="373">
      <c r="A373" s="507"/>
      <c r="B373" s="572"/>
      <c r="C373" s="572"/>
      <c r="D373" s="572"/>
      <c r="E373" s="572"/>
      <c r="F373" s="572"/>
      <c r="G373" s="572"/>
      <c r="H373" s="572"/>
      <c r="I373" s="572"/>
      <c r="J373" s="507"/>
      <c r="K373" s="507"/>
      <c r="L373" s="507"/>
      <c r="M373" s="507"/>
      <c r="N373" s="507"/>
      <c r="O373" s="507"/>
      <c r="P373" s="507"/>
      <c r="Q373" s="507"/>
      <c r="R373" s="507"/>
      <c r="S373" s="507"/>
      <c r="T373" s="507"/>
      <c r="U373" s="507"/>
      <c r="V373" s="507"/>
      <c r="W373" s="507"/>
      <c r="X373" s="507"/>
      <c r="Y373" s="507"/>
      <c r="Z373" s="507"/>
    </row>
    <row r="374">
      <c r="A374" s="507"/>
      <c r="B374" s="572"/>
      <c r="C374" s="572"/>
      <c r="D374" s="572"/>
      <c r="E374" s="572"/>
      <c r="F374" s="572"/>
      <c r="G374" s="572"/>
      <c r="H374" s="572"/>
      <c r="I374" s="572"/>
      <c r="J374" s="507"/>
      <c r="K374" s="507"/>
      <c r="L374" s="507"/>
      <c r="M374" s="507"/>
      <c r="N374" s="507"/>
      <c r="O374" s="507"/>
      <c r="P374" s="507"/>
      <c r="Q374" s="507"/>
      <c r="R374" s="507"/>
      <c r="S374" s="507"/>
      <c r="T374" s="507"/>
      <c r="U374" s="507"/>
      <c r="V374" s="507"/>
      <c r="W374" s="507"/>
      <c r="X374" s="507"/>
      <c r="Y374" s="507"/>
      <c r="Z374" s="507"/>
    </row>
    <row r="375">
      <c r="A375" s="507"/>
      <c r="B375" s="572"/>
      <c r="C375" s="572"/>
      <c r="D375" s="572"/>
      <c r="E375" s="572"/>
      <c r="F375" s="572"/>
      <c r="G375" s="572"/>
      <c r="H375" s="572"/>
      <c r="I375" s="572"/>
      <c r="J375" s="507"/>
      <c r="K375" s="507"/>
      <c r="L375" s="507"/>
      <c r="M375" s="507"/>
      <c r="N375" s="507"/>
      <c r="O375" s="507"/>
      <c r="P375" s="507"/>
      <c r="Q375" s="507"/>
      <c r="R375" s="507"/>
      <c r="S375" s="507"/>
      <c r="T375" s="507"/>
      <c r="U375" s="507"/>
      <c r="V375" s="507"/>
      <c r="W375" s="507"/>
      <c r="X375" s="507"/>
      <c r="Y375" s="507"/>
      <c r="Z375" s="507"/>
    </row>
    <row r="376">
      <c r="A376" s="507"/>
      <c r="B376" s="572"/>
      <c r="C376" s="572"/>
      <c r="D376" s="572"/>
      <c r="E376" s="572"/>
      <c r="F376" s="572"/>
      <c r="G376" s="572"/>
      <c r="H376" s="572"/>
      <c r="I376" s="572"/>
      <c r="J376" s="507"/>
      <c r="K376" s="507"/>
      <c r="L376" s="507"/>
      <c r="M376" s="507"/>
      <c r="N376" s="507"/>
      <c r="O376" s="507"/>
      <c r="P376" s="507"/>
      <c r="Q376" s="507"/>
      <c r="R376" s="507"/>
      <c r="S376" s="507"/>
      <c r="T376" s="507"/>
      <c r="U376" s="507"/>
      <c r="V376" s="507"/>
      <c r="W376" s="507"/>
      <c r="X376" s="507"/>
      <c r="Y376" s="507"/>
      <c r="Z376" s="507"/>
    </row>
    <row r="377">
      <c r="A377" s="507"/>
      <c r="B377" s="572"/>
      <c r="C377" s="572"/>
      <c r="D377" s="572"/>
      <c r="E377" s="572"/>
      <c r="F377" s="572"/>
      <c r="G377" s="572"/>
      <c r="H377" s="572"/>
      <c r="I377" s="572"/>
      <c r="J377" s="507"/>
      <c r="K377" s="507"/>
      <c r="L377" s="507"/>
      <c r="M377" s="507"/>
      <c r="N377" s="507"/>
      <c r="O377" s="507"/>
      <c r="P377" s="507"/>
      <c r="Q377" s="507"/>
      <c r="R377" s="507"/>
      <c r="S377" s="507"/>
      <c r="T377" s="507"/>
      <c r="U377" s="507"/>
      <c r="V377" s="507"/>
      <c r="W377" s="507"/>
      <c r="X377" s="507"/>
      <c r="Y377" s="507"/>
      <c r="Z377" s="507"/>
    </row>
    <row r="378">
      <c r="A378" s="507"/>
      <c r="B378" s="572"/>
      <c r="C378" s="572"/>
      <c r="D378" s="572"/>
      <c r="E378" s="572"/>
      <c r="F378" s="572"/>
      <c r="G378" s="572"/>
      <c r="H378" s="572"/>
      <c r="I378" s="572"/>
      <c r="J378" s="507"/>
      <c r="K378" s="507"/>
      <c r="L378" s="507"/>
      <c r="M378" s="507"/>
      <c r="N378" s="507"/>
      <c r="O378" s="507"/>
      <c r="P378" s="507"/>
      <c r="Q378" s="507"/>
      <c r="R378" s="507"/>
      <c r="S378" s="507"/>
      <c r="T378" s="507"/>
      <c r="U378" s="507"/>
      <c r="V378" s="507"/>
      <c r="W378" s="507"/>
      <c r="X378" s="507"/>
      <c r="Y378" s="507"/>
      <c r="Z378" s="507"/>
    </row>
    <row r="379">
      <c r="A379" s="507"/>
      <c r="B379" s="572"/>
      <c r="C379" s="572"/>
      <c r="D379" s="572"/>
      <c r="E379" s="572"/>
      <c r="F379" s="572"/>
      <c r="G379" s="572"/>
      <c r="H379" s="572"/>
      <c r="I379" s="572"/>
      <c r="J379" s="507"/>
      <c r="K379" s="507"/>
      <c r="L379" s="507"/>
      <c r="M379" s="507"/>
      <c r="N379" s="507"/>
      <c r="O379" s="507"/>
      <c r="P379" s="507"/>
      <c r="Q379" s="507"/>
      <c r="R379" s="507"/>
      <c r="S379" s="507"/>
      <c r="T379" s="507"/>
      <c r="U379" s="507"/>
      <c r="V379" s="507"/>
      <c r="W379" s="507"/>
      <c r="X379" s="507"/>
      <c r="Y379" s="507"/>
      <c r="Z379" s="507"/>
    </row>
    <row r="380">
      <c r="A380" s="507"/>
      <c r="B380" s="572"/>
      <c r="C380" s="572"/>
      <c r="D380" s="572"/>
      <c r="E380" s="572"/>
      <c r="F380" s="572"/>
      <c r="G380" s="572"/>
      <c r="H380" s="572"/>
      <c r="I380" s="572"/>
      <c r="J380" s="507"/>
      <c r="K380" s="507"/>
      <c r="L380" s="507"/>
      <c r="M380" s="507"/>
      <c r="N380" s="507"/>
      <c r="O380" s="507"/>
      <c r="P380" s="507"/>
      <c r="Q380" s="507"/>
      <c r="R380" s="507"/>
      <c r="S380" s="507"/>
      <c r="T380" s="507"/>
      <c r="U380" s="507"/>
      <c r="V380" s="507"/>
      <c r="W380" s="507"/>
      <c r="X380" s="507"/>
      <c r="Y380" s="507"/>
      <c r="Z380" s="507"/>
    </row>
    <row r="381">
      <c r="A381" s="507"/>
      <c r="B381" s="572"/>
      <c r="C381" s="572"/>
      <c r="D381" s="572"/>
      <c r="E381" s="572"/>
      <c r="F381" s="572"/>
      <c r="G381" s="572"/>
      <c r="H381" s="572"/>
      <c r="I381" s="572"/>
      <c r="J381" s="507"/>
      <c r="K381" s="507"/>
      <c r="L381" s="507"/>
      <c r="M381" s="507"/>
      <c r="N381" s="507"/>
      <c r="O381" s="507"/>
      <c r="P381" s="507"/>
      <c r="Q381" s="507"/>
      <c r="R381" s="507"/>
      <c r="S381" s="507"/>
      <c r="T381" s="507"/>
      <c r="U381" s="507"/>
      <c r="V381" s="507"/>
      <c r="W381" s="507"/>
      <c r="X381" s="507"/>
      <c r="Y381" s="507"/>
      <c r="Z381" s="507"/>
    </row>
    <row r="382">
      <c r="A382" s="507"/>
      <c r="B382" s="572"/>
      <c r="C382" s="572"/>
      <c r="D382" s="572"/>
      <c r="E382" s="572"/>
      <c r="F382" s="572"/>
      <c r="G382" s="572"/>
      <c r="H382" s="572"/>
      <c r="I382" s="572"/>
      <c r="J382" s="507"/>
      <c r="K382" s="507"/>
      <c r="L382" s="507"/>
      <c r="M382" s="507"/>
      <c r="N382" s="507"/>
      <c r="O382" s="507"/>
      <c r="P382" s="507"/>
      <c r="Q382" s="507"/>
      <c r="R382" s="507"/>
      <c r="S382" s="507"/>
      <c r="T382" s="507"/>
      <c r="U382" s="507"/>
      <c r="V382" s="507"/>
      <c r="W382" s="507"/>
      <c r="X382" s="507"/>
      <c r="Y382" s="507"/>
      <c r="Z382" s="507"/>
    </row>
    <row r="383">
      <c r="A383" s="507"/>
      <c r="B383" s="572"/>
      <c r="C383" s="572"/>
      <c r="D383" s="572"/>
      <c r="E383" s="572"/>
      <c r="F383" s="572"/>
      <c r="G383" s="572"/>
      <c r="H383" s="572"/>
      <c r="I383" s="572"/>
      <c r="J383" s="507"/>
      <c r="K383" s="507"/>
      <c r="L383" s="507"/>
      <c r="M383" s="507"/>
      <c r="N383" s="507"/>
      <c r="O383" s="507"/>
      <c r="P383" s="507"/>
      <c r="Q383" s="507"/>
      <c r="R383" s="507"/>
      <c r="S383" s="507"/>
      <c r="T383" s="507"/>
      <c r="U383" s="507"/>
      <c r="V383" s="507"/>
      <c r="W383" s="507"/>
      <c r="X383" s="507"/>
      <c r="Y383" s="507"/>
      <c r="Z383" s="507"/>
    </row>
    <row r="384">
      <c r="A384" s="507"/>
      <c r="B384" s="572"/>
      <c r="C384" s="572"/>
      <c r="D384" s="572"/>
      <c r="E384" s="572"/>
      <c r="F384" s="572"/>
      <c r="G384" s="572"/>
      <c r="H384" s="572"/>
      <c r="I384" s="572"/>
      <c r="J384" s="507"/>
      <c r="K384" s="507"/>
      <c r="L384" s="507"/>
      <c r="M384" s="507"/>
      <c r="N384" s="507"/>
      <c r="O384" s="507"/>
      <c r="P384" s="507"/>
      <c r="Q384" s="507"/>
      <c r="R384" s="507"/>
      <c r="S384" s="507"/>
      <c r="T384" s="507"/>
      <c r="U384" s="507"/>
      <c r="V384" s="507"/>
      <c r="W384" s="507"/>
      <c r="X384" s="507"/>
      <c r="Y384" s="507"/>
      <c r="Z384" s="507"/>
    </row>
    <row r="385">
      <c r="A385" s="507"/>
      <c r="B385" s="572"/>
      <c r="C385" s="572"/>
      <c r="D385" s="572"/>
      <c r="E385" s="572"/>
      <c r="F385" s="572"/>
      <c r="G385" s="572"/>
      <c r="H385" s="572"/>
      <c r="I385" s="572"/>
      <c r="J385" s="507"/>
      <c r="K385" s="507"/>
      <c r="L385" s="507"/>
      <c r="M385" s="507"/>
      <c r="N385" s="507"/>
      <c r="O385" s="507"/>
      <c r="P385" s="507"/>
      <c r="Q385" s="507"/>
      <c r="R385" s="507"/>
      <c r="S385" s="507"/>
      <c r="T385" s="507"/>
      <c r="U385" s="507"/>
      <c r="V385" s="507"/>
      <c r="W385" s="507"/>
      <c r="X385" s="507"/>
      <c r="Y385" s="507"/>
      <c r="Z385" s="507"/>
    </row>
    <row r="386">
      <c r="A386" s="507"/>
      <c r="B386" s="572"/>
      <c r="C386" s="572"/>
      <c r="D386" s="572"/>
      <c r="E386" s="572"/>
      <c r="F386" s="572"/>
      <c r="G386" s="572"/>
      <c r="H386" s="572"/>
      <c r="I386" s="572"/>
      <c r="J386" s="507"/>
      <c r="K386" s="507"/>
      <c r="L386" s="507"/>
      <c r="M386" s="507"/>
      <c r="N386" s="507"/>
      <c r="O386" s="507"/>
      <c r="P386" s="507"/>
      <c r="Q386" s="507"/>
      <c r="R386" s="507"/>
      <c r="S386" s="507"/>
      <c r="T386" s="507"/>
      <c r="U386" s="507"/>
      <c r="V386" s="507"/>
      <c r="W386" s="507"/>
      <c r="X386" s="507"/>
      <c r="Y386" s="507"/>
      <c r="Z386" s="507"/>
    </row>
    <row r="387">
      <c r="A387" s="507"/>
      <c r="B387" s="572"/>
      <c r="C387" s="572"/>
      <c r="D387" s="572"/>
      <c r="E387" s="572"/>
      <c r="F387" s="572"/>
      <c r="G387" s="572"/>
      <c r="H387" s="572"/>
      <c r="I387" s="572"/>
      <c r="J387" s="507"/>
      <c r="K387" s="507"/>
      <c r="L387" s="507"/>
      <c r="M387" s="507"/>
      <c r="N387" s="507"/>
      <c r="O387" s="507"/>
      <c r="P387" s="507"/>
      <c r="Q387" s="507"/>
      <c r="R387" s="507"/>
      <c r="S387" s="507"/>
      <c r="T387" s="507"/>
      <c r="U387" s="507"/>
      <c r="V387" s="507"/>
      <c r="W387" s="507"/>
      <c r="X387" s="507"/>
      <c r="Y387" s="507"/>
      <c r="Z387" s="507"/>
    </row>
    <row r="388">
      <c r="A388" s="507"/>
      <c r="B388" s="572"/>
      <c r="C388" s="572"/>
      <c r="D388" s="572"/>
      <c r="E388" s="572"/>
      <c r="F388" s="572"/>
      <c r="G388" s="572"/>
      <c r="H388" s="572"/>
      <c r="I388" s="572"/>
      <c r="J388" s="507"/>
      <c r="K388" s="507"/>
      <c r="L388" s="507"/>
      <c r="M388" s="507"/>
      <c r="N388" s="507"/>
      <c r="O388" s="507"/>
      <c r="P388" s="507"/>
      <c r="Q388" s="507"/>
      <c r="R388" s="507"/>
      <c r="S388" s="507"/>
      <c r="T388" s="507"/>
      <c r="U388" s="507"/>
      <c r="V388" s="507"/>
      <c r="W388" s="507"/>
      <c r="X388" s="507"/>
      <c r="Y388" s="507"/>
      <c r="Z388" s="507"/>
    </row>
    <row r="389">
      <c r="A389" s="507"/>
      <c r="B389" s="572"/>
      <c r="C389" s="572"/>
      <c r="D389" s="572"/>
      <c r="E389" s="572"/>
      <c r="F389" s="572"/>
      <c r="G389" s="572"/>
      <c r="H389" s="572"/>
      <c r="I389" s="572"/>
      <c r="J389" s="507"/>
      <c r="K389" s="507"/>
      <c r="L389" s="507"/>
      <c r="M389" s="507"/>
      <c r="N389" s="507"/>
      <c r="O389" s="507"/>
      <c r="P389" s="507"/>
      <c r="Q389" s="507"/>
      <c r="R389" s="507"/>
      <c r="S389" s="507"/>
      <c r="T389" s="507"/>
      <c r="U389" s="507"/>
      <c r="V389" s="507"/>
      <c r="W389" s="507"/>
      <c r="X389" s="507"/>
      <c r="Y389" s="507"/>
      <c r="Z389" s="507"/>
    </row>
    <row r="390">
      <c r="A390" s="507"/>
      <c r="B390" s="572"/>
      <c r="C390" s="572"/>
      <c r="D390" s="572"/>
      <c r="E390" s="572"/>
      <c r="F390" s="572"/>
      <c r="G390" s="572"/>
      <c r="H390" s="572"/>
      <c r="I390" s="572"/>
      <c r="J390" s="507"/>
      <c r="K390" s="507"/>
      <c r="L390" s="507"/>
      <c r="M390" s="507"/>
      <c r="N390" s="507"/>
      <c r="O390" s="507"/>
      <c r="P390" s="507"/>
      <c r="Q390" s="507"/>
      <c r="R390" s="507"/>
      <c r="S390" s="507"/>
      <c r="T390" s="507"/>
      <c r="U390" s="507"/>
      <c r="V390" s="507"/>
      <c r="W390" s="507"/>
      <c r="X390" s="507"/>
      <c r="Y390" s="507"/>
      <c r="Z390" s="507"/>
    </row>
    <row r="391">
      <c r="A391" s="507"/>
      <c r="B391" s="572"/>
      <c r="C391" s="572"/>
      <c r="D391" s="572"/>
      <c r="E391" s="572"/>
      <c r="F391" s="572"/>
      <c r="G391" s="572"/>
      <c r="H391" s="572"/>
      <c r="I391" s="572"/>
      <c r="J391" s="507"/>
      <c r="K391" s="507"/>
      <c r="L391" s="507"/>
      <c r="M391" s="507"/>
      <c r="N391" s="507"/>
      <c r="O391" s="507"/>
      <c r="P391" s="507"/>
      <c r="Q391" s="507"/>
      <c r="R391" s="507"/>
      <c r="S391" s="507"/>
      <c r="T391" s="507"/>
      <c r="U391" s="507"/>
      <c r="V391" s="507"/>
      <c r="W391" s="507"/>
      <c r="X391" s="507"/>
      <c r="Y391" s="507"/>
      <c r="Z391" s="507"/>
    </row>
    <row r="392">
      <c r="A392" s="507"/>
      <c r="B392" s="572"/>
      <c r="C392" s="572"/>
      <c r="D392" s="572"/>
      <c r="E392" s="572"/>
      <c r="F392" s="572"/>
      <c r="G392" s="572"/>
      <c r="H392" s="572"/>
      <c r="I392" s="572"/>
      <c r="J392" s="507"/>
      <c r="K392" s="507"/>
      <c r="L392" s="507"/>
      <c r="M392" s="507"/>
      <c r="N392" s="507"/>
      <c r="O392" s="507"/>
      <c r="P392" s="507"/>
      <c r="Q392" s="507"/>
      <c r="R392" s="507"/>
      <c r="S392" s="507"/>
      <c r="T392" s="507"/>
      <c r="U392" s="507"/>
      <c r="V392" s="507"/>
      <c r="W392" s="507"/>
      <c r="X392" s="507"/>
      <c r="Y392" s="507"/>
      <c r="Z392" s="507"/>
    </row>
    <row r="393">
      <c r="A393" s="507"/>
      <c r="B393" s="572"/>
      <c r="C393" s="572"/>
      <c r="D393" s="572"/>
      <c r="E393" s="572"/>
      <c r="F393" s="572"/>
      <c r="G393" s="572"/>
      <c r="H393" s="572"/>
      <c r="I393" s="572"/>
      <c r="J393" s="507"/>
      <c r="K393" s="507"/>
      <c r="L393" s="507"/>
      <c r="M393" s="507"/>
      <c r="N393" s="507"/>
      <c r="O393" s="507"/>
      <c r="P393" s="507"/>
      <c r="Q393" s="507"/>
      <c r="R393" s="507"/>
      <c r="S393" s="507"/>
      <c r="T393" s="507"/>
      <c r="U393" s="507"/>
      <c r="V393" s="507"/>
      <c r="W393" s="507"/>
      <c r="X393" s="507"/>
      <c r="Y393" s="507"/>
      <c r="Z393" s="507"/>
    </row>
    <row r="394">
      <c r="A394" s="507"/>
      <c r="B394" s="572"/>
      <c r="C394" s="572"/>
      <c r="D394" s="572"/>
      <c r="E394" s="572"/>
      <c r="F394" s="572"/>
      <c r="G394" s="572"/>
      <c r="H394" s="572"/>
      <c r="I394" s="572"/>
      <c r="J394" s="507"/>
      <c r="K394" s="507"/>
      <c r="L394" s="507"/>
      <c r="M394" s="507"/>
      <c r="N394" s="507"/>
      <c r="O394" s="507"/>
      <c r="P394" s="507"/>
      <c r="Q394" s="507"/>
      <c r="R394" s="507"/>
      <c r="S394" s="507"/>
      <c r="T394" s="507"/>
      <c r="U394" s="507"/>
      <c r="V394" s="507"/>
      <c r="W394" s="507"/>
      <c r="X394" s="507"/>
      <c r="Y394" s="507"/>
      <c r="Z394" s="507"/>
    </row>
    <row r="395">
      <c r="A395" s="507"/>
      <c r="B395" s="572"/>
      <c r="C395" s="572"/>
      <c r="D395" s="572"/>
      <c r="E395" s="572"/>
      <c r="F395" s="572"/>
      <c r="G395" s="572"/>
      <c r="H395" s="572"/>
      <c r="I395" s="572"/>
      <c r="J395" s="507"/>
      <c r="K395" s="507"/>
      <c r="L395" s="507"/>
      <c r="M395" s="507"/>
      <c r="N395" s="507"/>
      <c r="O395" s="507"/>
      <c r="P395" s="507"/>
      <c r="Q395" s="507"/>
      <c r="R395" s="507"/>
      <c r="S395" s="507"/>
      <c r="T395" s="507"/>
      <c r="U395" s="507"/>
      <c r="V395" s="507"/>
      <c r="W395" s="507"/>
      <c r="X395" s="507"/>
      <c r="Y395" s="507"/>
      <c r="Z395" s="507"/>
    </row>
    <row r="396">
      <c r="A396" s="507"/>
      <c r="B396" s="572"/>
      <c r="C396" s="572"/>
      <c r="D396" s="572"/>
      <c r="E396" s="572"/>
      <c r="F396" s="572"/>
      <c r="G396" s="572"/>
      <c r="H396" s="572"/>
      <c r="I396" s="572"/>
      <c r="J396" s="507"/>
      <c r="K396" s="507"/>
      <c r="L396" s="507"/>
      <c r="M396" s="507"/>
      <c r="N396" s="507"/>
      <c r="O396" s="507"/>
      <c r="P396" s="507"/>
      <c r="Q396" s="507"/>
      <c r="R396" s="507"/>
      <c r="S396" s="507"/>
      <c r="T396" s="507"/>
      <c r="U396" s="507"/>
      <c r="V396" s="507"/>
      <c r="W396" s="507"/>
      <c r="X396" s="507"/>
      <c r="Y396" s="507"/>
      <c r="Z396" s="507"/>
    </row>
    <row r="397">
      <c r="A397" s="507"/>
      <c r="B397" s="572"/>
      <c r="C397" s="572"/>
      <c r="D397" s="572"/>
      <c r="E397" s="572"/>
      <c r="F397" s="572"/>
      <c r="G397" s="572"/>
      <c r="H397" s="572"/>
      <c r="I397" s="572"/>
      <c r="J397" s="507"/>
      <c r="K397" s="507"/>
      <c r="L397" s="507"/>
      <c r="M397" s="507"/>
      <c r="N397" s="507"/>
      <c r="O397" s="507"/>
      <c r="P397" s="507"/>
      <c r="Q397" s="507"/>
      <c r="R397" s="507"/>
      <c r="S397" s="507"/>
      <c r="T397" s="507"/>
      <c r="U397" s="507"/>
      <c r="V397" s="507"/>
      <c r="W397" s="507"/>
      <c r="X397" s="507"/>
      <c r="Y397" s="507"/>
      <c r="Z397" s="507"/>
    </row>
    <row r="398">
      <c r="A398" s="507"/>
      <c r="B398" s="572"/>
      <c r="C398" s="572"/>
      <c r="D398" s="572"/>
      <c r="E398" s="572"/>
      <c r="F398" s="572"/>
      <c r="G398" s="572"/>
      <c r="H398" s="572"/>
      <c r="I398" s="572"/>
      <c r="J398" s="507"/>
      <c r="K398" s="507"/>
      <c r="L398" s="507"/>
      <c r="M398" s="507"/>
      <c r="N398" s="507"/>
      <c r="O398" s="507"/>
      <c r="P398" s="507"/>
      <c r="Q398" s="507"/>
      <c r="R398" s="507"/>
      <c r="S398" s="507"/>
      <c r="T398" s="507"/>
      <c r="U398" s="507"/>
      <c r="V398" s="507"/>
      <c r="W398" s="507"/>
      <c r="X398" s="507"/>
      <c r="Y398" s="507"/>
      <c r="Z398" s="507"/>
    </row>
    <row r="399">
      <c r="A399" s="507"/>
      <c r="B399" s="572"/>
      <c r="C399" s="572"/>
      <c r="D399" s="572"/>
      <c r="E399" s="572"/>
      <c r="F399" s="572"/>
      <c r="G399" s="572"/>
      <c r="H399" s="572"/>
      <c r="I399" s="572"/>
      <c r="J399" s="507"/>
      <c r="K399" s="507"/>
      <c r="L399" s="507"/>
      <c r="M399" s="507"/>
      <c r="N399" s="507"/>
      <c r="O399" s="507"/>
      <c r="P399" s="507"/>
      <c r="Q399" s="507"/>
      <c r="R399" s="507"/>
      <c r="S399" s="507"/>
      <c r="T399" s="507"/>
      <c r="U399" s="507"/>
      <c r="V399" s="507"/>
      <c r="W399" s="507"/>
      <c r="X399" s="507"/>
      <c r="Y399" s="507"/>
      <c r="Z399" s="507"/>
    </row>
    <row r="400">
      <c r="A400" s="507"/>
      <c r="B400" s="572"/>
      <c r="C400" s="572"/>
      <c r="D400" s="572"/>
      <c r="E400" s="572"/>
      <c r="F400" s="572"/>
      <c r="G400" s="572"/>
      <c r="H400" s="572"/>
      <c r="I400" s="572"/>
      <c r="J400" s="507"/>
      <c r="K400" s="507"/>
      <c r="L400" s="507"/>
      <c r="M400" s="507"/>
      <c r="N400" s="507"/>
      <c r="O400" s="507"/>
      <c r="P400" s="507"/>
      <c r="Q400" s="507"/>
      <c r="R400" s="507"/>
      <c r="S400" s="507"/>
      <c r="T400" s="507"/>
      <c r="U400" s="507"/>
      <c r="V400" s="507"/>
      <c r="W400" s="507"/>
      <c r="X400" s="507"/>
      <c r="Y400" s="507"/>
      <c r="Z400" s="507"/>
    </row>
    <row r="401">
      <c r="A401" s="507"/>
      <c r="B401" s="572"/>
      <c r="C401" s="572"/>
      <c r="D401" s="572"/>
      <c r="E401" s="572"/>
      <c r="F401" s="572"/>
      <c r="G401" s="572"/>
      <c r="H401" s="572"/>
      <c r="I401" s="572"/>
      <c r="J401" s="507"/>
      <c r="K401" s="507"/>
      <c r="L401" s="507"/>
      <c r="M401" s="507"/>
      <c r="N401" s="507"/>
      <c r="O401" s="507"/>
      <c r="P401" s="507"/>
      <c r="Q401" s="507"/>
      <c r="R401" s="507"/>
      <c r="S401" s="507"/>
      <c r="T401" s="507"/>
      <c r="U401" s="507"/>
      <c r="V401" s="507"/>
      <c r="W401" s="507"/>
      <c r="X401" s="507"/>
      <c r="Y401" s="507"/>
      <c r="Z401" s="507"/>
    </row>
    <row r="402">
      <c r="A402" s="507"/>
      <c r="B402" s="572"/>
      <c r="C402" s="572"/>
      <c r="D402" s="572"/>
      <c r="E402" s="572"/>
      <c r="F402" s="572"/>
      <c r="G402" s="572"/>
      <c r="H402" s="572"/>
      <c r="I402" s="572"/>
      <c r="J402" s="507"/>
      <c r="K402" s="507"/>
      <c r="L402" s="507"/>
      <c r="M402" s="507"/>
      <c r="N402" s="507"/>
      <c r="O402" s="507"/>
      <c r="P402" s="507"/>
      <c r="Q402" s="507"/>
      <c r="R402" s="507"/>
      <c r="S402" s="507"/>
      <c r="T402" s="507"/>
      <c r="U402" s="507"/>
      <c r="V402" s="507"/>
      <c r="W402" s="507"/>
      <c r="X402" s="507"/>
      <c r="Y402" s="507"/>
      <c r="Z402" s="507"/>
    </row>
    <row r="403">
      <c r="A403" s="507"/>
      <c r="B403" s="572"/>
      <c r="C403" s="572"/>
      <c r="D403" s="572"/>
      <c r="E403" s="572"/>
      <c r="F403" s="572"/>
      <c r="G403" s="572"/>
      <c r="H403" s="572"/>
      <c r="I403" s="572"/>
      <c r="J403" s="507"/>
      <c r="K403" s="507"/>
      <c r="L403" s="507"/>
      <c r="M403" s="507"/>
      <c r="N403" s="507"/>
      <c r="O403" s="507"/>
      <c r="P403" s="507"/>
      <c r="Q403" s="507"/>
      <c r="R403" s="507"/>
      <c r="S403" s="507"/>
      <c r="T403" s="507"/>
      <c r="U403" s="507"/>
      <c r="V403" s="507"/>
      <c r="W403" s="507"/>
      <c r="X403" s="507"/>
      <c r="Y403" s="507"/>
      <c r="Z403" s="507"/>
    </row>
    <row r="404">
      <c r="A404" s="507"/>
      <c r="B404" s="572"/>
      <c r="C404" s="572"/>
      <c r="D404" s="572"/>
      <c r="E404" s="572"/>
      <c r="F404" s="572"/>
      <c r="G404" s="572"/>
      <c r="H404" s="572"/>
      <c r="I404" s="572"/>
      <c r="J404" s="507"/>
      <c r="K404" s="507"/>
      <c r="L404" s="507"/>
      <c r="M404" s="507"/>
      <c r="N404" s="507"/>
      <c r="O404" s="507"/>
      <c r="P404" s="507"/>
      <c r="Q404" s="507"/>
      <c r="R404" s="507"/>
      <c r="S404" s="507"/>
      <c r="T404" s="507"/>
      <c r="U404" s="507"/>
      <c r="V404" s="507"/>
      <c r="W404" s="507"/>
      <c r="X404" s="507"/>
      <c r="Y404" s="507"/>
      <c r="Z404" s="507"/>
    </row>
    <row r="405">
      <c r="A405" s="507"/>
      <c r="B405" s="572"/>
      <c r="C405" s="572"/>
      <c r="D405" s="572"/>
      <c r="E405" s="572"/>
      <c r="F405" s="572"/>
      <c r="G405" s="572"/>
      <c r="H405" s="572"/>
      <c r="I405" s="572"/>
      <c r="J405" s="507"/>
      <c r="K405" s="507"/>
      <c r="L405" s="507"/>
      <c r="M405" s="507"/>
      <c r="N405" s="507"/>
      <c r="O405" s="507"/>
      <c r="P405" s="507"/>
      <c r="Q405" s="507"/>
      <c r="R405" s="507"/>
      <c r="S405" s="507"/>
      <c r="T405" s="507"/>
      <c r="U405" s="507"/>
      <c r="V405" s="507"/>
      <c r="W405" s="507"/>
      <c r="X405" s="507"/>
      <c r="Y405" s="507"/>
      <c r="Z405" s="507"/>
    </row>
    <row r="406">
      <c r="A406" s="507"/>
      <c r="B406" s="572"/>
      <c r="C406" s="572"/>
      <c r="D406" s="572"/>
      <c r="E406" s="572"/>
      <c r="F406" s="572"/>
      <c r="G406" s="572"/>
      <c r="H406" s="572"/>
      <c r="I406" s="572"/>
      <c r="J406" s="507"/>
      <c r="K406" s="507"/>
      <c r="L406" s="507"/>
      <c r="M406" s="507"/>
      <c r="N406" s="507"/>
      <c r="O406" s="507"/>
      <c r="P406" s="507"/>
      <c r="Q406" s="507"/>
      <c r="R406" s="507"/>
      <c r="S406" s="507"/>
      <c r="T406" s="507"/>
      <c r="U406" s="507"/>
      <c r="V406" s="507"/>
      <c r="W406" s="507"/>
      <c r="X406" s="507"/>
      <c r="Y406" s="507"/>
      <c r="Z406" s="507"/>
    </row>
    <row r="407">
      <c r="A407" s="507"/>
      <c r="B407" s="572"/>
      <c r="C407" s="572"/>
      <c r="D407" s="572"/>
      <c r="E407" s="572"/>
      <c r="F407" s="572"/>
      <c r="G407" s="572"/>
      <c r="H407" s="572"/>
      <c r="I407" s="572"/>
      <c r="J407" s="507"/>
      <c r="K407" s="507"/>
      <c r="L407" s="507"/>
      <c r="M407" s="507"/>
      <c r="N407" s="507"/>
      <c r="O407" s="507"/>
      <c r="P407" s="507"/>
      <c r="Q407" s="507"/>
      <c r="R407" s="507"/>
      <c r="S407" s="507"/>
      <c r="T407" s="507"/>
      <c r="U407" s="507"/>
      <c r="V407" s="507"/>
      <c r="W407" s="507"/>
      <c r="X407" s="507"/>
      <c r="Y407" s="507"/>
      <c r="Z407" s="507"/>
    </row>
    <row r="408">
      <c r="A408" s="507"/>
      <c r="B408" s="572"/>
      <c r="C408" s="572"/>
      <c r="D408" s="572"/>
      <c r="E408" s="572"/>
      <c r="F408" s="572"/>
      <c r="G408" s="572"/>
      <c r="H408" s="572"/>
      <c r="I408" s="572"/>
      <c r="J408" s="507"/>
      <c r="K408" s="507"/>
      <c r="L408" s="507"/>
      <c r="M408" s="507"/>
      <c r="N408" s="507"/>
      <c r="O408" s="507"/>
      <c r="P408" s="507"/>
      <c r="Q408" s="507"/>
      <c r="R408" s="507"/>
      <c r="S408" s="507"/>
      <c r="T408" s="507"/>
      <c r="U408" s="507"/>
      <c r="V408" s="507"/>
      <c r="W408" s="507"/>
      <c r="X408" s="507"/>
      <c r="Y408" s="507"/>
      <c r="Z408" s="507"/>
    </row>
    <row r="409">
      <c r="A409" s="507"/>
      <c r="B409" s="572"/>
      <c r="C409" s="572"/>
      <c r="D409" s="572"/>
      <c r="E409" s="572"/>
      <c r="F409" s="572"/>
      <c r="G409" s="572"/>
      <c r="H409" s="572"/>
      <c r="I409" s="572"/>
      <c r="J409" s="507"/>
      <c r="K409" s="507"/>
      <c r="L409" s="507"/>
      <c r="M409" s="507"/>
      <c r="N409" s="507"/>
      <c r="O409" s="507"/>
      <c r="P409" s="507"/>
      <c r="Q409" s="507"/>
      <c r="R409" s="507"/>
      <c r="S409" s="507"/>
      <c r="T409" s="507"/>
      <c r="U409" s="507"/>
      <c r="V409" s="507"/>
      <c r="W409" s="507"/>
      <c r="X409" s="507"/>
      <c r="Y409" s="507"/>
      <c r="Z409" s="507"/>
    </row>
    <row r="410">
      <c r="A410" s="507"/>
      <c r="B410" s="572"/>
      <c r="C410" s="572"/>
      <c r="D410" s="572"/>
      <c r="E410" s="572"/>
      <c r="F410" s="572"/>
      <c r="G410" s="572"/>
      <c r="H410" s="572"/>
      <c r="I410" s="572"/>
      <c r="J410" s="507"/>
      <c r="K410" s="507"/>
      <c r="L410" s="507"/>
      <c r="M410" s="507"/>
      <c r="N410" s="507"/>
      <c r="O410" s="507"/>
      <c r="P410" s="507"/>
      <c r="Q410" s="507"/>
      <c r="R410" s="507"/>
      <c r="S410" s="507"/>
      <c r="T410" s="507"/>
      <c r="U410" s="507"/>
      <c r="V410" s="507"/>
      <c r="W410" s="507"/>
      <c r="X410" s="507"/>
      <c r="Y410" s="507"/>
      <c r="Z410" s="507"/>
    </row>
    <row r="411">
      <c r="A411" s="507"/>
      <c r="B411" s="572"/>
      <c r="C411" s="572"/>
      <c r="D411" s="572"/>
      <c r="E411" s="572"/>
      <c r="F411" s="572"/>
      <c r="G411" s="572"/>
      <c r="H411" s="572"/>
      <c r="I411" s="572"/>
      <c r="J411" s="507"/>
      <c r="K411" s="507"/>
      <c r="L411" s="507"/>
      <c r="M411" s="507"/>
      <c r="N411" s="507"/>
      <c r="O411" s="507"/>
      <c r="P411" s="507"/>
      <c r="Q411" s="507"/>
      <c r="R411" s="507"/>
      <c r="S411" s="507"/>
      <c r="T411" s="507"/>
      <c r="U411" s="507"/>
      <c r="V411" s="507"/>
      <c r="W411" s="507"/>
      <c r="X411" s="507"/>
      <c r="Y411" s="507"/>
      <c r="Z411" s="507"/>
    </row>
    <row r="412">
      <c r="A412" s="507"/>
      <c r="B412" s="572"/>
      <c r="C412" s="572"/>
      <c r="D412" s="572"/>
      <c r="E412" s="572"/>
      <c r="F412" s="572"/>
      <c r="G412" s="572"/>
      <c r="H412" s="572"/>
      <c r="I412" s="572"/>
      <c r="J412" s="507"/>
      <c r="K412" s="507"/>
      <c r="L412" s="507"/>
      <c r="M412" s="507"/>
      <c r="N412" s="507"/>
      <c r="O412" s="507"/>
      <c r="P412" s="507"/>
      <c r="Q412" s="507"/>
      <c r="R412" s="507"/>
      <c r="S412" s="507"/>
      <c r="T412" s="507"/>
      <c r="U412" s="507"/>
      <c r="V412" s="507"/>
      <c r="W412" s="507"/>
      <c r="X412" s="507"/>
      <c r="Y412" s="507"/>
      <c r="Z412" s="507"/>
    </row>
    <row r="413">
      <c r="A413" s="507"/>
      <c r="B413" s="572"/>
      <c r="C413" s="572"/>
      <c r="D413" s="572"/>
      <c r="E413" s="572"/>
      <c r="F413" s="572"/>
      <c r="G413" s="572"/>
      <c r="H413" s="572"/>
      <c r="I413" s="572"/>
      <c r="J413" s="507"/>
      <c r="K413" s="507"/>
      <c r="L413" s="507"/>
      <c r="M413" s="507"/>
      <c r="N413" s="507"/>
      <c r="O413" s="507"/>
      <c r="P413" s="507"/>
      <c r="Q413" s="507"/>
      <c r="R413" s="507"/>
      <c r="S413" s="507"/>
      <c r="T413" s="507"/>
      <c r="U413" s="507"/>
      <c r="V413" s="507"/>
      <c r="W413" s="507"/>
      <c r="X413" s="507"/>
      <c r="Y413" s="507"/>
      <c r="Z413" s="507"/>
    </row>
    <row r="414">
      <c r="A414" s="507"/>
      <c r="B414" s="572"/>
      <c r="C414" s="572"/>
      <c r="D414" s="572"/>
      <c r="E414" s="572"/>
      <c r="F414" s="572"/>
      <c r="G414" s="572"/>
      <c r="H414" s="572"/>
      <c r="I414" s="572"/>
      <c r="J414" s="507"/>
      <c r="K414" s="507"/>
      <c r="L414" s="507"/>
      <c r="M414" s="507"/>
      <c r="N414" s="507"/>
      <c r="O414" s="507"/>
      <c r="P414" s="507"/>
      <c r="Q414" s="507"/>
      <c r="R414" s="507"/>
      <c r="S414" s="507"/>
      <c r="T414" s="507"/>
      <c r="U414" s="507"/>
      <c r="V414" s="507"/>
      <c r="W414" s="507"/>
      <c r="X414" s="507"/>
      <c r="Y414" s="507"/>
      <c r="Z414" s="507"/>
    </row>
    <row r="415">
      <c r="A415" s="507"/>
      <c r="B415" s="572"/>
      <c r="C415" s="572"/>
      <c r="D415" s="572"/>
      <c r="E415" s="572"/>
      <c r="F415" s="572"/>
      <c r="G415" s="572"/>
      <c r="H415" s="572"/>
      <c r="I415" s="572"/>
      <c r="J415" s="507"/>
      <c r="K415" s="507"/>
      <c r="L415" s="507"/>
      <c r="M415" s="507"/>
      <c r="N415" s="507"/>
      <c r="O415" s="507"/>
      <c r="P415" s="507"/>
      <c r="Q415" s="507"/>
      <c r="R415" s="507"/>
      <c r="S415" s="507"/>
      <c r="T415" s="507"/>
      <c r="U415" s="507"/>
      <c r="V415" s="507"/>
      <c r="W415" s="507"/>
      <c r="X415" s="507"/>
      <c r="Y415" s="507"/>
      <c r="Z415" s="507"/>
    </row>
    <row r="416">
      <c r="A416" s="507"/>
      <c r="B416" s="572"/>
      <c r="C416" s="572"/>
      <c r="D416" s="572"/>
      <c r="E416" s="572"/>
      <c r="F416" s="572"/>
      <c r="G416" s="572"/>
      <c r="H416" s="572"/>
      <c r="I416" s="572"/>
      <c r="J416" s="507"/>
      <c r="K416" s="507"/>
      <c r="L416" s="507"/>
      <c r="M416" s="507"/>
      <c r="N416" s="507"/>
      <c r="O416" s="507"/>
      <c r="P416" s="507"/>
      <c r="Q416" s="507"/>
      <c r="R416" s="507"/>
      <c r="S416" s="507"/>
      <c r="T416" s="507"/>
      <c r="U416" s="507"/>
      <c r="V416" s="507"/>
      <c r="W416" s="507"/>
      <c r="X416" s="507"/>
      <c r="Y416" s="507"/>
      <c r="Z416" s="507"/>
    </row>
    <row r="417">
      <c r="A417" s="507"/>
      <c r="B417" s="572"/>
      <c r="C417" s="572"/>
      <c r="D417" s="572"/>
      <c r="E417" s="572"/>
      <c r="F417" s="572"/>
      <c r="G417" s="572"/>
      <c r="H417" s="572"/>
      <c r="I417" s="572"/>
      <c r="J417" s="507"/>
      <c r="K417" s="507"/>
      <c r="L417" s="507"/>
      <c r="M417" s="507"/>
      <c r="N417" s="507"/>
      <c r="O417" s="507"/>
      <c r="P417" s="507"/>
      <c r="Q417" s="507"/>
      <c r="R417" s="507"/>
      <c r="S417" s="507"/>
      <c r="T417" s="507"/>
      <c r="U417" s="507"/>
      <c r="V417" s="507"/>
      <c r="W417" s="507"/>
      <c r="X417" s="507"/>
      <c r="Y417" s="507"/>
      <c r="Z417" s="507"/>
    </row>
    <row r="418">
      <c r="A418" s="507"/>
      <c r="B418" s="572"/>
      <c r="C418" s="572"/>
      <c r="D418" s="572"/>
      <c r="E418" s="572"/>
      <c r="F418" s="572"/>
      <c r="G418" s="572"/>
      <c r="H418" s="572"/>
      <c r="I418" s="572"/>
      <c r="J418" s="507"/>
      <c r="K418" s="507"/>
      <c r="L418" s="507"/>
      <c r="M418" s="507"/>
      <c r="N418" s="507"/>
      <c r="O418" s="507"/>
      <c r="P418" s="507"/>
      <c r="Q418" s="507"/>
      <c r="R418" s="507"/>
      <c r="S418" s="507"/>
      <c r="T418" s="507"/>
      <c r="U418" s="507"/>
      <c r="V418" s="507"/>
      <c r="W418" s="507"/>
      <c r="X418" s="507"/>
      <c r="Y418" s="507"/>
      <c r="Z418" s="507"/>
    </row>
    <row r="419">
      <c r="A419" s="507"/>
      <c r="B419" s="572"/>
      <c r="C419" s="572"/>
      <c r="D419" s="572"/>
      <c r="E419" s="572"/>
      <c r="F419" s="572"/>
      <c r="G419" s="572"/>
      <c r="H419" s="572"/>
      <c r="I419" s="572"/>
      <c r="J419" s="507"/>
      <c r="K419" s="507"/>
      <c r="L419" s="507"/>
      <c r="M419" s="507"/>
      <c r="N419" s="507"/>
      <c r="O419" s="507"/>
      <c r="P419" s="507"/>
      <c r="Q419" s="507"/>
      <c r="R419" s="507"/>
      <c r="S419" s="507"/>
      <c r="T419" s="507"/>
      <c r="U419" s="507"/>
      <c r="V419" s="507"/>
      <c r="W419" s="507"/>
      <c r="X419" s="507"/>
      <c r="Y419" s="507"/>
      <c r="Z419" s="507"/>
    </row>
    <row r="420">
      <c r="A420" s="507"/>
      <c r="B420" s="572"/>
      <c r="C420" s="572"/>
      <c r="D420" s="572"/>
      <c r="E420" s="572"/>
      <c r="F420" s="572"/>
      <c r="G420" s="572"/>
      <c r="H420" s="572"/>
      <c r="I420" s="572"/>
      <c r="J420" s="507"/>
      <c r="K420" s="507"/>
      <c r="L420" s="507"/>
      <c r="M420" s="507"/>
      <c r="N420" s="507"/>
      <c r="O420" s="507"/>
      <c r="P420" s="507"/>
      <c r="Q420" s="507"/>
      <c r="R420" s="507"/>
      <c r="S420" s="507"/>
      <c r="T420" s="507"/>
      <c r="U420" s="507"/>
      <c r="V420" s="507"/>
      <c r="W420" s="507"/>
      <c r="X420" s="507"/>
      <c r="Y420" s="507"/>
      <c r="Z420" s="507"/>
    </row>
    <row r="421">
      <c r="A421" s="507"/>
      <c r="B421" s="572"/>
      <c r="C421" s="572"/>
      <c r="D421" s="572"/>
      <c r="E421" s="572"/>
      <c r="F421" s="572"/>
      <c r="G421" s="572"/>
      <c r="H421" s="572"/>
      <c r="I421" s="572"/>
      <c r="J421" s="507"/>
      <c r="K421" s="507"/>
      <c r="L421" s="507"/>
      <c r="M421" s="507"/>
      <c r="N421" s="507"/>
      <c r="O421" s="507"/>
      <c r="P421" s="507"/>
      <c r="Q421" s="507"/>
      <c r="R421" s="507"/>
      <c r="S421" s="507"/>
      <c r="T421" s="507"/>
      <c r="U421" s="507"/>
      <c r="V421" s="507"/>
      <c r="W421" s="507"/>
      <c r="X421" s="507"/>
      <c r="Y421" s="507"/>
      <c r="Z421" s="507"/>
    </row>
    <row r="422">
      <c r="A422" s="507"/>
      <c r="B422" s="572"/>
      <c r="C422" s="572"/>
      <c r="D422" s="572"/>
      <c r="E422" s="572"/>
      <c r="F422" s="572"/>
      <c r="G422" s="572"/>
      <c r="H422" s="572"/>
      <c r="I422" s="572"/>
      <c r="J422" s="507"/>
      <c r="K422" s="507"/>
      <c r="L422" s="507"/>
      <c r="M422" s="507"/>
      <c r="N422" s="507"/>
      <c r="O422" s="507"/>
      <c r="P422" s="507"/>
      <c r="Q422" s="507"/>
      <c r="R422" s="507"/>
      <c r="S422" s="507"/>
      <c r="T422" s="507"/>
      <c r="U422" s="507"/>
      <c r="V422" s="507"/>
      <c r="W422" s="507"/>
      <c r="X422" s="507"/>
      <c r="Y422" s="507"/>
      <c r="Z422" s="507"/>
    </row>
    <row r="423">
      <c r="A423" s="507"/>
      <c r="B423" s="572"/>
      <c r="C423" s="572"/>
      <c r="D423" s="572"/>
      <c r="E423" s="572"/>
      <c r="F423" s="572"/>
      <c r="G423" s="572"/>
      <c r="H423" s="572"/>
      <c r="I423" s="572"/>
      <c r="J423" s="507"/>
      <c r="K423" s="507"/>
      <c r="L423" s="507"/>
      <c r="M423" s="507"/>
      <c r="N423" s="507"/>
      <c r="O423" s="507"/>
      <c r="P423" s="507"/>
      <c r="Q423" s="507"/>
      <c r="R423" s="507"/>
      <c r="S423" s="507"/>
      <c r="T423" s="507"/>
      <c r="U423" s="507"/>
      <c r="V423" s="507"/>
      <c r="W423" s="507"/>
      <c r="X423" s="507"/>
      <c r="Y423" s="507"/>
      <c r="Z423" s="507"/>
    </row>
    <row r="424">
      <c r="A424" s="507"/>
      <c r="B424" s="572"/>
      <c r="C424" s="572"/>
      <c r="D424" s="572"/>
      <c r="E424" s="572"/>
      <c r="F424" s="572"/>
      <c r="G424" s="572"/>
      <c r="H424" s="572"/>
      <c r="I424" s="572"/>
      <c r="J424" s="507"/>
      <c r="K424" s="507"/>
      <c r="L424" s="507"/>
      <c r="M424" s="507"/>
      <c r="N424" s="507"/>
      <c r="O424" s="507"/>
      <c r="P424" s="507"/>
      <c r="Q424" s="507"/>
      <c r="R424" s="507"/>
      <c r="S424" s="507"/>
      <c r="T424" s="507"/>
      <c r="U424" s="507"/>
      <c r="V424" s="507"/>
      <c r="W424" s="507"/>
      <c r="X424" s="507"/>
      <c r="Y424" s="507"/>
      <c r="Z424" s="507"/>
    </row>
    <row r="425">
      <c r="A425" s="507"/>
      <c r="B425" s="572"/>
      <c r="C425" s="572"/>
      <c r="D425" s="572"/>
      <c r="E425" s="572"/>
      <c r="F425" s="572"/>
      <c r="G425" s="572"/>
      <c r="H425" s="572"/>
      <c r="I425" s="572"/>
      <c r="J425" s="507"/>
      <c r="K425" s="507"/>
      <c r="L425" s="507"/>
      <c r="M425" s="507"/>
      <c r="N425" s="507"/>
      <c r="O425" s="507"/>
      <c r="P425" s="507"/>
      <c r="Q425" s="507"/>
      <c r="R425" s="507"/>
      <c r="S425" s="507"/>
      <c r="T425" s="507"/>
      <c r="U425" s="507"/>
      <c r="V425" s="507"/>
      <c r="W425" s="507"/>
      <c r="X425" s="507"/>
      <c r="Y425" s="507"/>
      <c r="Z425" s="507"/>
    </row>
    <row r="426">
      <c r="A426" s="507"/>
      <c r="B426" s="572"/>
      <c r="C426" s="572"/>
      <c r="D426" s="572"/>
      <c r="E426" s="572"/>
      <c r="F426" s="572"/>
      <c r="G426" s="572"/>
      <c r="H426" s="572"/>
      <c r="I426" s="572"/>
      <c r="J426" s="507"/>
      <c r="K426" s="507"/>
      <c r="L426" s="507"/>
      <c r="M426" s="507"/>
      <c r="N426" s="507"/>
      <c r="O426" s="507"/>
      <c r="P426" s="507"/>
      <c r="Q426" s="507"/>
      <c r="R426" s="507"/>
      <c r="S426" s="507"/>
      <c r="T426" s="507"/>
      <c r="U426" s="507"/>
      <c r="V426" s="507"/>
      <c r="W426" s="507"/>
      <c r="X426" s="507"/>
      <c r="Y426" s="507"/>
      <c r="Z426" s="507"/>
    </row>
    <row r="427">
      <c r="A427" s="507"/>
      <c r="B427" s="572"/>
      <c r="C427" s="572"/>
      <c r="D427" s="572"/>
      <c r="E427" s="572"/>
      <c r="F427" s="572"/>
      <c r="G427" s="572"/>
      <c r="H427" s="572"/>
      <c r="I427" s="572"/>
      <c r="J427" s="507"/>
      <c r="K427" s="507"/>
      <c r="L427" s="507"/>
      <c r="M427" s="507"/>
      <c r="N427" s="507"/>
      <c r="O427" s="507"/>
      <c r="P427" s="507"/>
      <c r="Q427" s="507"/>
      <c r="R427" s="507"/>
      <c r="S427" s="507"/>
      <c r="T427" s="507"/>
      <c r="U427" s="507"/>
      <c r="V427" s="507"/>
      <c r="W427" s="507"/>
      <c r="X427" s="507"/>
      <c r="Y427" s="507"/>
      <c r="Z427" s="507"/>
    </row>
    <row r="428">
      <c r="A428" s="507"/>
      <c r="B428" s="572"/>
      <c r="C428" s="572"/>
      <c r="D428" s="572"/>
      <c r="E428" s="572"/>
      <c r="F428" s="572"/>
      <c r="G428" s="572"/>
      <c r="H428" s="572"/>
      <c r="I428" s="572"/>
      <c r="J428" s="507"/>
      <c r="K428" s="507"/>
      <c r="L428" s="507"/>
      <c r="M428" s="507"/>
      <c r="N428" s="507"/>
      <c r="O428" s="507"/>
      <c r="P428" s="507"/>
      <c r="Q428" s="507"/>
      <c r="R428" s="507"/>
      <c r="S428" s="507"/>
      <c r="T428" s="507"/>
      <c r="U428" s="507"/>
      <c r="V428" s="507"/>
      <c r="W428" s="507"/>
      <c r="X428" s="507"/>
      <c r="Y428" s="507"/>
      <c r="Z428" s="507"/>
    </row>
    <row r="429">
      <c r="A429" s="507"/>
      <c r="B429" s="572"/>
      <c r="C429" s="572"/>
      <c r="D429" s="572"/>
      <c r="E429" s="572"/>
      <c r="F429" s="572"/>
      <c r="G429" s="572"/>
      <c r="H429" s="572"/>
      <c r="I429" s="572"/>
      <c r="J429" s="507"/>
      <c r="K429" s="507"/>
      <c r="L429" s="507"/>
      <c r="M429" s="507"/>
      <c r="N429" s="507"/>
      <c r="O429" s="507"/>
      <c r="P429" s="507"/>
      <c r="Q429" s="507"/>
      <c r="R429" s="507"/>
      <c r="S429" s="507"/>
      <c r="T429" s="507"/>
      <c r="U429" s="507"/>
      <c r="V429" s="507"/>
      <c r="W429" s="507"/>
      <c r="X429" s="507"/>
      <c r="Y429" s="507"/>
      <c r="Z429" s="507"/>
    </row>
    <row r="430">
      <c r="A430" s="507"/>
      <c r="B430" s="572"/>
      <c r="C430" s="572"/>
      <c r="D430" s="572"/>
      <c r="E430" s="572"/>
      <c r="F430" s="572"/>
      <c r="G430" s="572"/>
      <c r="H430" s="572"/>
      <c r="I430" s="572"/>
      <c r="J430" s="507"/>
      <c r="K430" s="507"/>
      <c r="L430" s="507"/>
      <c r="M430" s="507"/>
      <c r="N430" s="507"/>
      <c r="O430" s="507"/>
      <c r="P430" s="507"/>
      <c r="Q430" s="507"/>
      <c r="R430" s="507"/>
      <c r="S430" s="507"/>
      <c r="T430" s="507"/>
      <c r="U430" s="507"/>
      <c r="V430" s="507"/>
      <c r="W430" s="507"/>
      <c r="X430" s="507"/>
      <c r="Y430" s="507"/>
      <c r="Z430" s="507"/>
    </row>
    <row r="431">
      <c r="A431" s="507"/>
      <c r="B431" s="572"/>
      <c r="C431" s="572"/>
      <c r="D431" s="572"/>
      <c r="E431" s="572"/>
      <c r="F431" s="572"/>
      <c r="G431" s="572"/>
      <c r="H431" s="572"/>
      <c r="I431" s="572"/>
      <c r="J431" s="507"/>
      <c r="K431" s="507"/>
      <c r="L431" s="507"/>
      <c r="M431" s="507"/>
      <c r="N431" s="507"/>
      <c r="O431" s="507"/>
      <c r="P431" s="507"/>
      <c r="Q431" s="507"/>
      <c r="R431" s="507"/>
      <c r="S431" s="507"/>
      <c r="T431" s="507"/>
      <c r="U431" s="507"/>
      <c r="V431" s="507"/>
      <c r="W431" s="507"/>
      <c r="X431" s="507"/>
      <c r="Y431" s="507"/>
      <c r="Z431" s="507"/>
    </row>
    <row r="432">
      <c r="A432" s="507"/>
      <c r="B432" s="572"/>
      <c r="C432" s="572"/>
      <c r="D432" s="572"/>
      <c r="E432" s="572"/>
      <c r="F432" s="572"/>
      <c r="G432" s="572"/>
      <c r="H432" s="572"/>
      <c r="I432" s="572"/>
      <c r="J432" s="507"/>
      <c r="K432" s="507"/>
      <c r="L432" s="507"/>
      <c r="M432" s="507"/>
      <c r="N432" s="507"/>
      <c r="O432" s="507"/>
      <c r="P432" s="507"/>
      <c r="Q432" s="507"/>
      <c r="R432" s="507"/>
      <c r="S432" s="507"/>
      <c r="T432" s="507"/>
      <c r="U432" s="507"/>
      <c r="V432" s="507"/>
      <c r="W432" s="507"/>
      <c r="X432" s="507"/>
      <c r="Y432" s="507"/>
      <c r="Z432" s="507"/>
    </row>
    <row r="433">
      <c r="A433" s="507"/>
      <c r="B433" s="572"/>
      <c r="C433" s="572"/>
      <c r="D433" s="572"/>
      <c r="E433" s="572"/>
      <c r="F433" s="572"/>
      <c r="G433" s="572"/>
      <c r="H433" s="572"/>
      <c r="I433" s="572"/>
      <c r="J433" s="507"/>
      <c r="K433" s="507"/>
      <c r="L433" s="507"/>
      <c r="M433" s="507"/>
      <c r="N433" s="507"/>
      <c r="O433" s="507"/>
      <c r="P433" s="507"/>
      <c r="Q433" s="507"/>
      <c r="R433" s="507"/>
      <c r="S433" s="507"/>
      <c r="T433" s="507"/>
      <c r="U433" s="507"/>
      <c r="V433" s="507"/>
      <c r="W433" s="507"/>
      <c r="X433" s="507"/>
      <c r="Y433" s="507"/>
      <c r="Z433" s="507"/>
    </row>
    <row r="434">
      <c r="A434" s="507"/>
      <c r="B434" s="572"/>
      <c r="C434" s="572"/>
      <c r="D434" s="572"/>
      <c r="E434" s="572"/>
      <c r="F434" s="572"/>
      <c r="G434" s="572"/>
      <c r="H434" s="572"/>
      <c r="I434" s="572"/>
      <c r="J434" s="507"/>
      <c r="K434" s="507"/>
      <c r="L434" s="507"/>
      <c r="M434" s="507"/>
      <c r="N434" s="507"/>
      <c r="O434" s="507"/>
      <c r="P434" s="507"/>
      <c r="Q434" s="507"/>
      <c r="R434" s="507"/>
      <c r="S434" s="507"/>
      <c r="T434" s="507"/>
      <c r="U434" s="507"/>
      <c r="V434" s="507"/>
      <c r="W434" s="507"/>
      <c r="X434" s="507"/>
      <c r="Y434" s="507"/>
      <c r="Z434" s="507"/>
    </row>
    <row r="435">
      <c r="A435" s="507"/>
      <c r="B435" s="572"/>
      <c r="C435" s="572"/>
      <c r="D435" s="572"/>
      <c r="E435" s="572"/>
      <c r="F435" s="572"/>
      <c r="G435" s="572"/>
      <c r="H435" s="572"/>
      <c r="I435" s="572"/>
      <c r="J435" s="507"/>
      <c r="K435" s="507"/>
      <c r="L435" s="507"/>
      <c r="M435" s="507"/>
      <c r="N435" s="507"/>
      <c r="O435" s="507"/>
      <c r="P435" s="507"/>
      <c r="Q435" s="507"/>
      <c r="R435" s="507"/>
      <c r="S435" s="507"/>
      <c r="T435" s="507"/>
      <c r="U435" s="507"/>
      <c r="V435" s="507"/>
      <c r="W435" s="507"/>
      <c r="X435" s="507"/>
      <c r="Y435" s="507"/>
      <c r="Z435" s="507"/>
    </row>
    <row r="436">
      <c r="A436" s="507"/>
      <c r="B436" s="572"/>
      <c r="C436" s="572"/>
      <c r="D436" s="572"/>
      <c r="E436" s="572"/>
      <c r="F436" s="572"/>
      <c r="G436" s="572"/>
      <c r="H436" s="572"/>
      <c r="I436" s="572"/>
      <c r="J436" s="507"/>
      <c r="K436" s="507"/>
      <c r="L436" s="507"/>
      <c r="M436" s="507"/>
      <c r="N436" s="507"/>
      <c r="O436" s="507"/>
      <c r="P436" s="507"/>
      <c r="Q436" s="507"/>
      <c r="R436" s="507"/>
      <c r="S436" s="507"/>
      <c r="T436" s="507"/>
      <c r="U436" s="507"/>
      <c r="V436" s="507"/>
      <c r="W436" s="507"/>
      <c r="X436" s="507"/>
      <c r="Y436" s="507"/>
      <c r="Z436" s="507"/>
    </row>
    <row r="437">
      <c r="A437" s="507"/>
      <c r="B437" s="572"/>
      <c r="C437" s="572"/>
      <c r="D437" s="572"/>
      <c r="E437" s="572"/>
      <c r="F437" s="572"/>
      <c r="G437" s="572"/>
      <c r="H437" s="572"/>
      <c r="I437" s="572"/>
      <c r="J437" s="507"/>
      <c r="K437" s="507"/>
      <c r="L437" s="507"/>
      <c r="M437" s="507"/>
      <c r="N437" s="507"/>
      <c r="O437" s="507"/>
      <c r="P437" s="507"/>
      <c r="Q437" s="507"/>
      <c r="R437" s="507"/>
      <c r="S437" s="507"/>
      <c r="T437" s="507"/>
      <c r="U437" s="507"/>
      <c r="V437" s="507"/>
      <c r="W437" s="507"/>
      <c r="X437" s="507"/>
      <c r="Y437" s="507"/>
      <c r="Z437" s="507"/>
    </row>
    <row r="438">
      <c r="A438" s="507"/>
      <c r="B438" s="572"/>
      <c r="C438" s="572"/>
      <c r="D438" s="572"/>
      <c r="E438" s="572"/>
      <c r="F438" s="572"/>
      <c r="G438" s="572"/>
      <c r="H438" s="572"/>
      <c r="I438" s="572"/>
      <c r="J438" s="507"/>
      <c r="K438" s="507"/>
      <c r="L438" s="507"/>
      <c r="M438" s="507"/>
      <c r="N438" s="507"/>
      <c r="O438" s="507"/>
      <c r="P438" s="507"/>
      <c r="Q438" s="507"/>
      <c r="R438" s="507"/>
      <c r="S438" s="507"/>
      <c r="T438" s="507"/>
      <c r="U438" s="507"/>
      <c r="V438" s="507"/>
      <c r="W438" s="507"/>
      <c r="X438" s="507"/>
      <c r="Y438" s="507"/>
      <c r="Z438" s="507"/>
    </row>
    <row r="439">
      <c r="A439" s="507"/>
      <c r="B439" s="572"/>
      <c r="C439" s="572"/>
      <c r="D439" s="572"/>
      <c r="E439" s="572"/>
      <c r="F439" s="572"/>
      <c r="G439" s="572"/>
      <c r="H439" s="572"/>
      <c r="I439" s="572"/>
      <c r="J439" s="507"/>
      <c r="K439" s="507"/>
      <c r="L439" s="507"/>
      <c r="M439" s="507"/>
      <c r="N439" s="507"/>
      <c r="O439" s="507"/>
      <c r="P439" s="507"/>
      <c r="Q439" s="507"/>
      <c r="R439" s="507"/>
      <c r="S439" s="507"/>
      <c r="T439" s="507"/>
      <c r="U439" s="507"/>
      <c r="V439" s="507"/>
      <c r="W439" s="507"/>
      <c r="X439" s="507"/>
      <c r="Y439" s="507"/>
      <c r="Z439" s="507"/>
    </row>
    <row r="440">
      <c r="A440" s="507"/>
      <c r="B440" s="572"/>
      <c r="C440" s="572"/>
      <c r="D440" s="572"/>
      <c r="E440" s="572"/>
      <c r="F440" s="572"/>
      <c r="G440" s="572"/>
      <c r="H440" s="572"/>
      <c r="I440" s="572"/>
      <c r="J440" s="507"/>
      <c r="K440" s="507"/>
      <c r="L440" s="507"/>
      <c r="M440" s="507"/>
      <c r="N440" s="507"/>
      <c r="O440" s="507"/>
      <c r="P440" s="507"/>
      <c r="Q440" s="507"/>
      <c r="R440" s="507"/>
      <c r="S440" s="507"/>
      <c r="T440" s="507"/>
      <c r="U440" s="507"/>
      <c r="V440" s="507"/>
      <c r="W440" s="507"/>
      <c r="X440" s="507"/>
      <c r="Y440" s="507"/>
      <c r="Z440" s="507"/>
    </row>
    <row r="441">
      <c r="A441" s="507"/>
      <c r="B441" s="572"/>
      <c r="C441" s="572"/>
      <c r="D441" s="572"/>
      <c r="E441" s="572"/>
      <c r="F441" s="572"/>
      <c r="G441" s="572"/>
      <c r="H441" s="572"/>
      <c r="I441" s="572"/>
      <c r="J441" s="507"/>
      <c r="K441" s="507"/>
      <c r="L441" s="507"/>
      <c r="M441" s="507"/>
      <c r="N441" s="507"/>
      <c r="O441" s="507"/>
      <c r="P441" s="507"/>
      <c r="Q441" s="507"/>
      <c r="R441" s="507"/>
      <c r="S441" s="507"/>
      <c r="T441" s="507"/>
      <c r="U441" s="507"/>
      <c r="V441" s="507"/>
      <c r="W441" s="507"/>
      <c r="X441" s="507"/>
      <c r="Y441" s="507"/>
      <c r="Z441" s="507"/>
    </row>
    <row r="442">
      <c r="A442" s="507"/>
      <c r="B442" s="572"/>
      <c r="C442" s="572"/>
      <c r="D442" s="572"/>
      <c r="E442" s="572"/>
      <c r="F442" s="572"/>
      <c r="G442" s="572"/>
      <c r="H442" s="572"/>
      <c r="I442" s="572"/>
      <c r="J442" s="507"/>
      <c r="K442" s="507"/>
      <c r="L442" s="507"/>
      <c r="M442" s="507"/>
      <c r="N442" s="507"/>
      <c r="O442" s="507"/>
      <c r="P442" s="507"/>
      <c r="Q442" s="507"/>
      <c r="R442" s="507"/>
      <c r="S442" s="507"/>
      <c r="T442" s="507"/>
      <c r="U442" s="507"/>
      <c r="V442" s="507"/>
      <c r="W442" s="507"/>
      <c r="X442" s="507"/>
      <c r="Y442" s="507"/>
      <c r="Z442" s="507"/>
    </row>
    <row r="443">
      <c r="A443" s="507"/>
      <c r="B443" s="572"/>
      <c r="C443" s="572"/>
      <c r="D443" s="572"/>
      <c r="E443" s="572"/>
      <c r="F443" s="572"/>
      <c r="G443" s="572"/>
      <c r="H443" s="572"/>
      <c r="I443" s="572"/>
      <c r="J443" s="507"/>
      <c r="K443" s="507"/>
      <c r="L443" s="507"/>
      <c r="M443" s="507"/>
      <c r="N443" s="507"/>
      <c r="O443" s="507"/>
      <c r="P443" s="507"/>
      <c r="Q443" s="507"/>
      <c r="R443" s="507"/>
      <c r="S443" s="507"/>
      <c r="T443" s="507"/>
      <c r="U443" s="507"/>
      <c r="V443" s="507"/>
      <c r="W443" s="507"/>
      <c r="X443" s="507"/>
      <c r="Y443" s="507"/>
      <c r="Z443" s="507"/>
    </row>
    <row r="444">
      <c r="A444" s="507"/>
      <c r="B444" s="572"/>
      <c r="C444" s="572"/>
      <c r="D444" s="572"/>
      <c r="E444" s="572"/>
      <c r="F444" s="572"/>
      <c r="G444" s="572"/>
      <c r="H444" s="572"/>
      <c r="I444" s="572"/>
      <c r="J444" s="507"/>
      <c r="K444" s="507"/>
      <c r="L444" s="507"/>
      <c r="M444" s="507"/>
      <c r="N444" s="507"/>
      <c r="O444" s="507"/>
      <c r="P444" s="507"/>
      <c r="Q444" s="507"/>
      <c r="R444" s="507"/>
      <c r="S444" s="507"/>
      <c r="T444" s="507"/>
      <c r="U444" s="507"/>
      <c r="V444" s="507"/>
      <c r="W444" s="507"/>
      <c r="X444" s="507"/>
      <c r="Y444" s="507"/>
      <c r="Z444" s="507"/>
    </row>
    <row r="445">
      <c r="A445" s="507"/>
      <c r="B445" s="572"/>
      <c r="C445" s="572"/>
      <c r="D445" s="572"/>
      <c r="E445" s="572"/>
      <c r="F445" s="572"/>
      <c r="G445" s="572"/>
      <c r="H445" s="572"/>
      <c r="I445" s="572"/>
      <c r="J445" s="507"/>
      <c r="K445" s="507"/>
      <c r="L445" s="507"/>
      <c r="M445" s="507"/>
      <c r="N445" s="507"/>
      <c r="O445" s="507"/>
      <c r="P445" s="507"/>
      <c r="Q445" s="507"/>
      <c r="R445" s="507"/>
      <c r="S445" s="507"/>
      <c r="T445" s="507"/>
      <c r="U445" s="507"/>
      <c r="V445" s="507"/>
      <c r="W445" s="507"/>
      <c r="X445" s="507"/>
      <c r="Y445" s="507"/>
      <c r="Z445" s="507"/>
    </row>
    <row r="446">
      <c r="A446" s="507"/>
      <c r="B446" s="572"/>
      <c r="C446" s="572"/>
      <c r="D446" s="572"/>
      <c r="E446" s="572"/>
      <c r="F446" s="572"/>
      <c r="G446" s="572"/>
      <c r="H446" s="572"/>
      <c r="I446" s="572"/>
      <c r="J446" s="507"/>
      <c r="K446" s="507"/>
      <c r="L446" s="507"/>
      <c r="M446" s="507"/>
      <c r="N446" s="507"/>
      <c r="O446" s="507"/>
      <c r="P446" s="507"/>
      <c r="Q446" s="507"/>
      <c r="R446" s="507"/>
      <c r="S446" s="507"/>
      <c r="T446" s="507"/>
      <c r="U446" s="507"/>
      <c r="V446" s="507"/>
      <c r="W446" s="507"/>
      <c r="X446" s="507"/>
      <c r="Y446" s="507"/>
      <c r="Z446" s="507"/>
    </row>
    <row r="447">
      <c r="A447" s="507"/>
      <c r="B447" s="572"/>
      <c r="C447" s="572"/>
      <c r="D447" s="572"/>
      <c r="E447" s="572"/>
      <c r="F447" s="572"/>
      <c r="G447" s="572"/>
      <c r="H447" s="572"/>
      <c r="I447" s="572"/>
      <c r="J447" s="507"/>
      <c r="K447" s="507"/>
      <c r="L447" s="507"/>
      <c r="M447" s="507"/>
      <c r="N447" s="507"/>
      <c r="O447" s="507"/>
      <c r="P447" s="507"/>
      <c r="Q447" s="507"/>
      <c r="R447" s="507"/>
      <c r="S447" s="507"/>
      <c r="T447" s="507"/>
      <c r="U447" s="507"/>
      <c r="V447" s="507"/>
      <c r="W447" s="507"/>
      <c r="X447" s="507"/>
      <c r="Y447" s="507"/>
      <c r="Z447" s="507"/>
    </row>
    <row r="448">
      <c r="A448" s="507"/>
      <c r="B448" s="572"/>
      <c r="C448" s="572"/>
      <c r="D448" s="572"/>
      <c r="E448" s="572"/>
      <c r="F448" s="572"/>
      <c r="G448" s="572"/>
      <c r="H448" s="572"/>
      <c r="I448" s="572"/>
      <c r="J448" s="507"/>
      <c r="K448" s="507"/>
      <c r="L448" s="507"/>
      <c r="M448" s="507"/>
      <c r="N448" s="507"/>
      <c r="O448" s="507"/>
      <c r="P448" s="507"/>
      <c r="Q448" s="507"/>
      <c r="R448" s="507"/>
      <c r="S448" s="507"/>
      <c r="T448" s="507"/>
      <c r="U448" s="507"/>
      <c r="V448" s="507"/>
      <c r="W448" s="507"/>
      <c r="X448" s="507"/>
      <c r="Y448" s="507"/>
      <c r="Z448" s="507"/>
    </row>
    <row r="449">
      <c r="A449" s="507"/>
      <c r="B449" s="572"/>
      <c r="C449" s="572"/>
      <c r="D449" s="572"/>
      <c r="E449" s="572"/>
      <c r="F449" s="572"/>
      <c r="G449" s="572"/>
      <c r="H449" s="572"/>
      <c r="I449" s="572"/>
      <c r="J449" s="507"/>
      <c r="K449" s="507"/>
      <c r="L449" s="507"/>
      <c r="M449" s="507"/>
      <c r="N449" s="507"/>
      <c r="O449" s="507"/>
      <c r="P449" s="507"/>
      <c r="Q449" s="507"/>
      <c r="R449" s="507"/>
      <c r="S449" s="507"/>
      <c r="T449" s="507"/>
      <c r="U449" s="507"/>
      <c r="V449" s="507"/>
      <c r="W449" s="507"/>
      <c r="X449" s="507"/>
      <c r="Y449" s="507"/>
      <c r="Z449" s="507"/>
    </row>
    <row r="450">
      <c r="A450" s="507"/>
      <c r="B450" s="572"/>
      <c r="C450" s="572"/>
      <c r="D450" s="572"/>
      <c r="E450" s="572"/>
      <c r="F450" s="572"/>
      <c r="G450" s="572"/>
      <c r="H450" s="572"/>
      <c r="I450" s="572"/>
      <c r="J450" s="507"/>
      <c r="K450" s="507"/>
      <c r="L450" s="507"/>
      <c r="M450" s="507"/>
      <c r="N450" s="507"/>
      <c r="O450" s="507"/>
      <c r="P450" s="507"/>
      <c r="Q450" s="507"/>
      <c r="R450" s="507"/>
      <c r="S450" s="507"/>
      <c r="T450" s="507"/>
      <c r="U450" s="507"/>
      <c r="V450" s="507"/>
      <c r="W450" s="507"/>
      <c r="X450" s="507"/>
      <c r="Y450" s="507"/>
      <c r="Z450" s="507"/>
    </row>
    <row r="451">
      <c r="A451" s="507"/>
      <c r="B451" s="572"/>
      <c r="C451" s="572"/>
      <c r="D451" s="572"/>
      <c r="E451" s="572"/>
      <c r="F451" s="572"/>
      <c r="G451" s="572"/>
      <c r="H451" s="572"/>
      <c r="I451" s="572"/>
      <c r="J451" s="507"/>
      <c r="K451" s="507"/>
      <c r="L451" s="507"/>
      <c r="M451" s="507"/>
      <c r="N451" s="507"/>
      <c r="O451" s="507"/>
      <c r="P451" s="507"/>
      <c r="Q451" s="507"/>
      <c r="R451" s="507"/>
      <c r="S451" s="507"/>
      <c r="T451" s="507"/>
      <c r="U451" s="507"/>
      <c r="V451" s="507"/>
      <c r="W451" s="507"/>
      <c r="X451" s="507"/>
      <c r="Y451" s="507"/>
      <c r="Z451" s="507"/>
    </row>
    <row r="452">
      <c r="A452" s="507"/>
      <c r="B452" s="572"/>
      <c r="C452" s="572"/>
      <c r="D452" s="572"/>
      <c r="E452" s="572"/>
      <c r="F452" s="572"/>
      <c r="G452" s="572"/>
      <c r="H452" s="572"/>
      <c r="I452" s="572"/>
      <c r="J452" s="507"/>
      <c r="K452" s="507"/>
      <c r="L452" s="507"/>
      <c r="M452" s="507"/>
      <c r="N452" s="507"/>
      <c r="O452" s="507"/>
      <c r="P452" s="507"/>
      <c r="Q452" s="507"/>
      <c r="R452" s="507"/>
      <c r="S452" s="507"/>
      <c r="T452" s="507"/>
      <c r="U452" s="507"/>
      <c r="V452" s="507"/>
      <c r="W452" s="507"/>
      <c r="X452" s="507"/>
      <c r="Y452" s="507"/>
      <c r="Z452" s="507"/>
    </row>
    <row r="453">
      <c r="A453" s="507"/>
      <c r="B453" s="572"/>
      <c r="C453" s="572"/>
      <c r="D453" s="572"/>
      <c r="E453" s="572"/>
      <c r="F453" s="572"/>
      <c r="G453" s="572"/>
      <c r="H453" s="572"/>
      <c r="I453" s="572"/>
      <c r="J453" s="507"/>
      <c r="K453" s="507"/>
      <c r="L453" s="507"/>
      <c r="M453" s="507"/>
      <c r="N453" s="507"/>
      <c r="O453" s="507"/>
      <c r="P453" s="507"/>
      <c r="Q453" s="507"/>
      <c r="R453" s="507"/>
      <c r="S453" s="507"/>
      <c r="T453" s="507"/>
      <c r="U453" s="507"/>
      <c r="V453" s="507"/>
      <c r="W453" s="507"/>
      <c r="X453" s="507"/>
      <c r="Y453" s="507"/>
      <c r="Z453" s="507"/>
    </row>
    <row r="454">
      <c r="A454" s="507"/>
      <c r="B454" s="572"/>
      <c r="C454" s="572"/>
      <c r="D454" s="572"/>
      <c r="E454" s="572"/>
      <c r="F454" s="572"/>
      <c r="G454" s="572"/>
      <c r="H454" s="572"/>
      <c r="I454" s="572"/>
      <c r="J454" s="507"/>
      <c r="K454" s="507"/>
      <c r="L454" s="507"/>
      <c r="M454" s="507"/>
      <c r="N454" s="507"/>
      <c r="O454" s="507"/>
      <c r="P454" s="507"/>
      <c r="Q454" s="507"/>
      <c r="R454" s="507"/>
      <c r="S454" s="507"/>
      <c r="T454" s="507"/>
      <c r="U454" s="507"/>
      <c r="V454" s="507"/>
      <c r="W454" s="507"/>
      <c r="X454" s="507"/>
      <c r="Y454" s="507"/>
      <c r="Z454" s="507"/>
    </row>
    <row r="455">
      <c r="A455" s="507"/>
      <c r="B455" s="572"/>
      <c r="C455" s="572"/>
      <c r="D455" s="572"/>
      <c r="E455" s="572"/>
      <c r="F455" s="572"/>
      <c r="G455" s="572"/>
      <c r="H455" s="572"/>
      <c r="I455" s="572"/>
      <c r="J455" s="507"/>
      <c r="K455" s="507"/>
      <c r="L455" s="507"/>
      <c r="M455" s="507"/>
      <c r="N455" s="507"/>
      <c r="O455" s="507"/>
      <c r="P455" s="507"/>
      <c r="Q455" s="507"/>
      <c r="R455" s="507"/>
      <c r="S455" s="507"/>
      <c r="T455" s="507"/>
      <c r="U455" s="507"/>
      <c r="V455" s="507"/>
      <c r="W455" s="507"/>
      <c r="X455" s="507"/>
      <c r="Y455" s="507"/>
      <c r="Z455" s="507"/>
    </row>
    <row r="456">
      <c r="A456" s="507"/>
      <c r="B456" s="572"/>
      <c r="C456" s="572"/>
      <c r="D456" s="572"/>
      <c r="E456" s="572"/>
      <c r="F456" s="572"/>
      <c r="G456" s="572"/>
      <c r="H456" s="572"/>
      <c r="I456" s="572"/>
      <c r="J456" s="507"/>
      <c r="K456" s="507"/>
      <c r="L456" s="507"/>
      <c r="M456" s="507"/>
      <c r="N456" s="507"/>
      <c r="O456" s="507"/>
      <c r="P456" s="507"/>
      <c r="Q456" s="507"/>
      <c r="R456" s="507"/>
      <c r="S456" s="507"/>
      <c r="T456" s="507"/>
      <c r="U456" s="507"/>
      <c r="V456" s="507"/>
      <c r="W456" s="507"/>
      <c r="X456" s="507"/>
      <c r="Y456" s="507"/>
      <c r="Z456" s="507"/>
    </row>
    <row r="457">
      <c r="A457" s="507"/>
      <c r="B457" s="572"/>
      <c r="C457" s="572"/>
      <c r="D457" s="572"/>
      <c r="E457" s="572"/>
      <c r="F457" s="572"/>
      <c r="G457" s="572"/>
      <c r="H457" s="572"/>
      <c r="I457" s="572"/>
      <c r="J457" s="507"/>
      <c r="K457" s="507"/>
      <c r="L457" s="507"/>
      <c r="M457" s="507"/>
      <c r="N457" s="507"/>
      <c r="O457" s="507"/>
      <c r="P457" s="507"/>
      <c r="Q457" s="507"/>
      <c r="R457" s="507"/>
      <c r="S457" s="507"/>
      <c r="T457" s="507"/>
      <c r="U457" s="507"/>
      <c r="V457" s="507"/>
      <c r="W457" s="507"/>
      <c r="X457" s="507"/>
      <c r="Y457" s="507"/>
      <c r="Z457" s="507"/>
    </row>
    <row r="458">
      <c r="A458" s="507"/>
      <c r="B458" s="572"/>
      <c r="C458" s="572"/>
      <c r="D458" s="572"/>
      <c r="E458" s="572"/>
      <c r="F458" s="572"/>
      <c r="G458" s="572"/>
      <c r="H458" s="572"/>
      <c r="I458" s="572"/>
      <c r="J458" s="507"/>
      <c r="K458" s="507"/>
      <c r="L458" s="507"/>
      <c r="M458" s="507"/>
      <c r="N458" s="507"/>
      <c r="O458" s="507"/>
      <c r="P458" s="507"/>
      <c r="Q458" s="507"/>
      <c r="R458" s="507"/>
      <c r="S458" s="507"/>
      <c r="T458" s="507"/>
      <c r="U458" s="507"/>
      <c r="V458" s="507"/>
      <c r="W458" s="507"/>
      <c r="X458" s="507"/>
      <c r="Y458" s="507"/>
      <c r="Z458" s="507"/>
    </row>
    <row r="459">
      <c r="A459" s="507"/>
      <c r="B459" s="572"/>
      <c r="C459" s="572"/>
      <c r="D459" s="572"/>
      <c r="E459" s="572"/>
      <c r="F459" s="572"/>
      <c r="G459" s="572"/>
      <c r="H459" s="572"/>
      <c r="I459" s="572"/>
      <c r="J459" s="507"/>
      <c r="K459" s="507"/>
      <c r="L459" s="507"/>
      <c r="M459" s="507"/>
      <c r="N459" s="507"/>
      <c r="O459" s="507"/>
      <c r="P459" s="507"/>
      <c r="Q459" s="507"/>
      <c r="R459" s="507"/>
      <c r="S459" s="507"/>
      <c r="T459" s="507"/>
      <c r="U459" s="507"/>
      <c r="V459" s="507"/>
      <c r="W459" s="507"/>
      <c r="X459" s="507"/>
      <c r="Y459" s="507"/>
      <c r="Z459" s="507"/>
    </row>
    <row r="460">
      <c r="A460" s="507"/>
      <c r="B460" s="572"/>
      <c r="C460" s="572"/>
      <c r="D460" s="572"/>
      <c r="E460" s="572"/>
      <c r="F460" s="572"/>
      <c r="G460" s="572"/>
      <c r="H460" s="572"/>
      <c r="I460" s="572"/>
      <c r="J460" s="507"/>
      <c r="K460" s="507"/>
      <c r="L460" s="507"/>
      <c r="M460" s="507"/>
      <c r="N460" s="507"/>
      <c r="O460" s="507"/>
      <c r="P460" s="507"/>
      <c r="Q460" s="507"/>
      <c r="R460" s="507"/>
      <c r="S460" s="507"/>
      <c r="T460" s="507"/>
      <c r="U460" s="507"/>
      <c r="V460" s="507"/>
      <c r="W460" s="507"/>
      <c r="X460" s="507"/>
      <c r="Y460" s="507"/>
      <c r="Z460" s="507"/>
    </row>
    <row r="461">
      <c r="A461" s="507"/>
      <c r="B461" s="572"/>
      <c r="C461" s="572"/>
      <c r="D461" s="572"/>
      <c r="E461" s="572"/>
      <c r="F461" s="572"/>
      <c r="G461" s="572"/>
      <c r="H461" s="572"/>
      <c r="I461" s="572"/>
      <c r="J461" s="507"/>
      <c r="K461" s="507"/>
      <c r="L461" s="507"/>
      <c r="M461" s="507"/>
      <c r="N461" s="507"/>
      <c r="O461" s="507"/>
      <c r="P461" s="507"/>
      <c r="Q461" s="507"/>
      <c r="R461" s="507"/>
      <c r="S461" s="507"/>
      <c r="T461" s="507"/>
      <c r="U461" s="507"/>
      <c r="V461" s="507"/>
      <c r="W461" s="507"/>
      <c r="X461" s="507"/>
      <c r="Y461" s="507"/>
      <c r="Z461" s="507"/>
    </row>
    <row r="462">
      <c r="A462" s="507"/>
      <c r="B462" s="572"/>
      <c r="C462" s="572"/>
      <c r="D462" s="572"/>
      <c r="E462" s="572"/>
      <c r="F462" s="572"/>
      <c r="G462" s="572"/>
      <c r="H462" s="572"/>
      <c r="I462" s="572"/>
      <c r="J462" s="507"/>
      <c r="K462" s="507"/>
      <c r="L462" s="507"/>
      <c r="M462" s="507"/>
      <c r="N462" s="507"/>
      <c r="O462" s="507"/>
      <c r="P462" s="507"/>
      <c r="Q462" s="507"/>
      <c r="R462" s="507"/>
      <c r="S462" s="507"/>
      <c r="T462" s="507"/>
      <c r="U462" s="507"/>
      <c r="V462" s="507"/>
      <c r="W462" s="507"/>
      <c r="X462" s="507"/>
      <c r="Y462" s="507"/>
      <c r="Z462" s="507"/>
    </row>
    <row r="463">
      <c r="A463" s="507"/>
      <c r="B463" s="572"/>
      <c r="C463" s="572"/>
      <c r="D463" s="572"/>
      <c r="E463" s="572"/>
      <c r="F463" s="572"/>
      <c r="G463" s="572"/>
      <c r="H463" s="572"/>
      <c r="I463" s="572"/>
      <c r="J463" s="507"/>
      <c r="K463" s="507"/>
      <c r="L463" s="507"/>
      <c r="M463" s="507"/>
      <c r="N463" s="507"/>
      <c r="O463" s="507"/>
      <c r="P463" s="507"/>
      <c r="Q463" s="507"/>
      <c r="R463" s="507"/>
      <c r="S463" s="507"/>
      <c r="T463" s="507"/>
      <c r="U463" s="507"/>
      <c r="V463" s="507"/>
      <c r="W463" s="507"/>
      <c r="X463" s="507"/>
      <c r="Y463" s="507"/>
      <c r="Z463" s="507"/>
    </row>
    <row r="464">
      <c r="A464" s="507"/>
      <c r="B464" s="572"/>
      <c r="C464" s="572"/>
      <c r="D464" s="572"/>
      <c r="E464" s="572"/>
      <c r="F464" s="572"/>
      <c r="G464" s="572"/>
      <c r="H464" s="572"/>
      <c r="I464" s="572"/>
      <c r="J464" s="507"/>
      <c r="K464" s="507"/>
      <c r="L464" s="507"/>
      <c r="M464" s="507"/>
      <c r="N464" s="507"/>
      <c r="O464" s="507"/>
      <c r="P464" s="507"/>
      <c r="Q464" s="507"/>
      <c r="R464" s="507"/>
      <c r="S464" s="507"/>
      <c r="T464" s="507"/>
      <c r="U464" s="507"/>
      <c r="V464" s="507"/>
      <c r="W464" s="507"/>
      <c r="X464" s="507"/>
      <c r="Y464" s="507"/>
      <c r="Z464" s="507"/>
    </row>
    <row r="465">
      <c r="A465" s="507"/>
      <c r="B465" s="572"/>
      <c r="C465" s="572"/>
      <c r="D465" s="572"/>
      <c r="E465" s="572"/>
      <c r="F465" s="572"/>
      <c r="G465" s="572"/>
      <c r="H465" s="572"/>
      <c r="I465" s="572"/>
      <c r="J465" s="507"/>
      <c r="K465" s="507"/>
      <c r="L465" s="507"/>
      <c r="M465" s="507"/>
      <c r="N465" s="507"/>
      <c r="O465" s="507"/>
      <c r="P465" s="507"/>
      <c r="Q465" s="507"/>
      <c r="R465" s="507"/>
      <c r="S465" s="507"/>
      <c r="T465" s="507"/>
      <c r="U465" s="507"/>
      <c r="V465" s="507"/>
      <c r="W465" s="507"/>
      <c r="X465" s="507"/>
      <c r="Y465" s="507"/>
      <c r="Z465" s="507"/>
    </row>
    <row r="466">
      <c r="A466" s="507"/>
      <c r="B466" s="572"/>
      <c r="C466" s="572"/>
      <c r="D466" s="572"/>
      <c r="E466" s="572"/>
      <c r="F466" s="572"/>
      <c r="G466" s="572"/>
      <c r="H466" s="572"/>
      <c r="I466" s="572"/>
      <c r="J466" s="507"/>
      <c r="K466" s="507"/>
      <c r="L466" s="507"/>
      <c r="M466" s="507"/>
      <c r="N466" s="507"/>
      <c r="O466" s="507"/>
      <c r="P466" s="507"/>
      <c r="Q466" s="507"/>
      <c r="R466" s="507"/>
      <c r="S466" s="507"/>
      <c r="T466" s="507"/>
      <c r="U466" s="507"/>
      <c r="V466" s="507"/>
      <c r="W466" s="507"/>
      <c r="X466" s="507"/>
      <c r="Y466" s="507"/>
      <c r="Z466" s="507"/>
    </row>
    <row r="467">
      <c r="A467" s="507"/>
      <c r="B467" s="572"/>
      <c r="C467" s="572"/>
      <c r="D467" s="572"/>
      <c r="E467" s="572"/>
      <c r="F467" s="572"/>
      <c r="G467" s="572"/>
      <c r="H467" s="572"/>
      <c r="I467" s="572"/>
      <c r="J467" s="507"/>
      <c r="K467" s="507"/>
      <c r="L467" s="507"/>
      <c r="M467" s="507"/>
      <c r="N467" s="507"/>
      <c r="O467" s="507"/>
      <c r="P467" s="507"/>
      <c r="Q467" s="507"/>
      <c r="R467" s="507"/>
      <c r="S467" s="507"/>
      <c r="T467" s="507"/>
      <c r="U467" s="507"/>
      <c r="V467" s="507"/>
      <c r="W467" s="507"/>
      <c r="X467" s="507"/>
      <c r="Y467" s="507"/>
      <c r="Z467" s="507"/>
    </row>
    <row r="468">
      <c r="A468" s="507"/>
      <c r="B468" s="572"/>
      <c r="C468" s="572"/>
      <c r="D468" s="572"/>
      <c r="E468" s="572"/>
      <c r="F468" s="572"/>
      <c r="G468" s="572"/>
      <c r="H468" s="572"/>
      <c r="I468" s="572"/>
      <c r="J468" s="507"/>
      <c r="K468" s="507"/>
      <c r="L468" s="507"/>
      <c r="M468" s="507"/>
      <c r="N468" s="507"/>
      <c r="O468" s="507"/>
      <c r="P468" s="507"/>
      <c r="Q468" s="507"/>
      <c r="R468" s="507"/>
      <c r="S468" s="507"/>
      <c r="T468" s="507"/>
      <c r="U468" s="507"/>
      <c r="V468" s="507"/>
      <c r="W468" s="507"/>
      <c r="X468" s="507"/>
      <c r="Y468" s="507"/>
      <c r="Z468" s="507"/>
    </row>
    <row r="469">
      <c r="A469" s="507"/>
      <c r="B469" s="572"/>
      <c r="C469" s="572"/>
      <c r="D469" s="572"/>
      <c r="E469" s="572"/>
      <c r="F469" s="572"/>
      <c r="G469" s="572"/>
      <c r="H469" s="572"/>
      <c r="I469" s="572"/>
      <c r="J469" s="507"/>
      <c r="K469" s="507"/>
      <c r="L469" s="507"/>
      <c r="M469" s="507"/>
      <c r="N469" s="507"/>
      <c r="O469" s="507"/>
      <c r="P469" s="507"/>
      <c r="Q469" s="507"/>
      <c r="R469" s="507"/>
      <c r="S469" s="507"/>
      <c r="T469" s="507"/>
      <c r="U469" s="507"/>
      <c r="V469" s="507"/>
      <c r="W469" s="507"/>
      <c r="X469" s="507"/>
      <c r="Y469" s="507"/>
      <c r="Z469" s="507"/>
    </row>
    <row r="470">
      <c r="A470" s="507"/>
      <c r="B470" s="572"/>
      <c r="C470" s="572"/>
      <c r="D470" s="572"/>
      <c r="E470" s="572"/>
      <c r="F470" s="572"/>
      <c r="G470" s="572"/>
      <c r="H470" s="572"/>
      <c r="I470" s="572"/>
      <c r="J470" s="507"/>
      <c r="K470" s="507"/>
      <c r="L470" s="507"/>
      <c r="M470" s="507"/>
      <c r="N470" s="507"/>
      <c r="O470" s="507"/>
      <c r="P470" s="507"/>
      <c r="Q470" s="507"/>
      <c r="R470" s="507"/>
      <c r="S470" s="507"/>
      <c r="T470" s="507"/>
      <c r="U470" s="507"/>
      <c r="V470" s="507"/>
      <c r="W470" s="507"/>
      <c r="X470" s="507"/>
      <c r="Y470" s="507"/>
      <c r="Z470" s="507"/>
    </row>
    <row r="471">
      <c r="A471" s="507"/>
      <c r="B471" s="572"/>
      <c r="C471" s="572"/>
      <c r="D471" s="572"/>
      <c r="E471" s="572"/>
      <c r="F471" s="572"/>
      <c r="G471" s="572"/>
      <c r="H471" s="572"/>
      <c r="I471" s="572"/>
      <c r="J471" s="507"/>
      <c r="K471" s="507"/>
      <c r="L471" s="507"/>
      <c r="M471" s="507"/>
      <c r="N471" s="507"/>
      <c r="O471" s="507"/>
      <c r="P471" s="507"/>
      <c r="Q471" s="507"/>
      <c r="R471" s="507"/>
      <c r="S471" s="507"/>
      <c r="T471" s="507"/>
      <c r="U471" s="507"/>
      <c r="V471" s="507"/>
      <c r="W471" s="507"/>
      <c r="X471" s="507"/>
      <c r="Y471" s="507"/>
      <c r="Z471" s="507"/>
    </row>
    <row r="472">
      <c r="A472" s="507"/>
      <c r="B472" s="572"/>
      <c r="C472" s="572"/>
      <c r="D472" s="572"/>
      <c r="E472" s="572"/>
      <c r="F472" s="572"/>
      <c r="G472" s="572"/>
      <c r="H472" s="572"/>
      <c r="I472" s="572"/>
      <c r="J472" s="507"/>
      <c r="K472" s="507"/>
      <c r="L472" s="507"/>
      <c r="M472" s="507"/>
      <c r="N472" s="507"/>
      <c r="O472" s="507"/>
      <c r="P472" s="507"/>
      <c r="Q472" s="507"/>
      <c r="R472" s="507"/>
      <c r="S472" s="507"/>
      <c r="T472" s="507"/>
      <c r="U472" s="507"/>
      <c r="V472" s="507"/>
      <c r="W472" s="507"/>
      <c r="X472" s="507"/>
      <c r="Y472" s="507"/>
      <c r="Z472" s="507"/>
    </row>
    <row r="473">
      <c r="A473" s="507"/>
      <c r="B473" s="572"/>
      <c r="C473" s="572"/>
      <c r="D473" s="572"/>
      <c r="E473" s="572"/>
      <c r="F473" s="572"/>
      <c r="G473" s="572"/>
      <c r="H473" s="572"/>
      <c r="I473" s="572"/>
      <c r="J473" s="507"/>
      <c r="K473" s="507"/>
      <c r="L473" s="507"/>
      <c r="M473" s="507"/>
      <c r="N473" s="507"/>
      <c r="O473" s="507"/>
      <c r="P473" s="507"/>
      <c r="Q473" s="507"/>
      <c r="R473" s="507"/>
      <c r="S473" s="507"/>
      <c r="T473" s="507"/>
      <c r="U473" s="507"/>
      <c r="V473" s="507"/>
      <c r="W473" s="507"/>
      <c r="X473" s="507"/>
      <c r="Y473" s="507"/>
      <c r="Z473" s="507"/>
    </row>
    <row r="474">
      <c r="A474" s="507"/>
      <c r="B474" s="572"/>
      <c r="C474" s="572"/>
      <c r="D474" s="572"/>
      <c r="E474" s="572"/>
      <c r="F474" s="572"/>
      <c r="G474" s="572"/>
      <c r="H474" s="572"/>
      <c r="I474" s="572"/>
      <c r="J474" s="507"/>
      <c r="K474" s="507"/>
      <c r="L474" s="507"/>
      <c r="M474" s="507"/>
      <c r="N474" s="507"/>
      <c r="O474" s="507"/>
      <c r="P474" s="507"/>
      <c r="Q474" s="507"/>
      <c r="R474" s="507"/>
      <c r="S474" s="507"/>
      <c r="T474" s="507"/>
      <c r="U474" s="507"/>
      <c r="V474" s="507"/>
      <c r="W474" s="507"/>
      <c r="X474" s="507"/>
      <c r="Y474" s="507"/>
      <c r="Z474" s="507"/>
    </row>
    <row r="475">
      <c r="A475" s="507"/>
      <c r="B475" s="572"/>
      <c r="C475" s="572"/>
      <c r="D475" s="572"/>
      <c r="E475" s="572"/>
      <c r="F475" s="572"/>
      <c r="G475" s="572"/>
      <c r="H475" s="572"/>
      <c r="I475" s="572"/>
      <c r="J475" s="507"/>
      <c r="K475" s="507"/>
      <c r="L475" s="507"/>
      <c r="M475" s="507"/>
      <c r="N475" s="507"/>
      <c r="O475" s="507"/>
      <c r="P475" s="507"/>
      <c r="Q475" s="507"/>
      <c r="R475" s="507"/>
      <c r="S475" s="507"/>
      <c r="T475" s="507"/>
      <c r="U475" s="507"/>
      <c r="V475" s="507"/>
      <c r="W475" s="507"/>
      <c r="X475" s="507"/>
      <c r="Y475" s="507"/>
      <c r="Z475" s="507"/>
    </row>
    <row r="476">
      <c r="A476" s="507"/>
      <c r="B476" s="572"/>
      <c r="C476" s="572"/>
      <c r="D476" s="572"/>
      <c r="E476" s="572"/>
      <c r="F476" s="572"/>
      <c r="G476" s="572"/>
      <c r="H476" s="572"/>
      <c r="I476" s="572"/>
      <c r="J476" s="507"/>
      <c r="K476" s="507"/>
      <c r="L476" s="507"/>
      <c r="M476" s="507"/>
      <c r="N476" s="507"/>
      <c r="O476" s="507"/>
      <c r="P476" s="507"/>
      <c r="Q476" s="507"/>
      <c r="R476" s="507"/>
      <c r="S476" s="507"/>
      <c r="T476" s="507"/>
      <c r="U476" s="507"/>
      <c r="V476" s="507"/>
      <c r="W476" s="507"/>
      <c r="X476" s="507"/>
      <c r="Y476" s="507"/>
      <c r="Z476" s="507"/>
    </row>
    <row r="477">
      <c r="A477" s="507"/>
      <c r="B477" s="572"/>
      <c r="C477" s="572"/>
      <c r="D477" s="572"/>
      <c r="E477" s="572"/>
      <c r="F477" s="572"/>
      <c r="G477" s="572"/>
      <c r="H477" s="572"/>
      <c r="I477" s="572"/>
      <c r="J477" s="507"/>
      <c r="K477" s="507"/>
      <c r="L477" s="507"/>
      <c r="M477" s="507"/>
      <c r="N477" s="507"/>
      <c r="O477" s="507"/>
      <c r="P477" s="507"/>
      <c r="Q477" s="507"/>
      <c r="R477" s="507"/>
      <c r="S477" s="507"/>
      <c r="T477" s="507"/>
      <c r="U477" s="507"/>
      <c r="V477" s="507"/>
      <c r="W477" s="507"/>
      <c r="X477" s="507"/>
      <c r="Y477" s="507"/>
      <c r="Z477" s="507"/>
    </row>
    <row r="478">
      <c r="A478" s="507"/>
      <c r="B478" s="572"/>
      <c r="C478" s="572"/>
      <c r="D478" s="572"/>
      <c r="E478" s="572"/>
      <c r="F478" s="572"/>
      <c r="G478" s="572"/>
      <c r="H478" s="572"/>
      <c r="I478" s="572"/>
      <c r="J478" s="507"/>
      <c r="K478" s="507"/>
      <c r="L478" s="507"/>
      <c r="M478" s="507"/>
      <c r="N478" s="507"/>
      <c r="O478" s="507"/>
      <c r="P478" s="507"/>
      <c r="Q478" s="507"/>
      <c r="R478" s="507"/>
      <c r="S478" s="507"/>
      <c r="T478" s="507"/>
      <c r="U478" s="507"/>
      <c r="V478" s="507"/>
      <c r="W478" s="507"/>
      <c r="X478" s="507"/>
      <c r="Y478" s="507"/>
      <c r="Z478" s="507"/>
    </row>
    <row r="479">
      <c r="A479" s="507"/>
      <c r="B479" s="572"/>
      <c r="C479" s="572"/>
      <c r="D479" s="572"/>
      <c r="E479" s="572"/>
      <c r="F479" s="572"/>
      <c r="G479" s="572"/>
      <c r="H479" s="572"/>
      <c r="I479" s="572"/>
      <c r="J479" s="507"/>
      <c r="K479" s="507"/>
      <c r="L479" s="507"/>
      <c r="M479" s="507"/>
      <c r="N479" s="507"/>
      <c r="O479" s="507"/>
      <c r="P479" s="507"/>
      <c r="Q479" s="507"/>
      <c r="R479" s="507"/>
      <c r="S479" s="507"/>
      <c r="T479" s="507"/>
      <c r="U479" s="507"/>
      <c r="V479" s="507"/>
      <c r="W479" s="507"/>
      <c r="X479" s="507"/>
      <c r="Y479" s="507"/>
      <c r="Z479" s="507"/>
    </row>
    <row r="480">
      <c r="A480" s="507"/>
      <c r="B480" s="572"/>
      <c r="C480" s="572"/>
      <c r="D480" s="572"/>
      <c r="E480" s="572"/>
      <c r="F480" s="572"/>
      <c r="G480" s="572"/>
      <c r="H480" s="572"/>
      <c r="I480" s="572"/>
      <c r="J480" s="507"/>
      <c r="K480" s="507"/>
      <c r="L480" s="507"/>
      <c r="M480" s="507"/>
      <c r="N480" s="507"/>
      <c r="O480" s="507"/>
      <c r="P480" s="507"/>
      <c r="Q480" s="507"/>
      <c r="R480" s="507"/>
      <c r="S480" s="507"/>
      <c r="T480" s="507"/>
      <c r="U480" s="507"/>
      <c r="V480" s="507"/>
      <c r="W480" s="507"/>
      <c r="X480" s="507"/>
      <c r="Y480" s="507"/>
      <c r="Z480" s="507"/>
    </row>
    <row r="481">
      <c r="A481" s="507"/>
      <c r="B481" s="572"/>
      <c r="C481" s="572"/>
      <c r="D481" s="572"/>
      <c r="E481" s="572"/>
      <c r="F481" s="572"/>
      <c r="G481" s="572"/>
      <c r="H481" s="572"/>
      <c r="I481" s="572"/>
      <c r="J481" s="507"/>
      <c r="K481" s="507"/>
      <c r="L481" s="507"/>
      <c r="M481" s="507"/>
      <c r="N481" s="507"/>
      <c r="O481" s="507"/>
      <c r="P481" s="507"/>
      <c r="Q481" s="507"/>
      <c r="R481" s="507"/>
      <c r="S481" s="507"/>
      <c r="T481" s="507"/>
      <c r="U481" s="507"/>
      <c r="V481" s="507"/>
      <c r="W481" s="507"/>
      <c r="X481" s="507"/>
      <c r="Y481" s="507"/>
      <c r="Z481" s="507"/>
    </row>
    <row r="482">
      <c r="A482" s="507"/>
      <c r="B482" s="572"/>
      <c r="C482" s="572"/>
      <c r="D482" s="572"/>
      <c r="E482" s="572"/>
      <c r="F482" s="572"/>
      <c r="G482" s="572"/>
      <c r="H482" s="572"/>
      <c r="I482" s="572"/>
      <c r="J482" s="507"/>
      <c r="K482" s="507"/>
      <c r="L482" s="507"/>
      <c r="M482" s="507"/>
      <c r="N482" s="507"/>
      <c r="O482" s="507"/>
      <c r="P482" s="507"/>
      <c r="Q482" s="507"/>
      <c r="R482" s="507"/>
      <c r="S482" s="507"/>
      <c r="T482" s="507"/>
      <c r="U482" s="507"/>
      <c r="V482" s="507"/>
      <c r="W482" s="507"/>
      <c r="X482" s="507"/>
      <c r="Y482" s="507"/>
      <c r="Z482" s="507"/>
    </row>
    <row r="483">
      <c r="A483" s="507"/>
      <c r="B483" s="572"/>
      <c r="C483" s="572"/>
      <c r="D483" s="572"/>
      <c r="E483" s="572"/>
      <c r="F483" s="572"/>
      <c r="G483" s="572"/>
      <c r="H483" s="572"/>
      <c r="I483" s="572"/>
      <c r="J483" s="507"/>
      <c r="K483" s="507"/>
      <c r="L483" s="507"/>
      <c r="M483" s="507"/>
      <c r="N483" s="507"/>
      <c r="O483" s="507"/>
      <c r="P483" s="507"/>
      <c r="Q483" s="507"/>
      <c r="R483" s="507"/>
      <c r="S483" s="507"/>
      <c r="T483" s="507"/>
      <c r="U483" s="507"/>
      <c r="V483" s="507"/>
      <c r="W483" s="507"/>
      <c r="X483" s="507"/>
      <c r="Y483" s="507"/>
      <c r="Z483" s="507"/>
    </row>
    <row r="484">
      <c r="A484" s="507"/>
      <c r="B484" s="572"/>
      <c r="C484" s="572"/>
      <c r="D484" s="572"/>
      <c r="E484" s="572"/>
      <c r="F484" s="572"/>
      <c r="G484" s="572"/>
      <c r="H484" s="572"/>
      <c r="I484" s="572"/>
      <c r="J484" s="507"/>
      <c r="K484" s="507"/>
      <c r="L484" s="507"/>
      <c r="M484" s="507"/>
      <c r="N484" s="507"/>
      <c r="O484" s="507"/>
      <c r="P484" s="507"/>
      <c r="Q484" s="507"/>
      <c r="R484" s="507"/>
      <c r="S484" s="507"/>
      <c r="T484" s="507"/>
      <c r="U484" s="507"/>
      <c r="V484" s="507"/>
      <c r="W484" s="507"/>
      <c r="X484" s="507"/>
      <c r="Y484" s="507"/>
      <c r="Z484" s="507"/>
    </row>
    <row r="485">
      <c r="A485" s="507"/>
      <c r="B485" s="572"/>
      <c r="C485" s="572"/>
      <c r="D485" s="572"/>
      <c r="E485" s="572"/>
      <c r="F485" s="572"/>
      <c r="G485" s="572"/>
      <c r="H485" s="572"/>
      <c r="I485" s="572"/>
      <c r="J485" s="507"/>
      <c r="K485" s="507"/>
      <c r="L485" s="507"/>
      <c r="M485" s="507"/>
      <c r="N485" s="507"/>
      <c r="O485" s="507"/>
      <c r="P485" s="507"/>
      <c r="Q485" s="507"/>
      <c r="R485" s="507"/>
      <c r="S485" s="507"/>
      <c r="T485" s="507"/>
      <c r="U485" s="507"/>
      <c r="V485" s="507"/>
      <c r="W485" s="507"/>
      <c r="X485" s="507"/>
      <c r="Y485" s="507"/>
      <c r="Z485" s="507"/>
    </row>
    <row r="486">
      <c r="A486" s="507"/>
      <c r="B486" s="572"/>
      <c r="C486" s="572"/>
      <c r="D486" s="572"/>
      <c r="E486" s="572"/>
      <c r="F486" s="572"/>
      <c r="G486" s="572"/>
      <c r="H486" s="572"/>
      <c r="I486" s="572"/>
      <c r="J486" s="507"/>
      <c r="K486" s="507"/>
      <c r="L486" s="507"/>
      <c r="M486" s="507"/>
      <c r="N486" s="507"/>
      <c r="O486" s="507"/>
      <c r="P486" s="507"/>
      <c r="Q486" s="507"/>
      <c r="R486" s="507"/>
      <c r="S486" s="507"/>
      <c r="T486" s="507"/>
      <c r="U486" s="507"/>
      <c r="V486" s="507"/>
      <c r="W486" s="507"/>
      <c r="X486" s="507"/>
      <c r="Y486" s="507"/>
      <c r="Z486" s="507"/>
    </row>
    <row r="487">
      <c r="A487" s="507"/>
      <c r="B487" s="572"/>
      <c r="C487" s="572"/>
      <c r="D487" s="572"/>
      <c r="E487" s="572"/>
      <c r="F487" s="572"/>
      <c r="G487" s="572"/>
      <c r="H487" s="572"/>
      <c r="I487" s="572"/>
      <c r="J487" s="507"/>
      <c r="K487" s="507"/>
      <c r="L487" s="507"/>
      <c r="M487" s="507"/>
      <c r="N487" s="507"/>
      <c r="O487" s="507"/>
      <c r="P487" s="507"/>
      <c r="Q487" s="507"/>
      <c r="R487" s="507"/>
      <c r="S487" s="507"/>
      <c r="T487" s="507"/>
      <c r="U487" s="507"/>
      <c r="V487" s="507"/>
      <c r="W487" s="507"/>
      <c r="X487" s="507"/>
      <c r="Y487" s="507"/>
      <c r="Z487" s="507"/>
    </row>
    <row r="488">
      <c r="A488" s="507"/>
      <c r="B488" s="572"/>
      <c r="C488" s="572"/>
      <c r="D488" s="572"/>
      <c r="E488" s="572"/>
      <c r="F488" s="572"/>
      <c r="G488" s="572"/>
      <c r="H488" s="572"/>
      <c r="I488" s="572"/>
      <c r="J488" s="507"/>
      <c r="K488" s="507"/>
      <c r="L488" s="507"/>
      <c r="M488" s="507"/>
      <c r="N488" s="507"/>
      <c r="O488" s="507"/>
      <c r="P488" s="507"/>
      <c r="Q488" s="507"/>
      <c r="R488" s="507"/>
      <c r="S488" s="507"/>
      <c r="T488" s="507"/>
      <c r="U488" s="507"/>
      <c r="V488" s="507"/>
      <c r="W488" s="507"/>
      <c r="X488" s="507"/>
      <c r="Y488" s="507"/>
      <c r="Z488" s="507"/>
    </row>
    <row r="489">
      <c r="A489" s="507"/>
      <c r="B489" s="572"/>
      <c r="C489" s="572"/>
      <c r="D489" s="572"/>
      <c r="E489" s="572"/>
      <c r="F489" s="572"/>
      <c r="G489" s="572"/>
      <c r="H489" s="572"/>
      <c r="I489" s="572"/>
      <c r="J489" s="507"/>
      <c r="K489" s="507"/>
      <c r="L489" s="507"/>
      <c r="M489" s="507"/>
      <c r="N489" s="507"/>
      <c r="O489" s="507"/>
      <c r="P489" s="507"/>
      <c r="Q489" s="507"/>
      <c r="R489" s="507"/>
      <c r="S489" s="507"/>
      <c r="T489" s="507"/>
      <c r="U489" s="507"/>
      <c r="V489" s="507"/>
      <c r="W489" s="507"/>
      <c r="X489" s="507"/>
      <c r="Y489" s="507"/>
      <c r="Z489" s="507"/>
    </row>
    <row r="490">
      <c r="A490" s="507"/>
      <c r="B490" s="572"/>
      <c r="C490" s="572"/>
      <c r="D490" s="572"/>
      <c r="E490" s="572"/>
      <c r="F490" s="572"/>
      <c r="G490" s="572"/>
      <c r="H490" s="572"/>
      <c r="I490" s="572"/>
      <c r="J490" s="507"/>
      <c r="K490" s="507"/>
      <c r="L490" s="507"/>
      <c r="M490" s="507"/>
      <c r="N490" s="507"/>
      <c r="O490" s="507"/>
      <c r="P490" s="507"/>
      <c r="Q490" s="507"/>
      <c r="R490" s="507"/>
      <c r="S490" s="507"/>
      <c r="T490" s="507"/>
      <c r="U490" s="507"/>
      <c r="V490" s="507"/>
      <c r="W490" s="507"/>
      <c r="X490" s="507"/>
      <c r="Y490" s="507"/>
      <c r="Z490" s="507"/>
    </row>
    <row r="491">
      <c r="A491" s="507"/>
      <c r="B491" s="572"/>
      <c r="C491" s="572"/>
      <c r="D491" s="572"/>
      <c r="E491" s="572"/>
      <c r="F491" s="572"/>
      <c r="G491" s="572"/>
      <c r="H491" s="572"/>
      <c r="I491" s="572"/>
      <c r="J491" s="507"/>
      <c r="K491" s="507"/>
      <c r="L491" s="507"/>
      <c r="M491" s="507"/>
      <c r="N491" s="507"/>
      <c r="O491" s="507"/>
      <c r="P491" s="507"/>
      <c r="Q491" s="507"/>
      <c r="R491" s="507"/>
      <c r="S491" s="507"/>
      <c r="T491" s="507"/>
      <c r="U491" s="507"/>
      <c r="V491" s="507"/>
      <c r="W491" s="507"/>
      <c r="X491" s="507"/>
      <c r="Y491" s="507"/>
      <c r="Z491" s="507"/>
    </row>
    <row r="492">
      <c r="A492" s="507"/>
      <c r="B492" s="572"/>
      <c r="C492" s="572"/>
      <c r="D492" s="572"/>
      <c r="E492" s="572"/>
      <c r="F492" s="572"/>
      <c r="G492" s="572"/>
      <c r="H492" s="572"/>
      <c r="I492" s="572"/>
      <c r="J492" s="507"/>
      <c r="K492" s="507"/>
      <c r="L492" s="507"/>
      <c r="M492" s="507"/>
      <c r="N492" s="507"/>
      <c r="O492" s="507"/>
      <c r="P492" s="507"/>
      <c r="Q492" s="507"/>
      <c r="R492" s="507"/>
      <c r="S492" s="507"/>
      <c r="T492" s="507"/>
      <c r="U492" s="507"/>
      <c r="V492" s="507"/>
      <c r="W492" s="507"/>
      <c r="X492" s="507"/>
      <c r="Y492" s="507"/>
      <c r="Z492" s="507"/>
    </row>
    <row r="493">
      <c r="A493" s="507"/>
      <c r="B493" s="572"/>
      <c r="C493" s="572"/>
      <c r="D493" s="572"/>
      <c r="E493" s="572"/>
      <c r="F493" s="572"/>
      <c r="G493" s="572"/>
      <c r="H493" s="572"/>
      <c r="I493" s="572"/>
      <c r="J493" s="507"/>
      <c r="K493" s="507"/>
      <c r="L493" s="507"/>
      <c r="M493" s="507"/>
      <c r="N493" s="507"/>
      <c r="O493" s="507"/>
      <c r="P493" s="507"/>
      <c r="Q493" s="507"/>
      <c r="R493" s="507"/>
      <c r="S493" s="507"/>
      <c r="T493" s="507"/>
      <c r="U493" s="507"/>
      <c r="V493" s="507"/>
      <c r="W493" s="507"/>
      <c r="X493" s="507"/>
      <c r="Y493" s="507"/>
      <c r="Z493" s="507"/>
    </row>
    <row r="494">
      <c r="A494" s="507"/>
      <c r="B494" s="572"/>
      <c r="C494" s="572"/>
      <c r="D494" s="572"/>
      <c r="E494" s="572"/>
      <c r="F494" s="572"/>
      <c r="G494" s="572"/>
      <c r="H494" s="572"/>
      <c r="I494" s="572"/>
      <c r="J494" s="507"/>
      <c r="K494" s="507"/>
      <c r="L494" s="507"/>
      <c r="M494" s="507"/>
      <c r="N494" s="507"/>
      <c r="O494" s="507"/>
      <c r="P494" s="507"/>
      <c r="Q494" s="507"/>
      <c r="R494" s="507"/>
      <c r="S494" s="507"/>
      <c r="T494" s="507"/>
      <c r="U494" s="507"/>
      <c r="V494" s="507"/>
      <c r="W494" s="507"/>
      <c r="X494" s="507"/>
      <c r="Y494" s="507"/>
      <c r="Z494" s="507"/>
    </row>
    <row r="495">
      <c r="A495" s="507"/>
      <c r="B495" s="572"/>
      <c r="C495" s="572"/>
      <c r="D495" s="572"/>
      <c r="E495" s="572"/>
      <c r="F495" s="572"/>
      <c r="G495" s="572"/>
      <c r="H495" s="572"/>
      <c r="I495" s="572"/>
      <c r="J495" s="507"/>
      <c r="K495" s="507"/>
      <c r="L495" s="507"/>
      <c r="M495" s="507"/>
      <c r="N495" s="507"/>
      <c r="O495" s="507"/>
      <c r="P495" s="507"/>
      <c r="Q495" s="507"/>
      <c r="R495" s="507"/>
      <c r="S495" s="507"/>
      <c r="T495" s="507"/>
      <c r="U495" s="507"/>
      <c r="V495" s="507"/>
      <c r="W495" s="507"/>
      <c r="X495" s="507"/>
      <c r="Y495" s="507"/>
      <c r="Z495" s="507"/>
    </row>
    <row r="496">
      <c r="A496" s="507"/>
      <c r="B496" s="572"/>
      <c r="C496" s="572"/>
      <c r="D496" s="572"/>
      <c r="E496" s="572"/>
      <c r="F496" s="572"/>
      <c r="G496" s="572"/>
      <c r="H496" s="572"/>
      <c r="I496" s="572"/>
      <c r="J496" s="507"/>
      <c r="K496" s="507"/>
      <c r="L496" s="507"/>
      <c r="M496" s="507"/>
      <c r="N496" s="507"/>
      <c r="O496" s="507"/>
      <c r="P496" s="507"/>
      <c r="Q496" s="507"/>
      <c r="R496" s="507"/>
      <c r="S496" s="507"/>
      <c r="T496" s="507"/>
      <c r="U496" s="507"/>
      <c r="V496" s="507"/>
      <c r="W496" s="507"/>
      <c r="X496" s="507"/>
      <c r="Y496" s="507"/>
      <c r="Z496" s="507"/>
    </row>
    <row r="497">
      <c r="A497" s="507"/>
      <c r="B497" s="572"/>
      <c r="C497" s="572"/>
      <c r="D497" s="572"/>
      <c r="E497" s="572"/>
      <c r="F497" s="572"/>
      <c r="G497" s="572"/>
      <c r="H497" s="572"/>
      <c r="I497" s="572"/>
      <c r="J497" s="507"/>
      <c r="K497" s="507"/>
      <c r="L497" s="507"/>
      <c r="M497" s="507"/>
      <c r="N497" s="507"/>
      <c r="O497" s="507"/>
      <c r="P497" s="507"/>
      <c r="Q497" s="507"/>
      <c r="R497" s="507"/>
      <c r="S497" s="507"/>
      <c r="T497" s="507"/>
      <c r="U497" s="507"/>
      <c r="V497" s="507"/>
      <c r="W497" s="507"/>
      <c r="X497" s="507"/>
      <c r="Y497" s="507"/>
      <c r="Z497" s="507"/>
    </row>
    <row r="498">
      <c r="A498" s="507"/>
      <c r="B498" s="572"/>
      <c r="C498" s="572"/>
      <c r="D498" s="572"/>
      <c r="E498" s="572"/>
      <c r="F498" s="572"/>
      <c r="G498" s="572"/>
      <c r="H498" s="572"/>
      <c r="I498" s="572"/>
      <c r="J498" s="507"/>
      <c r="K498" s="507"/>
      <c r="L498" s="507"/>
      <c r="M498" s="507"/>
      <c r="N498" s="507"/>
      <c r="O498" s="507"/>
      <c r="P498" s="507"/>
      <c r="Q498" s="507"/>
      <c r="R498" s="507"/>
      <c r="S498" s="507"/>
      <c r="T498" s="507"/>
      <c r="U498" s="507"/>
      <c r="V498" s="507"/>
      <c r="W498" s="507"/>
      <c r="X498" s="507"/>
      <c r="Y498" s="507"/>
      <c r="Z498" s="507"/>
    </row>
    <row r="499">
      <c r="A499" s="507"/>
      <c r="B499" s="572"/>
      <c r="C499" s="572"/>
      <c r="D499" s="572"/>
      <c r="E499" s="572"/>
      <c r="F499" s="572"/>
      <c r="G499" s="572"/>
      <c r="H499" s="572"/>
      <c r="I499" s="572"/>
      <c r="J499" s="507"/>
      <c r="K499" s="507"/>
      <c r="L499" s="507"/>
      <c r="M499" s="507"/>
      <c r="N499" s="507"/>
      <c r="O499" s="507"/>
      <c r="P499" s="507"/>
      <c r="Q499" s="507"/>
      <c r="R499" s="507"/>
      <c r="S499" s="507"/>
      <c r="T499" s="507"/>
      <c r="U499" s="507"/>
      <c r="V499" s="507"/>
      <c r="W499" s="507"/>
      <c r="X499" s="507"/>
      <c r="Y499" s="507"/>
      <c r="Z499" s="507"/>
    </row>
    <row r="500">
      <c r="A500" s="507"/>
      <c r="B500" s="572"/>
      <c r="C500" s="572"/>
      <c r="D500" s="572"/>
      <c r="E500" s="572"/>
      <c r="F500" s="572"/>
      <c r="G500" s="572"/>
      <c r="H500" s="572"/>
      <c r="I500" s="572"/>
      <c r="J500" s="507"/>
      <c r="K500" s="507"/>
      <c r="L500" s="507"/>
      <c r="M500" s="507"/>
      <c r="N500" s="507"/>
      <c r="O500" s="507"/>
      <c r="P500" s="507"/>
      <c r="Q500" s="507"/>
      <c r="R500" s="507"/>
      <c r="S500" s="507"/>
      <c r="T500" s="507"/>
      <c r="U500" s="507"/>
      <c r="V500" s="507"/>
      <c r="W500" s="507"/>
      <c r="X500" s="507"/>
      <c r="Y500" s="507"/>
      <c r="Z500" s="507"/>
    </row>
    <row r="501">
      <c r="A501" s="507"/>
      <c r="B501" s="572"/>
      <c r="C501" s="572"/>
      <c r="D501" s="572"/>
      <c r="E501" s="572"/>
      <c r="F501" s="572"/>
      <c r="G501" s="572"/>
      <c r="H501" s="572"/>
      <c r="I501" s="572"/>
      <c r="J501" s="507"/>
      <c r="K501" s="507"/>
      <c r="L501" s="507"/>
      <c r="M501" s="507"/>
      <c r="N501" s="507"/>
      <c r="O501" s="507"/>
      <c r="P501" s="507"/>
      <c r="Q501" s="507"/>
      <c r="R501" s="507"/>
      <c r="S501" s="507"/>
      <c r="T501" s="507"/>
      <c r="U501" s="507"/>
      <c r="V501" s="507"/>
      <c r="W501" s="507"/>
      <c r="X501" s="507"/>
      <c r="Y501" s="507"/>
      <c r="Z501" s="507"/>
    </row>
    <row r="502">
      <c r="A502" s="507"/>
      <c r="B502" s="572"/>
      <c r="C502" s="572"/>
      <c r="D502" s="572"/>
      <c r="E502" s="572"/>
      <c r="F502" s="572"/>
      <c r="G502" s="572"/>
      <c r="H502" s="572"/>
      <c r="I502" s="572"/>
      <c r="J502" s="507"/>
      <c r="K502" s="507"/>
      <c r="L502" s="507"/>
      <c r="M502" s="507"/>
      <c r="N502" s="507"/>
      <c r="O502" s="507"/>
      <c r="P502" s="507"/>
      <c r="Q502" s="507"/>
      <c r="R502" s="507"/>
      <c r="S502" s="507"/>
      <c r="T502" s="507"/>
      <c r="U502" s="507"/>
      <c r="V502" s="507"/>
      <c r="W502" s="507"/>
      <c r="X502" s="507"/>
      <c r="Y502" s="507"/>
      <c r="Z502" s="507"/>
    </row>
    <row r="503">
      <c r="A503" s="507"/>
      <c r="B503" s="572"/>
      <c r="C503" s="572"/>
      <c r="D503" s="572"/>
      <c r="E503" s="572"/>
      <c r="F503" s="572"/>
      <c r="G503" s="572"/>
      <c r="H503" s="572"/>
      <c r="I503" s="572"/>
      <c r="J503" s="507"/>
      <c r="K503" s="507"/>
      <c r="L503" s="507"/>
      <c r="M503" s="507"/>
      <c r="N503" s="507"/>
      <c r="O503" s="507"/>
      <c r="P503" s="507"/>
      <c r="Q503" s="507"/>
      <c r="R503" s="507"/>
      <c r="S503" s="507"/>
      <c r="T503" s="507"/>
      <c r="U503" s="507"/>
      <c r="V503" s="507"/>
      <c r="W503" s="507"/>
      <c r="X503" s="507"/>
      <c r="Y503" s="507"/>
      <c r="Z503" s="507"/>
    </row>
    <row r="504">
      <c r="A504" s="507"/>
      <c r="B504" s="572"/>
      <c r="C504" s="572"/>
      <c r="D504" s="572"/>
      <c r="E504" s="572"/>
      <c r="F504" s="572"/>
      <c r="G504" s="572"/>
      <c r="H504" s="572"/>
      <c r="I504" s="572"/>
      <c r="J504" s="507"/>
      <c r="K504" s="507"/>
      <c r="L504" s="507"/>
      <c r="M504" s="507"/>
      <c r="N504" s="507"/>
      <c r="O504" s="507"/>
      <c r="P504" s="507"/>
      <c r="Q504" s="507"/>
      <c r="R504" s="507"/>
      <c r="S504" s="507"/>
      <c r="T504" s="507"/>
      <c r="U504" s="507"/>
      <c r="V504" s="507"/>
      <c r="W504" s="507"/>
      <c r="X504" s="507"/>
      <c r="Y504" s="507"/>
      <c r="Z504" s="507"/>
    </row>
    <row r="505">
      <c r="A505" s="507"/>
      <c r="B505" s="572"/>
      <c r="C505" s="572"/>
      <c r="D505" s="572"/>
      <c r="E505" s="572"/>
      <c r="F505" s="572"/>
      <c r="G505" s="572"/>
      <c r="H505" s="572"/>
      <c r="I505" s="572"/>
      <c r="J505" s="507"/>
      <c r="K505" s="507"/>
      <c r="L505" s="507"/>
      <c r="M505" s="507"/>
      <c r="N505" s="507"/>
      <c r="O505" s="507"/>
      <c r="P505" s="507"/>
      <c r="Q505" s="507"/>
      <c r="R505" s="507"/>
      <c r="S505" s="507"/>
      <c r="T505" s="507"/>
      <c r="U505" s="507"/>
      <c r="V505" s="507"/>
      <c r="W505" s="507"/>
      <c r="X505" s="507"/>
      <c r="Y505" s="507"/>
      <c r="Z505" s="507"/>
    </row>
    <row r="506">
      <c r="A506" s="507"/>
      <c r="B506" s="572"/>
      <c r="C506" s="572"/>
      <c r="D506" s="572"/>
      <c r="E506" s="572"/>
      <c r="F506" s="572"/>
      <c r="G506" s="572"/>
      <c r="H506" s="572"/>
      <c r="I506" s="572"/>
      <c r="J506" s="507"/>
      <c r="K506" s="507"/>
      <c r="L506" s="507"/>
      <c r="M506" s="507"/>
      <c r="N506" s="507"/>
      <c r="O506" s="507"/>
      <c r="P506" s="507"/>
      <c r="Q506" s="507"/>
      <c r="R506" s="507"/>
      <c r="S506" s="507"/>
      <c r="T506" s="507"/>
      <c r="U506" s="507"/>
      <c r="V506" s="507"/>
      <c r="W506" s="507"/>
      <c r="X506" s="507"/>
      <c r="Y506" s="507"/>
      <c r="Z506" s="507"/>
    </row>
    <row r="507">
      <c r="A507" s="507"/>
      <c r="B507" s="572"/>
      <c r="C507" s="572"/>
      <c r="D507" s="572"/>
      <c r="E507" s="572"/>
      <c r="F507" s="572"/>
      <c r="G507" s="572"/>
      <c r="H507" s="572"/>
      <c r="I507" s="572"/>
      <c r="J507" s="507"/>
      <c r="K507" s="507"/>
      <c r="L507" s="507"/>
      <c r="M507" s="507"/>
      <c r="N507" s="507"/>
      <c r="O507" s="507"/>
      <c r="P507" s="507"/>
      <c r="Q507" s="507"/>
      <c r="R507" s="507"/>
      <c r="S507" s="507"/>
      <c r="T507" s="507"/>
      <c r="U507" s="507"/>
      <c r="V507" s="507"/>
      <c r="W507" s="507"/>
      <c r="X507" s="507"/>
      <c r="Y507" s="507"/>
      <c r="Z507" s="507"/>
    </row>
    <row r="508">
      <c r="A508" s="507"/>
      <c r="B508" s="572"/>
      <c r="C508" s="572"/>
      <c r="D508" s="572"/>
      <c r="E508" s="572"/>
      <c r="F508" s="572"/>
      <c r="G508" s="572"/>
      <c r="H508" s="572"/>
      <c r="I508" s="572"/>
      <c r="J508" s="507"/>
      <c r="K508" s="507"/>
      <c r="L508" s="507"/>
      <c r="M508" s="507"/>
      <c r="N508" s="507"/>
      <c r="O508" s="507"/>
      <c r="P508" s="507"/>
      <c r="Q508" s="507"/>
      <c r="R508" s="507"/>
      <c r="S508" s="507"/>
      <c r="T508" s="507"/>
      <c r="U508" s="507"/>
      <c r="V508" s="507"/>
      <c r="W508" s="507"/>
      <c r="X508" s="507"/>
      <c r="Y508" s="507"/>
      <c r="Z508" s="507"/>
    </row>
    <row r="509">
      <c r="A509" s="507"/>
      <c r="B509" s="572"/>
      <c r="C509" s="572"/>
      <c r="D509" s="572"/>
      <c r="E509" s="572"/>
      <c r="F509" s="572"/>
      <c r="G509" s="572"/>
      <c r="H509" s="572"/>
      <c r="I509" s="572"/>
      <c r="J509" s="507"/>
      <c r="K509" s="507"/>
      <c r="L509" s="507"/>
      <c r="M509" s="507"/>
      <c r="N509" s="507"/>
      <c r="O509" s="507"/>
      <c r="P509" s="507"/>
      <c r="Q509" s="507"/>
      <c r="R509" s="507"/>
      <c r="S509" s="507"/>
      <c r="T509" s="507"/>
      <c r="U509" s="507"/>
      <c r="V509" s="507"/>
      <c r="W509" s="507"/>
      <c r="X509" s="507"/>
      <c r="Y509" s="507"/>
      <c r="Z509" s="507"/>
    </row>
    <row r="510">
      <c r="A510" s="507"/>
      <c r="B510" s="572"/>
      <c r="C510" s="572"/>
      <c r="D510" s="572"/>
      <c r="E510" s="572"/>
      <c r="F510" s="572"/>
      <c r="G510" s="572"/>
      <c r="H510" s="572"/>
      <c r="I510" s="572"/>
      <c r="J510" s="507"/>
      <c r="K510" s="507"/>
      <c r="L510" s="507"/>
      <c r="M510" s="507"/>
      <c r="N510" s="507"/>
      <c r="O510" s="507"/>
      <c r="P510" s="507"/>
      <c r="Q510" s="507"/>
      <c r="R510" s="507"/>
      <c r="S510" s="507"/>
      <c r="T510" s="507"/>
      <c r="U510" s="507"/>
      <c r="V510" s="507"/>
      <c r="W510" s="507"/>
      <c r="X510" s="507"/>
      <c r="Y510" s="507"/>
      <c r="Z510" s="507"/>
    </row>
    <row r="511">
      <c r="A511" s="507"/>
      <c r="B511" s="572"/>
      <c r="C511" s="572"/>
      <c r="D511" s="572"/>
      <c r="E511" s="572"/>
      <c r="F511" s="572"/>
      <c r="G511" s="572"/>
      <c r="H511" s="572"/>
      <c r="I511" s="572"/>
      <c r="J511" s="507"/>
      <c r="K511" s="507"/>
      <c r="L511" s="507"/>
      <c r="M511" s="507"/>
      <c r="N511" s="507"/>
      <c r="O511" s="507"/>
      <c r="P511" s="507"/>
      <c r="Q511" s="507"/>
      <c r="R511" s="507"/>
      <c r="S511" s="507"/>
      <c r="T511" s="507"/>
      <c r="U511" s="507"/>
      <c r="V511" s="507"/>
      <c r="W511" s="507"/>
      <c r="X511" s="507"/>
      <c r="Y511" s="507"/>
      <c r="Z511" s="507"/>
    </row>
    <row r="512">
      <c r="A512" s="507"/>
      <c r="B512" s="572"/>
      <c r="C512" s="572"/>
      <c r="D512" s="572"/>
      <c r="E512" s="572"/>
      <c r="F512" s="572"/>
      <c r="G512" s="572"/>
      <c r="H512" s="572"/>
      <c r="I512" s="572"/>
      <c r="J512" s="507"/>
      <c r="K512" s="507"/>
      <c r="L512" s="507"/>
      <c r="M512" s="507"/>
      <c r="N512" s="507"/>
      <c r="O512" s="507"/>
      <c r="P512" s="507"/>
      <c r="Q512" s="507"/>
      <c r="R512" s="507"/>
      <c r="S512" s="507"/>
      <c r="T512" s="507"/>
      <c r="U512" s="507"/>
      <c r="V512" s="507"/>
      <c r="W512" s="507"/>
      <c r="X512" s="507"/>
      <c r="Y512" s="507"/>
      <c r="Z512" s="507"/>
    </row>
    <row r="513">
      <c r="A513" s="507"/>
      <c r="B513" s="572"/>
      <c r="C513" s="572"/>
      <c r="D513" s="572"/>
      <c r="E513" s="572"/>
      <c r="F513" s="572"/>
      <c r="G513" s="572"/>
      <c r="H513" s="572"/>
      <c r="I513" s="572"/>
      <c r="J513" s="507"/>
      <c r="K513" s="507"/>
      <c r="L513" s="507"/>
      <c r="M513" s="507"/>
      <c r="N513" s="507"/>
      <c r="O513" s="507"/>
      <c r="P513" s="507"/>
      <c r="Q513" s="507"/>
      <c r="R513" s="507"/>
      <c r="S513" s="507"/>
      <c r="T513" s="507"/>
      <c r="U513" s="507"/>
      <c r="V513" s="507"/>
      <c r="W513" s="507"/>
      <c r="X513" s="507"/>
      <c r="Y513" s="507"/>
      <c r="Z513" s="507"/>
    </row>
    <row r="514">
      <c r="A514" s="507"/>
      <c r="B514" s="572"/>
      <c r="C514" s="572"/>
      <c r="D514" s="572"/>
      <c r="E514" s="572"/>
      <c r="F514" s="572"/>
      <c r="G514" s="572"/>
      <c r="H514" s="572"/>
      <c r="I514" s="572"/>
      <c r="J514" s="507"/>
      <c r="K514" s="507"/>
      <c r="L514" s="507"/>
      <c r="M514" s="507"/>
      <c r="N514" s="507"/>
      <c r="O514" s="507"/>
      <c r="P514" s="507"/>
      <c r="Q514" s="507"/>
      <c r="R514" s="507"/>
      <c r="S514" s="507"/>
      <c r="T514" s="507"/>
      <c r="U514" s="507"/>
      <c r="V514" s="507"/>
      <c r="W514" s="507"/>
      <c r="X514" s="507"/>
      <c r="Y514" s="507"/>
      <c r="Z514" s="507"/>
    </row>
    <row r="515">
      <c r="A515" s="507"/>
      <c r="B515" s="572"/>
      <c r="C515" s="572"/>
      <c r="D515" s="572"/>
      <c r="E515" s="572"/>
      <c r="F515" s="572"/>
      <c r="G515" s="572"/>
      <c r="H515" s="572"/>
      <c r="I515" s="572"/>
      <c r="J515" s="507"/>
      <c r="K515" s="507"/>
      <c r="L515" s="507"/>
      <c r="M515" s="507"/>
      <c r="N515" s="507"/>
      <c r="O515" s="507"/>
      <c r="P515" s="507"/>
      <c r="Q515" s="507"/>
      <c r="R515" s="507"/>
      <c r="S515" s="507"/>
      <c r="T515" s="507"/>
      <c r="U515" s="507"/>
      <c r="V515" s="507"/>
      <c r="W515" s="507"/>
      <c r="X515" s="507"/>
      <c r="Y515" s="507"/>
      <c r="Z515" s="507"/>
    </row>
    <row r="516">
      <c r="A516" s="507"/>
      <c r="B516" s="572"/>
      <c r="C516" s="572"/>
      <c r="D516" s="572"/>
      <c r="E516" s="572"/>
      <c r="F516" s="572"/>
      <c r="G516" s="572"/>
      <c r="H516" s="572"/>
      <c r="I516" s="572"/>
      <c r="J516" s="507"/>
      <c r="K516" s="507"/>
      <c r="L516" s="507"/>
      <c r="M516" s="507"/>
      <c r="N516" s="507"/>
      <c r="O516" s="507"/>
      <c r="P516" s="507"/>
      <c r="Q516" s="507"/>
      <c r="R516" s="507"/>
      <c r="S516" s="507"/>
      <c r="T516" s="507"/>
      <c r="U516" s="507"/>
      <c r="V516" s="507"/>
      <c r="W516" s="507"/>
      <c r="X516" s="507"/>
      <c r="Y516" s="507"/>
      <c r="Z516" s="507"/>
    </row>
    <row r="517">
      <c r="A517" s="507"/>
      <c r="B517" s="572"/>
      <c r="C517" s="572"/>
      <c r="D517" s="572"/>
      <c r="E517" s="572"/>
      <c r="F517" s="572"/>
      <c r="G517" s="572"/>
      <c r="H517" s="572"/>
      <c r="I517" s="572"/>
      <c r="J517" s="507"/>
      <c r="K517" s="507"/>
      <c r="L517" s="507"/>
      <c r="M517" s="507"/>
      <c r="N517" s="507"/>
      <c r="O517" s="507"/>
      <c r="P517" s="507"/>
      <c r="Q517" s="507"/>
      <c r="R517" s="507"/>
      <c r="S517" s="507"/>
      <c r="T517" s="507"/>
      <c r="U517" s="507"/>
      <c r="V517" s="507"/>
      <c r="W517" s="507"/>
      <c r="X517" s="507"/>
      <c r="Y517" s="507"/>
      <c r="Z517" s="507"/>
    </row>
    <row r="518">
      <c r="A518" s="507"/>
      <c r="B518" s="572"/>
      <c r="C518" s="572"/>
      <c r="D518" s="572"/>
      <c r="E518" s="572"/>
      <c r="F518" s="572"/>
      <c r="G518" s="572"/>
      <c r="H518" s="572"/>
      <c r="I518" s="572"/>
      <c r="J518" s="507"/>
      <c r="K518" s="507"/>
      <c r="L518" s="507"/>
      <c r="M518" s="507"/>
      <c r="N518" s="507"/>
      <c r="O518" s="507"/>
      <c r="P518" s="507"/>
      <c r="Q518" s="507"/>
      <c r="R518" s="507"/>
      <c r="S518" s="507"/>
      <c r="T518" s="507"/>
      <c r="U518" s="507"/>
      <c r="V518" s="507"/>
      <c r="W518" s="507"/>
      <c r="X518" s="507"/>
      <c r="Y518" s="507"/>
      <c r="Z518" s="507"/>
    </row>
    <row r="519">
      <c r="A519" s="507"/>
      <c r="B519" s="572"/>
      <c r="C519" s="572"/>
      <c r="D519" s="572"/>
      <c r="E519" s="572"/>
      <c r="F519" s="572"/>
      <c r="G519" s="572"/>
      <c r="H519" s="572"/>
      <c r="I519" s="572"/>
      <c r="J519" s="507"/>
      <c r="K519" s="507"/>
      <c r="L519" s="507"/>
      <c r="M519" s="507"/>
      <c r="N519" s="507"/>
      <c r="O519" s="507"/>
      <c r="P519" s="507"/>
      <c r="Q519" s="507"/>
      <c r="R519" s="507"/>
      <c r="S519" s="507"/>
      <c r="T519" s="507"/>
      <c r="U519" s="507"/>
      <c r="V519" s="507"/>
      <c r="W519" s="507"/>
      <c r="X519" s="507"/>
      <c r="Y519" s="507"/>
      <c r="Z519" s="507"/>
    </row>
    <row r="520">
      <c r="A520" s="507"/>
      <c r="B520" s="572"/>
      <c r="C520" s="572"/>
      <c r="D520" s="572"/>
      <c r="E520" s="572"/>
      <c r="F520" s="572"/>
      <c r="G520" s="572"/>
      <c r="H520" s="572"/>
      <c r="I520" s="572"/>
      <c r="J520" s="507"/>
      <c r="K520" s="507"/>
      <c r="L520" s="507"/>
      <c r="M520" s="507"/>
      <c r="N520" s="507"/>
      <c r="O520" s="507"/>
      <c r="P520" s="507"/>
      <c r="Q520" s="507"/>
      <c r="R520" s="507"/>
      <c r="S520" s="507"/>
      <c r="T520" s="507"/>
      <c r="U520" s="507"/>
      <c r="V520" s="507"/>
      <c r="W520" s="507"/>
      <c r="X520" s="507"/>
      <c r="Y520" s="507"/>
      <c r="Z520" s="507"/>
    </row>
    <row r="521">
      <c r="A521" s="507"/>
      <c r="B521" s="572"/>
      <c r="C521" s="572"/>
      <c r="D521" s="572"/>
      <c r="E521" s="572"/>
      <c r="F521" s="572"/>
      <c r="G521" s="572"/>
      <c r="H521" s="572"/>
      <c r="I521" s="572"/>
      <c r="J521" s="507"/>
      <c r="K521" s="507"/>
      <c r="L521" s="507"/>
      <c r="M521" s="507"/>
      <c r="N521" s="507"/>
      <c r="O521" s="507"/>
      <c r="P521" s="507"/>
      <c r="Q521" s="507"/>
      <c r="R521" s="507"/>
      <c r="S521" s="507"/>
      <c r="T521" s="507"/>
      <c r="U521" s="507"/>
      <c r="V521" s="507"/>
      <c r="W521" s="507"/>
      <c r="X521" s="507"/>
      <c r="Y521" s="507"/>
      <c r="Z521" s="507"/>
    </row>
    <row r="522">
      <c r="A522" s="507"/>
      <c r="B522" s="572"/>
      <c r="C522" s="572"/>
      <c r="D522" s="572"/>
      <c r="E522" s="572"/>
      <c r="F522" s="572"/>
      <c r="G522" s="572"/>
      <c r="H522" s="572"/>
      <c r="I522" s="572"/>
      <c r="J522" s="507"/>
      <c r="K522" s="507"/>
      <c r="L522" s="507"/>
      <c r="M522" s="507"/>
      <c r="N522" s="507"/>
      <c r="O522" s="507"/>
      <c r="P522" s="507"/>
      <c r="Q522" s="507"/>
      <c r="R522" s="507"/>
      <c r="S522" s="507"/>
      <c r="T522" s="507"/>
      <c r="U522" s="507"/>
      <c r="V522" s="507"/>
      <c r="W522" s="507"/>
      <c r="X522" s="507"/>
      <c r="Y522" s="507"/>
      <c r="Z522" s="507"/>
    </row>
    <row r="523">
      <c r="A523" s="507"/>
      <c r="B523" s="572"/>
      <c r="C523" s="572"/>
      <c r="D523" s="572"/>
      <c r="E523" s="572"/>
      <c r="F523" s="572"/>
      <c r="G523" s="572"/>
      <c r="H523" s="572"/>
      <c r="I523" s="572"/>
      <c r="J523" s="507"/>
      <c r="K523" s="507"/>
      <c r="L523" s="507"/>
      <c r="M523" s="507"/>
      <c r="N523" s="507"/>
      <c r="O523" s="507"/>
      <c r="P523" s="507"/>
      <c r="Q523" s="507"/>
      <c r="R523" s="507"/>
      <c r="S523" s="507"/>
      <c r="T523" s="507"/>
      <c r="U523" s="507"/>
      <c r="V523" s="507"/>
      <c r="W523" s="507"/>
      <c r="X523" s="507"/>
      <c r="Y523" s="507"/>
      <c r="Z523" s="507"/>
    </row>
    <row r="524">
      <c r="A524" s="507"/>
      <c r="B524" s="572"/>
      <c r="C524" s="572"/>
      <c r="D524" s="572"/>
      <c r="E524" s="572"/>
      <c r="F524" s="572"/>
      <c r="G524" s="572"/>
      <c r="H524" s="572"/>
      <c r="I524" s="572"/>
      <c r="J524" s="507"/>
      <c r="K524" s="507"/>
      <c r="L524" s="507"/>
      <c r="M524" s="507"/>
      <c r="N524" s="507"/>
      <c r="O524" s="507"/>
      <c r="P524" s="507"/>
      <c r="Q524" s="507"/>
      <c r="R524" s="507"/>
      <c r="S524" s="507"/>
      <c r="T524" s="507"/>
      <c r="U524" s="507"/>
      <c r="V524" s="507"/>
      <c r="W524" s="507"/>
      <c r="X524" s="507"/>
      <c r="Y524" s="507"/>
      <c r="Z524" s="507"/>
    </row>
    <row r="525">
      <c r="A525" s="507"/>
      <c r="B525" s="572"/>
      <c r="C525" s="572"/>
      <c r="D525" s="572"/>
      <c r="E525" s="572"/>
      <c r="F525" s="572"/>
      <c r="G525" s="572"/>
      <c r="H525" s="572"/>
      <c r="I525" s="572"/>
      <c r="J525" s="507"/>
      <c r="K525" s="507"/>
      <c r="L525" s="507"/>
      <c r="M525" s="507"/>
      <c r="N525" s="507"/>
      <c r="O525" s="507"/>
      <c r="P525" s="507"/>
      <c r="Q525" s="507"/>
      <c r="R525" s="507"/>
      <c r="S525" s="507"/>
      <c r="T525" s="507"/>
      <c r="U525" s="507"/>
      <c r="V525" s="507"/>
      <c r="W525" s="507"/>
      <c r="X525" s="507"/>
      <c r="Y525" s="507"/>
      <c r="Z525" s="507"/>
    </row>
    <row r="526">
      <c r="A526" s="507"/>
      <c r="B526" s="572"/>
      <c r="C526" s="572"/>
      <c r="D526" s="572"/>
      <c r="E526" s="572"/>
      <c r="F526" s="572"/>
      <c r="G526" s="572"/>
      <c r="H526" s="572"/>
      <c r="I526" s="572"/>
      <c r="J526" s="507"/>
      <c r="K526" s="507"/>
      <c r="L526" s="507"/>
      <c r="M526" s="507"/>
      <c r="N526" s="507"/>
      <c r="O526" s="507"/>
      <c r="P526" s="507"/>
      <c r="Q526" s="507"/>
      <c r="R526" s="507"/>
      <c r="S526" s="507"/>
      <c r="T526" s="507"/>
      <c r="U526" s="507"/>
      <c r="V526" s="507"/>
      <c r="W526" s="507"/>
      <c r="X526" s="507"/>
      <c r="Y526" s="507"/>
      <c r="Z526" s="507"/>
    </row>
    <row r="527">
      <c r="A527" s="507"/>
      <c r="B527" s="572"/>
      <c r="C527" s="572"/>
      <c r="D527" s="572"/>
      <c r="E527" s="572"/>
      <c r="F527" s="572"/>
      <c r="G527" s="572"/>
      <c r="H527" s="572"/>
      <c r="I527" s="572"/>
      <c r="J527" s="507"/>
      <c r="K527" s="507"/>
      <c r="L527" s="507"/>
      <c r="M527" s="507"/>
      <c r="N527" s="507"/>
      <c r="O527" s="507"/>
      <c r="P527" s="507"/>
      <c r="Q527" s="507"/>
      <c r="R527" s="507"/>
      <c r="S527" s="507"/>
      <c r="T527" s="507"/>
      <c r="U527" s="507"/>
      <c r="V527" s="507"/>
      <c r="W527" s="507"/>
      <c r="X527" s="507"/>
      <c r="Y527" s="507"/>
      <c r="Z527" s="507"/>
    </row>
    <row r="528">
      <c r="A528" s="507"/>
      <c r="B528" s="572"/>
      <c r="C528" s="572"/>
      <c r="D528" s="572"/>
      <c r="E528" s="572"/>
      <c r="F528" s="572"/>
      <c r="G528" s="572"/>
      <c r="H528" s="572"/>
      <c r="I528" s="572"/>
      <c r="J528" s="507"/>
      <c r="K528" s="507"/>
      <c r="L528" s="507"/>
      <c r="M528" s="507"/>
      <c r="N528" s="507"/>
      <c r="O528" s="507"/>
      <c r="P528" s="507"/>
      <c r="Q528" s="507"/>
      <c r="R528" s="507"/>
      <c r="S528" s="507"/>
      <c r="T528" s="507"/>
      <c r="U528" s="507"/>
      <c r="V528" s="507"/>
      <c r="W528" s="507"/>
      <c r="X528" s="507"/>
      <c r="Y528" s="507"/>
      <c r="Z528" s="507"/>
    </row>
    <row r="529">
      <c r="A529" s="507"/>
      <c r="B529" s="572"/>
      <c r="C529" s="572"/>
      <c r="D529" s="572"/>
      <c r="E529" s="572"/>
      <c r="F529" s="572"/>
      <c r="G529" s="572"/>
      <c r="H529" s="572"/>
      <c r="I529" s="572"/>
      <c r="J529" s="507"/>
      <c r="K529" s="507"/>
      <c r="L529" s="507"/>
      <c r="M529" s="507"/>
      <c r="N529" s="507"/>
      <c r="O529" s="507"/>
      <c r="P529" s="507"/>
      <c r="Q529" s="507"/>
      <c r="R529" s="507"/>
      <c r="S529" s="507"/>
      <c r="T529" s="507"/>
      <c r="U529" s="507"/>
      <c r="V529" s="507"/>
      <c r="W529" s="507"/>
      <c r="X529" s="507"/>
      <c r="Y529" s="507"/>
      <c r="Z529" s="507"/>
    </row>
    <row r="530">
      <c r="A530" s="507"/>
      <c r="B530" s="572"/>
      <c r="C530" s="572"/>
      <c r="D530" s="572"/>
      <c r="E530" s="572"/>
      <c r="F530" s="572"/>
      <c r="G530" s="572"/>
      <c r="H530" s="572"/>
      <c r="I530" s="572"/>
      <c r="J530" s="507"/>
      <c r="K530" s="507"/>
      <c r="L530" s="507"/>
      <c r="M530" s="507"/>
      <c r="N530" s="507"/>
      <c r="O530" s="507"/>
      <c r="P530" s="507"/>
      <c r="Q530" s="507"/>
      <c r="R530" s="507"/>
      <c r="S530" s="507"/>
      <c r="T530" s="507"/>
      <c r="U530" s="507"/>
      <c r="V530" s="507"/>
      <c r="W530" s="507"/>
      <c r="X530" s="507"/>
      <c r="Y530" s="507"/>
      <c r="Z530" s="507"/>
    </row>
    <row r="531">
      <c r="A531" s="507"/>
      <c r="B531" s="572"/>
      <c r="C531" s="572"/>
      <c r="D531" s="572"/>
      <c r="E531" s="572"/>
      <c r="F531" s="572"/>
      <c r="G531" s="572"/>
      <c r="H531" s="572"/>
      <c r="I531" s="572"/>
      <c r="J531" s="507"/>
      <c r="K531" s="507"/>
      <c r="L531" s="507"/>
      <c r="M531" s="507"/>
      <c r="N531" s="507"/>
      <c r="O531" s="507"/>
      <c r="P531" s="507"/>
      <c r="Q531" s="507"/>
      <c r="R531" s="507"/>
      <c r="S531" s="507"/>
      <c r="T531" s="507"/>
      <c r="U531" s="507"/>
      <c r="V531" s="507"/>
      <c r="W531" s="507"/>
      <c r="X531" s="507"/>
      <c r="Y531" s="507"/>
      <c r="Z531" s="507"/>
    </row>
    <row r="532">
      <c r="A532" s="507"/>
      <c r="B532" s="572"/>
      <c r="C532" s="572"/>
      <c r="D532" s="572"/>
      <c r="E532" s="572"/>
      <c r="F532" s="572"/>
      <c r="G532" s="572"/>
      <c r="H532" s="572"/>
      <c r="I532" s="572"/>
      <c r="J532" s="507"/>
      <c r="K532" s="507"/>
      <c r="L532" s="507"/>
      <c r="M532" s="507"/>
      <c r="N532" s="507"/>
      <c r="O532" s="507"/>
      <c r="P532" s="507"/>
      <c r="Q532" s="507"/>
      <c r="R532" s="507"/>
      <c r="S532" s="507"/>
      <c r="T532" s="507"/>
      <c r="U532" s="507"/>
      <c r="V532" s="507"/>
      <c r="W532" s="507"/>
      <c r="X532" s="507"/>
      <c r="Y532" s="507"/>
      <c r="Z532" s="507"/>
    </row>
    <row r="533">
      <c r="A533" s="507"/>
      <c r="B533" s="572"/>
      <c r="C533" s="572"/>
      <c r="D533" s="572"/>
      <c r="E533" s="572"/>
      <c r="F533" s="572"/>
      <c r="G533" s="572"/>
      <c r="H533" s="572"/>
      <c r="I533" s="572"/>
      <c r="J533" s="507"/>
      <c r="K533" s="507"/>
      <c r="L533" s="507"/>
      <c r="M533" s="507"/>
      <c r="N533" s="507"/>
      <c r="O533" s="507"/>
      <c r="P533" s="507"/>
      <c r="Q533" s="507"/>
      <c r="R533" s="507"/>
      <c r="S533" s="507"/>
      <c r="T533" s="507"/>
      <c r="U533" s="507"/>
      <c r="V533" s="507"/>
      <c r="W533" s="507"/>
      <c r="X533" s="507"/>
      <c r="Y533" s="507"/>
      <c r="Z533" s="507"/>
    </row>
    <row r="534">
      <c r="A534" s="507"/>
      <c r="B534" s="572"/>
      <c r="C534" s="572"/>
      <c r="D534" s="572"/>
      <c r="E534" s="572"/>
      <c r="F534" s="572"/>
      <c r="G534" s="572"/>
      <c r="H534" s="572"/>
      <c r="I534" s="572"/>
      <c r="J534" s="507"/>
      <c r="K534" s="507"/>
      <c r="L534" s="507"/>
      <c r="M534" s="507"/>
      <c r="N534" s="507"/>
      <c r="O534" s="507"/>
      <c r="P534" s="507"/>
      <c r="Q534" s="507"/>
      <c r="R534" s="507"/>
      <c r="S534" s="507"/>
      <c r="T534" s="507"/>
      <c r="U534" s="507"/>
      <c r="V534" s="507"/>
      <c r="W534" s="507"/>
      <c r="X534" s="507"/>
      <c r="Y534" s="507"/>
      <c r="Z534" s="507"/>
    </row>
    <row r="535">
      <c r="A535" s="507"/>
      <c r="B535" s="572"/>
      <c r="C535" s="572"/>
      <c r="D535" s="572"/>
      <c r="E535" s="572"/>
      <c r="F535" s="572"/>
      <c r="G535" s="572"/>
      <c r="H535" s="572"/>
      <c r="I535" s="572"/>
      <c r="J535" s="507"/>
      <c r="K535" s="507"/>
      <c r="L535" s="507"/>
      <c r="M535" s="507"/>
      <c r="N535" s="507"/>
      <c r="O535" s="507"/>
      <c r="P535" s="507"/>
      <c r="Q535" s="507"/>
      <c r="R535" s="507"/>
      <c r="S535" s="507"/>
      <c r="T535" s="507"/>
      <c r="U535" s="507"/>
      <c r="V535" s="507"/>
      <c r="W535" s="507"/>
      <c r="X535" s="507"/>
      <c r="Y535" s="507"/>
      <c r="Z535" s="507"/>
    </row>
    <row r="536">
      <c r="A536" s="507"/>
      <c r="B536" s="572"/>
      <c r="C536" s="572"/>
      <c r="D536" s="572"/>
      <c r="E536" s="572"/>
      <c r="F536" s="572"/>
      <c r="G536" s="572"/>
      <c r="H536" s="572"/>
      <c r="I536" s="572"/>
      <c r="J536" s="507"/>
      <c r="K536" s="507"/>
      <c r="L536" s="507"/>
      <c r="M536" s="507"/>
      <c r="N536" s="507"/>
      <c r="O536" s="507"/>
      <c r="P536" s="507"/>
      <c r="Q536" s="507"/>
      <c r="R536" s="507"/>
      <c r="S536" s="507"/>
      <c r="T536" s="507"/>
      <c r="U536" s="507"/>
      <c r="V536" s="507"/>
      <c r="W536" s="507"/>
      <c r="X536" s="507"/>
      <c r="Y536" s="507"/>
      <c r="Z536" s="507"/>
    </row>
    <row r="537">
      <c r="A537" s="507"/>
      <c r="B537" s="572"/>
      <c r="C537" s="572"/>
      <c r="D537" s="572"/>
      <c r="E537" s="572"/>
      <c r="F537" s="572"/>
      <c r="G537" s="572"/>
      <c r="H537" s="572"/>
      <c r="I537" s="572"/>
      <c r="J537" s="507"/>
      <c r="K537" s="507"/>
      <c r="L537" s="507"/>
      <c r="M537" s="507"/>
      <c r="N537" s="507"/>
      <c r="O537" s="507"/>
      <c r="P537" s="507"/>
      <c r="Q537" s="507"/>
      <c r="R537" s="507"/>
      <c r="S537" s="507"/>
      <c r="T537" s="507"/>
      <c r="U537" s="507"/>
      <c r="V537" s="507"/>
      <c r="W537" s="507"/>
      <c r="X537" s="507"/>
      <c r="Y537" s="507"/>
      <c r="Z537" s="507"/>
    </row>
    <row r="538">
      <c r="A538" s="507"/>
      <c r="B538" s="572"/>
      <c r="C538" s="572"/>
      <c r="D538" s="572"/>
      <c r="E538" s="572"/>
      <c r="F538" s="572"/>
      <c r="G538" s="572"/>
      <c r="H538" s="572"/>
      <c r="I538" s="572"/>
      <c r="J538" s="507"/>
      <c r="K538" s="507"/>
      <c r="L538" s="507"/>
      <c r="M538" s="507"/>
      <c r="N538" s="507"/>
      <c r="O538" s="507"/>
      <c r="P538" s="507"/>
      <c r="Q538" s="507"/>
      <c r="R538" s="507"/>
      <c r="S538" s="507"/>
      <c r="T538" s="507"/>
      <c r="U538" s="507"/>
      <c r="V538" s="507"/>
      <c r="W538" s="507"/>
      <c r="X538" s="507"/>
      <c r="Y538" s="507"/>
      <c r="Z538" s="507"/>
    </row>
    <row r="539">
      <c r="A539" s="507"/>
      <c r="B539" s="572"/>
      <c r="C539" s="572"/>
      <c r="D539" s="572"/>
      <c r="E539" s="572"/>
      <c r="F539" s="572"/>
      <c r="G539" s="572"/>
      <c r="H539" s="572"/>
      <c r="I539" s="572"/>
      <c r="J539" s="507"/>
      <c r="K539" s="507"/>
      <c r="L539" s="507"/>
      <c r="M539" s="507"/>
      <c r="N539" s="507"/>
      <c r="O539" s="507"/>
      <c r="P539" s="507"/>
      <c r="Q539" s="507"/>
      <c r="R539" s="507"/>
      <c r="S539" s="507"/>
      <c r="T539" s="507"/>
      <c r="U539" s="507"/>
      <c r="V539" s="507"/>
      <c r="W539" s="507"/>
      <c r="X539" s="507"/>
      <c r="Y539" s="507"/>
      <c r="Z539" s="507"/>
    </row>
    <row r="540">
      <c r="A540" s="507"/>
      <c r="B540" s="572"/>
      <c r="C540" s="572"/>
      <c r="D540" s="572"/>
      <c r="E540" s="572"/>
      <c r="F540" s="572"/>
      <c r="G540" s="572"/>
      <c r="H540" s="572"/>
      <c r="I540" s="572"/>
      <c r="J540" s="507"/>
      <c r="K540" s="507"/>
      <c r="L540" s="507"/>
      <c r="M540" s="507"/>
      <c r="N540" s="507"/>
      <c r="O540" s="507"/>
      <c r="P540" s="507"/>
      <c r="Q540" s="507"/>
      <c r="R540" s="507"/>
      <c r="S540" s="507"/>
      <c r="T540" s="507"/>
      <c r="U540" s="507"/>
      <c r="V540" s="507"/>
      <c r="W540" s="507"/>
      <c r="X540" s="507"/>
      <c r="Y540" s="507"/>
      <c r="Z540" s="507"/>
    </row>
    <row r="541">
      <c r="A541" s="507"/>
      <c r="B541" s="572"/>
      <c r="C541" s="572"/>
      <c r="D541" s="572"/>
      <c r="E541" s="572"/>
      <c r="F541" s="572"/>
      <c r="G541" s="572"/>
      <c r="H541" s="572"/>
      <c r="I541" s="572"/>
      <c r="J541" s="507"/>
      <c r="K541" s="507"/>
      <c r="L541" s="507"/>
      <c r="M541" s="507"/>
      <c r="N541" s="507"/>
      <c r="O541" s="507"/>
      <c r="P541" s="507"/>
      <c r="Q541" s="507"/>
      <c r="R541" s="507"/>
      <c r="S541" s="507"/>
      <c r="T541" s="507"/>
      <c r="U541" s="507"/>
      <c r="V541" s="507"/>
      <c r="W541" s="507"/>
      <c r="X541" s="507"/>
      <c r="Y541" s="507"/>
      <c r="Z541" s="507"/>
    </row>
    <row r="542">
      <c r="A542" s="507"/>
      <c r="B542" s="572"/>
      <c r="C542" s="572"/>
      <c r="D542" s="572"/>
      <c r="E542" s="572"/>
      <c r="F542" s="572"/>
      <c r="G542" s="572"/>
      <c r="H542" s="572"/>
      <c r="I542" s="572"/>
      <c r="J542" s="507"/>
      <c r="K542" s="507"/>
      <c r="L542" s="507"/>
      <c r="M542" s="507"/>
      <c r="N542" s="507"/>
      <c r="O542" s="507"/>
      <c r="P542" s="507"/>
      <c r="Q542" s="507"/>
      <c r="R542" s="507"/>
      <c r="S542" s="507"/>
      <c r="T542" s="507"/>
      <c r="U542" s="507"/>
      <c r="V542" s="507"/>
      <c r="W542" s="507"/>
      <c r="X542" s="507"/>
      <c r="Y542" s="507"/>
      <c r="Z542" s="507"/>
    </row>
    <row r="543">
      <c r="A543" s="507"/>
      <c r="B543" s="572"/>
      <c r="C543" s="572"/>
      <c r="D543" s="572"/>
      <c r="E543" s="572"/>
      <c r="F543" s="572"/>
      <c r="G543" s="572"/>
      <c r="H543" s="572"/>
      <c r="I543" s="572"/>
      <c r="J543" s="507"/>
      <c r="K543" s="507"/>
      <c r="L543" s="507"/>
      <c r="M543" s="507"/>
      <c r="N543" s="507"/>
      <c r="O543" s="507"/>
      <c r="P543" s="507"/>
      <c r="Q543" s="507"/>
      <c r="R543" s="507"/>
      <c r="S543" s="507"/>
      <c r="T543" s="507"/>
      <c r="U543" s="507"/>
      <c r="V543" s="507"/>
      <c r="W543" s="507"/>
      <c r="X543" s="507"/>
      <c r="Y543" s="507"/>
      <c r="Z543" s="507"/>
    </row>
    <row r="544">
      <c r="A544" s="507"/>
      <c r="B544" s="572"/>
      <c r="C544" s="572"/>
      <c r="D544" s="572"/>
      <c r="E544" s="572"/>
      <c r="F544" s="572"/>
      <c r="G544" s="572"/>
      <c r="H544" s="572"/>
      <c r="I544" s="572"/>
      <c r="J544" s="507"/>
      <c r="K544" s="507"/>
      <c r="L544" s="507"/>
      <c r="M544" s="507"/>
      <c r="N544" s="507"/>
      <c r="O544" s="507"/>
      <c r="P544" s="507"/>
      <c r="Q544" s="507"/>
      <c r="R544" s="507"/>
      <c r="S544" s="507"/>
      <c r="T544" s="507"/>
      <c r="U544" s="507"/>
      <c r="V544" s="507"/>
      <c r="W544" s="507"/>
      <c r="X544" s="507"/>
      <c r="Y544" s="507"/>
      <c r="Z544" s="507"/>
    </row>
    <row r="545">
      <c r="A545" s="507"/>
      <c r="B545" s="572"/>
      <c r="C545" s="572"/>
      <c r="D545" s="572"/>
      <c r="E545" s="572"/>
      <c r="F545" s="572"/>
      <c r="G545" s="572"/>
      <c r="H545" s="572"/>
      <c r="I545" s="572"/>
      <c r="J545" s="507"/>
      <c r="K545" s="507"/>
      <c r="L545" s="507"/>
      <c r="M545" s="507"/>
      <c r="N545" s="507"/>
      <c r="O545" s="507"/>
      <c r="P545" s="507"/>
      <c r="Q545" s="507"/>
      <c r="R545" s="507"/>
      <c r="S545" s="507"/>
      <c r="T545" s="507"/>
      <c r="U545" s="507"/>
      <c r="V545" s="507"/>
      <c r="W545" s="507"/>
      <c r="X545" s="507"/>
      <c r="Y545" s="507"/>
      <c r="Z545" s="507"/>
    </row>
    <row r="546">
      <c r="A546" s="507"/>
      <c r="B546" s="572"/>
      <c r="C546" s="572"/>
      <c r="D546" s="572"/>
      <c r="E546" s="572"/>
      <c r="F546" s="572"/>
      <c r="G546" s="572"/>
      <c r="H546" s="572"/>
      <c r="I546" s="572"/>
      <c r="J546" s="507"/>
      <c r="K546" s="507"/>
      <c r="L546" s="507"/>
      <c r="M546" s="507"/>
      <c r="N546" s="507"/>
      <c r="O546" s="507"/>
      <c r="P546" s="507"/>
      <c r="Q546" s="507"/>
      <c r="R546" s="507"/>
      <c r="S546" s="507"/>
      <c r="T546" s="507"/>
      <c r="U546" s="507"/>
      <c r="V546" s="507"/>
      <c r="W546" s="507"/>
      <c r="X546" s="507"/>
      <c r="Y546" s="507"/>
      <c r="Z546" s="507"/>
    </row>
    <row r="547">
      <c r="A547" s="507"/>
      <c r="B547" s="572"/>
      <c r="C547" s="572"/>
      <c r="D547" s="572"/>
      <c r="E547" s="572"/>
      <c r="F547" s="572"/>
      <c r="G547" s="572"/>
      <c r="H547" s="572"/>
      <c r="I547" s="572"/>
      <c r="J547" s="507"/>
      <c r="K547" s="507"/>
      <c r="L547" s="507"/>
      <c r="M547" s="507"/>
      <c r="N547" s="507"/>
      <c r="O547" s="507"/>
      <c r="P547" s="507"/>
      <c r="Q547" s="507"/>
      <c r="R547" s="507"/>
      <c r="S547" s="507"/>
      <c r="T547" s="507"/>
      <c r="U547" s="507"/>
      <c r="V547" s="507"/>
      <c r="W547" s="507"/>
      <c r="X547" s="507"/>
      <c r="Y547" s="507"/>
      <c r="Z547" s="507"/>
    </row>
    <row r="548">
      <c r="A548" s="507"/>
      <c r="B548" s="572"/>
      <c r="C548" s="572"/>
      <c r="D548" s="572"/>
      <c r="E548" s="572"/>
      <c r="F548" s="572"/>
      <c r="G548" s="572"/>
      <c r="H548" s="572"/>
      <c r="I548" s="572"/>
      <c r="J548" s="507"/>
      <c r="K548" s="507"/>
      <c r="L548" s="507"/>
      <c r="M548" s="507"/>
      <c r="N548" s="507"/>
      <c r="O548" s="507"/>
      <c r="P548" s="507"/>
      <c r="Q548" s="507"/>
      <c r="R548" s="507"/>
      <c r="S548" s="507"/>
      <c r="T548" s="507"/>
      <c r="U548" s="507"/>
      <c r="V548" s="507"/>
      <c r="W548" s="507"/>
      <c r="X548" s="507"/>
      <c r="Y548" s="507"/>
      <c r="Z548" s="507"/>
    </row>
    <row r="549">
      <c r="A549" s="507"/>
      <c r="B549" s="572"/>
      <c r="C549" s="572"/>
      <c r="D549" s="572"/>
      <c r="E549" s="572"/>
      <c r="F549" s="572"/>
      <c r="G549" s="572"/>
      <c r="H549" s="572"/>
      <c r="I549" s="572"/>
      <c r="J549" s="507"/>
      <c r="K549" s="507"/>
      <c r="L549" s="507"/>
      <c r="M549" s="507"/>
      <c r="N549" s="507"/>
      <c r="O549" s="507"/>
      <c r="P549" s="507"/>
      <c r="Q549" s="507"/>
      <c r="R549" s="507"/>
      <c r="S549" s="507"/>
      <c r="T549" s="507"/>
      <c r="U549" s="507"/>
      <c r="V549" s="507"/>
      <c r="W549" s="507"/>
      <c r="X549" s="507"/>
      <c r="Y549" s="507"/>
      <c r="Z549" s="507"/>
    </row>
    <row r="550">
      <c r="A550" s="507"/>
      <c r="B550" s="572"/>
      <c r="C550" s="572"/>
      <c r="D550" s="572"/>
      <c r="E550" s="572"/>
      <c r="F550" s="572"/>
      <c r="G550" s="572"/>
      <c r="H550" s="572"/>
      <c r="I550" s="572"/>
      <c r="J550" s="507"/>
      <c r="K550" s="507"/>
      <c r="L550" s="507"/>
      <c r="M550" s="507"/>
      <c r="N550" s="507"/>
      <c r="O550" s="507"/>
      <c r="P550" s="507"/>
      <c r="Q550" s="507"/>
      <c r="R550" s="507"/>
      <c r="S550" s="507"/>
      <c r="T550" s="507"/>
      <c r="U550" s="507"/>
      <c r="V550" s="507"/>
      <c r="W550" s="507"/>
      <c r="X550" s="507"/>
      <c r="Y550" s="507"/>
      <c r="Z550" s="507"/>
    </row>
    <row r="551">
      <c r="A551" s="507"/>
      <c r="B551" s="572"/>
      <c r="C551" s="572"/>
      <c r="D551" s="572"/>
      <c r="E551" s="572"/>
      <c r="F551" s="572"/>
      <c r="G551" s="572"/>
      <c r="H551" s="572"/>
      <c r="I551" s="572"/>
      <c r="J551" s="507"/>
      <c r="K551" s="507"/>
      <c r="L551" s="507"/>
      <c r="M551" s="507"/>
      <c r="N551" s="507"/>
      <c r="O551" s="507"/>
      <c r="P551" s="507"/>
      <c r="Q551" s="507"/>
      <c r="R551" s="507"/>
      <c r="S551" s="507"/>
      <c r="T551" s="507"/>
      <c r="U551" s="507"/>
      <c r="V551" s="507"/>
      <c r="W551" s="507"/>
      <c r="X551" s="507"/>
      <c r="Y551" s="507"/>
      <c r="Z551" s="507"/>
    </row>
    <row r="552">
      <c r="A552" s="507"/>
      <c r="B552" s="572"/>
      <c r="C552" s="572"/>
      <c r="D552" s="572"/>
      <c r="E552" s="572"/>
      <c r="F552" s="572"/>
      <c r="G552" s="572"/>
      <c r="H552" s="572"/>
      <c r="I552" s="572"/>
      <c r="J552" s="507"/>
      <c r="K552" s="507"/>
      <c r="L552" s="507"/>
      <c r="M552" s="507"/>
      <c r="N552" s="507"/>
      <c r="O552" s="507"/>
      <c r="P552" s="507"/>
      <c r="Q552" s="507"/>
      <c r="R552" s="507"/>
      <c r="S552" s="507"/>
      <c r="T552" s="507"/>
      <c r="U552" s="507"/>
      <c r="V552" s="507"/>
      <c r="W552" s="507"/>
      <c r="X552" s="507"/>
      <c r="Y552" s="507"/>
      <c r="Z552" s="507"/>
    </row>
    <row r="553">
      <c r="A553" s="507"/>
      <c r="B553" s="572"/>
      <c r="C553" s="572"/>
      <c r="D553" s="572"/>
      <c r="E553" s="572"/>
      <c r="F553" s="572"/>
      <c r="G553" s="572"/>
      <c r="H553" s="572"/>
      <c r="I553" s="572"/>
      <c r="J553" s="507"/>
      <c r="K553" s="507"/>
      <c r="L553" s="507"/>
      <c r="M553" s="507"/>
      <c r="N553" s="507"/>
      <c r="O553" s="507"/>
      <c r="P553" s="507"/>
      <c r="Q553" s="507"/>
      <c r="R553" s="507"/>
      <c r="S553" s="507"/>
      <c r="T553" s="507"/>
      <c r="U553" s="507"/>
      <c r="V553" s="507"/>
      <c r="W553" s="507"/>
      <c r="X553" s="507"/>
      <c r="Y553" s="507"/>
      <c r="Z553" s="507"/>
    </row>
    <row r="554">
      <c r="A554" s="507"/>
      <c r="B554" s="572"/>
      <c r="C554" s="572"/>
      <c r="D554" s="572"/>
      <c r="E554" s="572"/>
      <c r="F554" s="572"/>
      <c r="G554" s="572"/>
      <c r="H554" s="572"/>
      <c r="I554" s="572"/>
      <c r="J554" s="507"/>
      <c r="K554" s="507"/>
      <c r="L554" s="507"/>
      <c r="M554" s="507"/>
      <c r="N554" s="507"/>
      <c r="O554" s="507"/>
      <c r="P554" s="507"/>
      <c r="Q554" s="507"/>
      <c r="R554" s="507"/>
      <c r="S554" s="507"/>
      <c r="T554" s="507"/>
      <c r="U554" s="507"/>
      <c r="V554" s="507"/>
      <c r="W554" s="507"/>
      <c r="X554" s="507"/>
      <c r="Y554" s="507"/>
      <c r="Z554" s="507"/>
    </row>
    <row r="555">
      <c r="A555" s="507"/>
      <c r="B555" s="572"/>
      <c r="C555" s="572"/>
      <c r="D555" s="572"/>
      <c r="E555" s="572"/>
      <c r="F555" s="572"/>
      <c r="G555" s="572"/>
      <c r="H555" s="572"/>
      <c r="I555" s="572"/>
      <c r="J555" s="507"/>
      <c r="K555" s="507"/>
      <c r="L555" s="507"/>
      <c r="M555" s="507"/>
      <c r="N555" s="507"/>
      <c r="O555" s="507"/>
      <c r="P555" s="507"/>
      <c r="Q555" s="507"/>
      <c r="R555" s="507"/>
      <c r="S555" s="507"/>
      <c r="T555" s="507"/>
      <c r="U555" s="507"/>
      <c r="V555" s="507"/>
      <c r="W555" s="507"/>
      <c r="X555" s="507"/>
      <c r="Y555" s="507"/>
      <c r="Z555" s="507"/>
    </row>
    <row r="556">
      <c r="A556" s="507"/>
      <c r="B556" s="572"/>
      <c r="C556" s="572"/>
      <c r="D556" s="572"/>
      <c r="E556" s="572"/>
      <c r="F556" s="572"/>
      <c r="G556" s="572"/>
      <c r="H556" s="572"/>
      <c r="I556" s="572"/>
      <c r="J556" s="507"/>
      <c r="K556" s="507"/>
      <c r="L556" s="507"/>
      <c r="M556" s="507"/>
      <c r="N556" s="507"/>
      <c r="O556" s="507"/>
      <c r="P556" s="507"/>
      <c r="Q556" s="507"/>
      <c r="R556" s="507"/>
      <c r="S556" s="507"/>
      <c r="T556" s="507"/>
      <c r="U556" s="507"/>
      <c r="V556" s="507"/>
      <c r="W556" s="507"/>
      <c r="X556" s="507"/>
      <c r="Y556" s="507"/>
      <c r="Z556" s="507"/>
    </row>
    <row r="557">
      <c r="A557" s="507"/>
      <c r="B557" s="572"/>
      <c r="C557" s="572"/>
      <c r="D557" s="572"/>
      <c r="E557" s="572"/>
      <c r="F557" s="572"/>
      <c r="G557" s="572"/>
      <c r="H557" s="572"/>
      <c r="I557" s="572"/>
      <c r="J557" s="507"/>
      <c r="K557" s="507"/>
      <c r="L557" s="507"/>
      <c r="M557" s="507"/>
      <c r="N557" s="507"/>
      <c r="O557" s="507"/>
      <c r="P557" s="507"/>
      <c r="Q557" s="507"/>
      <c r="R557" s="507"/>
      <c r="S557" s="507"/>
      <c r="T557" s="507"/>
      <c r="U557" s="507"/>
      <c r="V557" s="507"/>
      <c r="W557" s="507"/>
      <c r="X557" s="507"/>
      <c r="Y557" s="507"/>
      <c r="Z557" s="507"/>
    </row>
    <row r="558">
      <c r="A558" s="507"/>
      <c r="B558" s="572"/>
      <c r="C558" s="572"/>
      <c r="D558" s="572"/>
      <c r="E558" s="572"/>
      <c r="F558" s="572"/>
      <c r="G558" s="572"/>
      <c r="H558" s="572"/>
      <c r="I558" s="572"/>
      <c r="J558" s="507"/>
      <c r="K558" s="507"/>
      <c r="L558" s="507"/>
      <c r="M558" s="507"/>
      <c r="N558" s="507"/>
      <c r="O558" s="507"/>
      <c r="P558" s="507"/>
      <c r="Q558" s="507"/>
      <c r="R558" s="507"/>
      <c r="S558" s="507"/>
      <c r="T558" s="507"/>
      <c r="U558" s="507"/>
      <c r="V558" s="507"/>
      <c r="W558" s="507"/>
      <c r="X558" s="507"/>
      <c r="Y558" s="507"/>
      <c r="Z558" s="507"/>
    </row>
    <row r="559">
      <c r="A559" s="507"/>
      <c r="B559" s="572"/>
      <c r="C559" s="572"/>
      <c r="D559" s="572"/>
      <c r="E559" s="572"/>
      <c r="F559" s="572"/>
      <c r="G559" s="572"/>
      <c r="H559" s="572"/>
      <c r="I559" s="572"/>
      <c r="J559" s="507"/>
      <c r="K559" s="507"/>
      <c r="L559" s="507"/>
      <c r="M559" s="507"/>
      <c r="N559" s="507"/>
      <c r="O559" s="507"/>
      <c r="P559" s="507"/>
      <c r="Q559" s="507"/>
      <c r="R559" s="507"/>
      <c r="S559" s="507"/>
      <c r="T559" s="507"/>
      <c r="U559" s="507"/>
      <c r="V559" s="507"/>
      <c r="W559" s="507"/>
      <c r="X559" s="507"/>
      <c r="Y559" s="507"/>
      <c r="Z559" s="507"/>
    </row>
    <row r="560">
      <c r="A560" s="507"/>
      <c r="B560" s="572"/>
      <c r="C560" s="572"/>
      <c r="D560" s="572"/>
      <c r="E560" s="572"/>
      <c r="F560" s="572"/>
      <c r="G560" s="572"/>
      <c r="H560" s="572"/>
      <c r="I560" s="572"/>
      <c r="J560" s="507"/>
      <c r="K560" s="507"/>
      <c r="L560" s="507"/>
      <c r="M560" s="507"/>
      <c r="N560" s="507"/>
      <c r="O560" s="507"/>
      <c r="P560" s="507"/>
      <c r="Q560" s="507"/>
      <c r="R560" s="507"/>
      <c r="S560" s="507"/>
      <c r="T560" s="507"/>
      <c r="U560" s="507"/>
      <c r="V560" s="507"/>
      <c r="W560" s="507"/>
      <c r="X560" s="507"/>
      <c r="Y560" s="507"/>
      <c r="Z560" s="507"/>
    </row>
    <row r="561">
      <c r="A561" s="507"/>
      <c r="B561" s="572"/>
      <c r="C561" s="572"/>
      <c r="D561" s="572"/>
      <c r="E561" s="572"/>
      <c r="F561" s="572"/>
      <c r="G561" s="572"/>
      <c r="H561" s="572"/>
      <c r="I561" s="572"/>
      <c r="J561" s="507"/>
      <c r="K561" s="507"/>
      <c r="L561" s="507"/>
      <c r="M561" s="507"/>
      <c r="N561" s="507"/>
      <c r="O561" s="507"/>
      <c r="P561" s="507"/>
      <c r="Q561" s="507"/>
      <c r="R561" s="507"/>
      <c r="S561" s="507"/>
      <c r="T561" s="507"/>
      <c r="U561" s="507"/>
      <c r="V561" s="507"/>
      <c r="W561" s="507"/>
      <c r="X561" s="507"/>
      <c r="Y561" s="507"/>
      <c r="Z561" s="507"/>
    </row>
    <row r="562">
      <c r="A562" s="507"/>
      <c r="B562" s="572"/>
      <c r="C562" s="572"/>
      <c r="D562" s="572"/>
      <c r="E562" s="572"/>
      <c r="F562" s="572"/>
      <c r="G562" s="572"/>
      <c r="H562" s="572"/>
      <c r="I562" s="572"/>
      <c r="J562" s="507"/>
      <c r="K562" s="507"/>
      <c r="L562" s="507"/>
      <c r="M562" s="507"/>
      <c r="N562" s="507"/>
      <c r="O562" s="507"/>
      <c r="P562" s="507"/>
      <c r="Q562" s="507"/>
      <c r="R562" s="507"/>
      <c r="S562" s="507"/>
      <c r="T562" s="507"/>
      <c r="U562" s="507"/>
      <c r="V562" s="507"/>
      <c r="W562" s="507"/>
      <c r="X562" s="507"/>
      <c r="Y562" s="507"/>
      <c r="Z562" s="507"/>
    </row>
    <row r="563">
      <c r="A563" s="507"/>
      <c r="B563" s="572"/>
      <c r="C563" s="572"/>
      <c r="D563" s="572"/>
      <c r="E563" s="572"/>
      <c r="F563" s="572"/>
      <c r="G563" s="572"/>
      <c r="H563" s="572"/>
      <c r="I563" s="572"/>
      <c r="J563" s="507"/>
      <c r="K563" s="507"/>
      <c r="L563" s="507"/>
      <c r="M563" s="507"/>
      <c r="N563" s="507"/>
      <c r="O563" s="507"/>
      <c r="P563" s="507"/>
      <c r="Q563" s="507"/>
      <c r="R563" s="507"/>
      <c r="S563" s="507"/>
      <c r="T563" s="507"/>
      <c r="U563" s="507"/>
      <c r="V563" s="507"/>
      <c r="W563" s="507"/>
      <c r="X563" s="507"/>
      <c r="Y563" s="507"/>
      <c r="Z563" s="507"/>
    </row>
    <row r="564">
      <c r="A564" s="507"/>
      <c r="B564" s="572"/>
      <c r="C564" s="572"/>
      <c r="D564" s="572"/>
      <c r="E564" s="572"/>
      <c r="F564" s="572"/>
      <c r="G564" s="572"/>
      <c r="H564" s="572"/>
      <c r="I564" s="572"/>
      <c r="J564" s="507"/>
      <c r="K564" s="507"/>
      <c r="L564" s="507"/>
      <c r="M564" s="507"/>
      <c r="N564" s="507"/>
      <c r="O564" s="507"/>
      <c r="P564" s="507"/>
      <c r="Q564" s="507"/>
      <c r="R564" s="507"/>
      <c r="S564" s="507"/>
      <c r="T564" s="507"/>
      <c r="U564" s="507"/>
      <c r="V564" s="507"/>
      <c r="W564" s="507"/>
      <c r="X564" s="507"/>
      <c r="Y564" s="507"/>
      <c r="Z564" s="507"/>
    </row>
    <row r="565">
      <c r="A565" s="507"/>
      <c r="B565" s="572"/>
      <c r="C565" s="572"/>
      <c r="D565" s="572"/>
      <c r="E565" s="572"/>
      <c r="F565" s="572"/>
      <c r="G565" s="572"/>
      <c r="H565" s="572"/>
      <c r="I565" s="572"/>
      <c r="J565" s="507"/>
      <c r="K565" s="507"/>
      <c r="L565" s="507"/>
      <c r="M565" s="507"/>
      <c r="N565" s="507"/>
      <c r="O565" s="507"/>
      <c r="P565" s="507"/>
      <c r="Q565" s="507"/>
      <c r="R565" s="507"/>
      <c r="S565" s="507"/>
      <c r="T565" s="507"/>
      <c r="U565" s="507"/>
      <c r="V565" s="507"/>
      <c r="W565" s="507"/>
      <c r="X565" s="507"/>
      <c r="Y565" s="507"/>
      <c r="Z565" s="507"/>
    </row>
    <row r="566">
      <c r="A566" s="507"/>
      <c r="B566" s="572"/>
      <c r="C566" s="572"/>
      <c r="D566" s="572"/>
      <c r="E566" s="572"/>
      <c r="F566" s="572"/>
      <c r="G566" s="572"/>
      <c r="H566" s="572"/>
      <c r="I566" s="572"/>
      <c r="J566" s="507"/>
      <c r="K566" s="507"/>
      <c r="L566" s="507"/>
      <c r="M566" s="507"/>
      <c r="N566" s="507"/>
      <c r="O566" s="507"/>
      <c r="P566" s="507"/>
      <c r="Q566" s="507"/>
      <c r="R566" s="507"/>
      <c r="S566" s="507"/>
      <c r="T566" s="507"/>
      <c r="U566" s="507"/>
      <c r="V566" s="507"/>
      <c r="W566" s="507"/>
      <c r="X566" s="507"/>
      <c r="Y566" s="507"/>
      <c r="Z566" s="507"/>
    </row>
    <row r="567">
      <c r="A567" s="507"/>
      <c r="B567" s="572"/>
      <c r="C567" s="572"/>
      <c r="D567" s="572"/>
      <c r="E567" s="572"/>
      <c r="F567" s="572"/>
      <c r="G567" s="572"/>
      <c r="H567" s="572"/>
      <c r="I567" s="572"/>
      <c r="J567" s="507"/>
      <c r="K567" s="507"/>
      <c r="L567" s="507"/>
      <c r="M567" s="507"/>
      <c r="N567" s="507"/>
      <c r="O567" s="507"/>
      <c r="P567" s="507"/>
      <c r="Q567" s="507"/>
      <c r="R567" s="507"/>
      <c r="S567" s="507"/>
      <c r="T567" s="507"/>
      <c r="U567" s="507"/>
      <c r="V567" s="507"/>
      <c r="W567" s="507"/>
      <c r="X567" s="507"/>
      <c r="Y567" s="507"/>
      <c r="Z567" s="507"/>
    </row>
    <row r="568">
      <c r="A568" s="507"/>
      <c r="B568" s="572"/>
      <c r="C568" s="572"/>
      <c r="D568" s="572"/>
      <c r="E568" s="572"/>
      <c r="F568" s="572"/>
      <c r="G568" s="572"/>
      <c r="H568" s="572"/>
      <c r="I568" s="572"/>
      <c r="J568" s="507"/>
      <c r="K568" s="507"/>
      <c r="L568" s="507"/>
      <c r="M568" s="507"/>
      <c r="N568" s="507"/>
      <c r="O568" s="507"/>
      <c r="P568" s="507"/>
      <c r="Q568" s="507"/>
      <c r="R568" s="507"/>
      <c r="S568" s="507"/>
      <c r="T568" s="507"/>
      <c r="U568" s="507"/>
      <c r="V568" s="507"/>
      <c r="W568" s="507"/>
      <c r="X568" s="507"/>
      <c r="Y568" s="507"/>
      <c r="Z568" s="507"/>
    </row>
    <row r="569">
      <c r="A569" s="507"/>
      <c r="B569" s="572"/>
      <c r="C569" s="572"/>
      <c r="D569" s="572"/>
      <c r="E569" s="572"/>
      <c r="F569" s="572"/>
      <c r="G569" s="572"/>
      <c r="H569" s="572"/>
      <c r="I569" s="572"/>
      <c r="J569" s="507"/>
      <c r="K569" s="507"/>
      <c r="L569" s="507"/>
      <c r="M569" s="507"/>
      <c r="N569" s="507"/>
      <c r="O569" s="507"/>
      <c r="P569" s="507"/>
      <c r="Q569" s="507"/>
      <c r="R569" s="507"/>
      <c r="S569" s="507"/>
      <c r="T569" s="507"/>
      <c r="U569" s="507"/>
      <c r="V569" s="507"/>
      <c r="W569" s="507"/>
      <c r="X569" s="507"/>
      <c r="Y569" s="507"/>
      <c r="Z569" s="507"/>
    </row>
    <row r="570">
      <c r="A570" s="507"/>
      <c r="B570" s="572"/>
      <c r="C570" s="572"/>
      <c r="D570" s="572"/>
      <c r="E570" s="572"/>
      <c r="F570" s="572"/>
      <c r="G570" s="572"/>
      <c r="H570" s="572"/>
      <c r="I570" s="572"/>
      <c r="J570" s="507"/>
      <c r="K570" s="507"/>
      <c r="L570" s="507"/>
      <c r="M570" s="507"/>
      <c r="N570" s="507"/>
      <c r="O570" s="507"/>
      <c r="P570" s="507"/>
      <c r="Q570" s="507"/>
      <c r="R570" s="507"/>
      <c r="S570" s="507"/>
      <c r="T570" s="507"/>
      <c r="U570" s="507"/>
      <c r="V570" s="507"/>
      <c r="W570" s="507"/>
      <c r="X570" s="507"/>
      <c r="Y570" s="507"/>
      <c r="Z570" s="507"/>
    </row>
    <row r="571">
      <c r="A571" s="507"/>
      <c r="B571" s="572"/>
      <c r="C571" s="572"/>
      <c r="D571" s="572"/>
      <c r="E571" s="572"/>
      <c r="F571" s="572"/>
      <c r="G571" s="572"/>
      <c r="H571" s="572"/>
      <c r="I571" s="572"/>
      <c r="J571" s="507"/>
      <c r="K571" s="507"/>
      <c r="L571" s="507"/>
      <c r="M571" s="507"/>
      <c r="N571" s="507"/>
      <c r="O571" s="507"/>
      <c r="P571" s="507"/>
      <c r="Q571" s="507"/>
      <c r="R571" s="507"/>
      <c r="S571" s="507"/>
      <c r="T571" s="507"/>
      <c r="U571" s="507"/>
      <c r="V571" s="507"/>
      <c r="W571" s="507"/>
      <c r="X571" s="507"/>
      <c r="Y571" s="507"/>
      <c r="Z571" s="507"/>
    </row>
    <row r="572">
      <c r="A572" s="507"/>
      <c r="B572" s="572"/>
      <c r="C572" s="572"/>
      <c r="D572" s="572"/>
      <c r="E572" s="572"/>
      <c r="F572" s="572"/>
      <c r="G572" s="572"/>
      <c r="H572" s="572"/>
      <c r="I572" s="572"/>
      <c r="J572" s="507"/>
      <c r="K572" s="507"/>
      <c r="L572" s="507"/>
      <c r="M572" s="507"/>
      <c r="N572" s="507"/>
      <c r="O572" s="507"/>
      <c r="P572" s="507"/>
      <c r="Q572" s="507"/>
      <c r="R572" s="507"/>
      <c r="S572" s="507"/>
      <c r="T572" s="507"/>
      <c r="U572" s="507"/>
      <c r="V572" s="507"/>
      <c r="W572" s="507"/>
      <c r="X572" s="507"/>
      <c r="Y572" s="507"/>
      <c r="Z572" s="507"/>
    </row>
    <row r="573">
      <c r="A573" s="507"/>
      <c r="B573" s="572"/>
      <c r="C573" s="572"/>
      <c r="D573" s="572"/>
      <c r="E573" s="572"/>
      <c r="F573" s="572"/>
      <c r="G573" s="572"/>
      <c r="H573" s="572"/>
      <c r="I573" s="572"/>
      <c r="J573" s="507"/>
      <c r="K573" s="507"/>
      <c r="L573" s="507"/>
      <c r="M573" s="507"/>
      <c r="N573" s="507"/>
      <c r="O573" s="507"/>
      <c r="P573" s="507"/>
      <c r="Q573" s="507"/>
      <c r="R573" s="507"/>
      <c r="S573" s="507"/>
      <c r="T573" s="507"/>
      <c r="U573" s="507"/>
      <c r="V573" s="507"/>
      <c r="W573" s="507"/>
      <c r="X573" s="507"/>
      <c r="Y573" s="507"/>
      <c r="Z573" s="507"/>
    </row>
    <row r="574">
      <c r="A574" s="507"/>
      <c r="B574" s="572"/>
      <c r="C574" s="572"/>
      <c r="D574" s="572"/>
      <c r="E574" s="572"/>
      <c r="F574" s="572"/>
      <c r="G574" s="572"/>
      <c r="H574" s="572"/>
      <c r="I574" s="572"/>
      <c r="J574" s="507"/>
      <c r="K574" s="507"/>
      <c r="L574" s="507"/>
      <c r="M574" s="507"/>
      <c r="N574" s="507"/>
      <c r="O574" s="507"/>
      <c r="P574" s="507"/>
      <c r="Q574" s="507"/>
      <c r="R574" s="507"/>
      <c r="S574" s="507"/>
      <c r="T574" s="507"/>
      <c r="U574" s="507"/>
      <c r="V574" s="507"/>
      <c r="W574" s="507"/>
      <c r="X574" s="507"/>
      <c r="Y574" s="507"/>
      <c r="Z574" s="507"/>
    </row>
    <row r="575">
      <c r="A575" s="507"/>
      <c r="B575" s="572"/>
      <c r="C575" s="572"/>
      <c r="D575" s="572"/>
      <c r="E575" s="572"/>
      <c r="F575" s="572"/>
      <c r="G575" s="572"/>
      <c r="H575" s="572"/>
      <c r="I575" s="572"/>
      <c r="J575" s="507"/>
      <c r="K575" s="507"/>
      <c r="L575" s="507"/>
      <c r="M575" s="507"/>
      <c r="N575" s="507"/>
      <c r="O575" s="507"/>
      <c r="P575" s="507"/>
      <c r="Q575" s="507"/>
      <c r="R575" s="507"/>
      <c r="S575" s="507"/>
      <c r="T575" s="507"/>
      <c r="U575" s="507"/>
      <c r="V575" s="507"/>
      <c r="W575" s="507"/>
      <c r="X575" s="507"/>
      <c r="Y575" s="507"/>
      <c r="Z575" s="507"/>
    </row>
    <row r="576">
      <c r="A576" s="507"/>
      <c r="B576" s="572"/>
      <c r="C576" s="572"/>
      <c r="D576" s="572"/>
      <c r="E576" s="572"/>
      <c r="F576" s="572"/>
      <c r="G576" s="572"/>
      <c r="H576" s="572"/>
      <c r="I576" s="572"/>
      <c r="J576" s="507"/>
      <c r="K576" s="507"/>
      <c r="L576" s="507"/>
      <c r="M576" s="507"/>
      <c r="N576" s="507"/>
      <c r="O576" s="507"/>
      <c r="P576" s="507"/>
      <c r="Q576" s="507"/>
      <c r="R576" s="507"/>
      <c r="S576" s="507"/>
      <c r="T576" s="507"/>
      <c r="U576" s="507"/>
      <c r="V576" s="507"/>
      <c r="W576" s="507"/>
      <c r="X576" s="507"/>
      <c r="Y576" s="507"/>
      <c r="Z576" s="507"/>
    </row>
    <row r="577">
      <c r="A577" s="507"/>
      <c r="B577" s="572"/>
      <c r="C577" s="572"/>
      <c r="D577" s="572"/>
      <c r="E577" s="572"/>
      <c r="F577" s="572"/>
      <c r="G577" s="572"/>
      <c r="H577" s="572"/>
      <c r="I577" s="572"/>
      <c r="J577" s="507"/>
      <c r="K577" s="507"/>
      <c r="L577" s="507"/>
      <c r="M577" s="507"/>
      <c r="N577" s="507"/>
      <c r="O577" s="507"/>
      <c r="P577" s="507"/>
      <c r="Q577" s="507"/>
      <c r="R577" s="507"/>
      <c r="S577" s="507"/>
      <c r="T577" s="507"/>
      <c r="U577" s="507"/>
      <c r="V577" s="507"/>
      <c r="W577" s="507"/>
      <c r="X577" s="507"/>
      <c r="Y577" s="507"/>
      <c r="Z577" s="507"/>
    </row>
    <row r="578">
      <c r="A578" s="507"/>
      <c r="B578" s="572"/>
      <c r="C578" s="572"/>
      <c r="D578" s="572"/>
      <c r="E578" s="572"/>
      <c r="F578" s="572"/>
      <c r="G578" s="572"/>
      <c r="H578" s="572"/>
      <c r="I578" s="572"/>
      <c r="J578" s="507"/>
      <c r="K578" s="507"/>
      <c r="L578" s="507"/>
      <c r="M578" s="507"/>
      <c r="N578" s="507"/>
      <c r="O578" s="507"/>
      <c r="P578" s="507"/>
      <c r="Q578" s="507"/>
      <c r="R578" s="507"/>
      <c r="S578" s="507"/>
      <c r="T578" s="507"/>
      <c r="U578" s="507"/>
      <c r="V578" s="507"/>
      <c r="W578" s="507"/>
      <c r="X578" s="507"/>
      <c r="Y578" s="507"/>
      <c r="Z578" s="507"/>
    </row>
    <row r="579">
      <c r="A579" s="507"/>
      <c r="B579" s="572"/>
      <c r="C579" s="572"/>
      <c r="D579" s="572"/>
      <c r="E579" s="572"/>
      <c r="F579" s="572"/>
      <c r="G579" s="572"/>
      <c r="H579" s="572"/>
      <c r="I579" s="572"/>
      <c r="J579" s="507"/>
      <c r="K579" s="507"/>
      <c r="L579" s="507"/>
      <c r="M579" s="507"/>
      <c r="N579" s="507"/>
      <c r="O579" s="507"/>
      <c r="P579" s="507"/>
      <c r="Q579" s="507"/>
      <c r="R579" s="507"/>
      <c r="S579" s="507"/>
      <c r="T579" s="507"/>
      <c r="U579" s="507"/>
      <c r="V579" s="507"/>
      <c r="W579" s="507"/>
      <c r="X579" s="507"/>
      <c r="Y579" s="507"/>
      <c r="Z579" s="507"/>
    </row>
    <row r="580">
      <c r="A580" s="507"/>
      <c r="B580" s="572"/>
      <c r="C580" s="572"/>
      <c r="D580" s="572"/>
      <c r="E580" s="572"/>
      <c r="F580" s="572"/>
      <c r="G580" s="572"/>
      <c r="H580" s="572"/>
      <c r="I580" s="572"/>
      <c r="J580" s="507"/>
      <c r="K580" s="507"/>
      <c r="L580" s="507"/>
      <c r="M580" s="507"/>
      <c r="N580" s="507"/>
      <c r="O580" s="507"/>
      <c r="P580" s="507"/>
      <c r="Q580" s="507"/>
      <c r="R580" s="507"/>
      <c r="S580" s="507"/>
      <c r="T580" s="507"/>
      <c r="U580" s="507"/>
      <c r="V580" s="507"/>
      <c r="W580" s="507"/>
      <c r="X580" s="507"/>
      <c r="Y580" s="507"/>
      <c r="Z580" s="507"/>
    </row>
    <row r="581">
      <c r="A581" s="507"/>
      <c r="B581" s="572"/>
      <c r="C581" s="572"/>
      <c r="D581" s="572"/>
      <c r="E581" s="572"/>
      <c r="F581" s="572"/>
      <c r="G581" s="572"/>
      <c r="H581" s="572"/>
      <c r="I581" s="572"/>
      <c r="J581" s="507"/>
      <c r="K581" s="507"/>
      <c r="L581" s="507"/>
      <c r="M581" s="507"/>
      <c r="N581" s="507"/>
      <c r="O581" s="507"/>
      <c r="P581" s="507"/>
      <c r="Q581" s="507"/>
      <c r="R581" s="507"/>
      <c r="S581" s="507"/>
      <c r="T581" s="507"/>
      <c r="U581" s="507"/>
      <c r="V581" s="507"/>
      <c r="W581" s="507"/>
      <c r="X581" s="507"/>
      <c r="Y581" s="507"/>
      <c r="Z581" s="507"/>
    </row>
    <row r="582">
      <c r="A582" s="507"/>
      <c r="B582" s="572"/>
      <c r="C582" s="572"/>
      <c r="D582" s="572"/>
      <c r="E582" s="572"/>
      <c r="F582" s="572"/>
      <c r="G582" s="572"/>
      <c r="H582" s="572"/>
      <c r="I582" s="572"/>
      <c r="J582" s="507"/>
      <c r="K582" s="507"/>
      <c r="L582" s="507"/>
      <c r="M582" s="507"/>
      <c r="N582" s="507"/>
      <c r="O582" s="507"/>
      <c r="P582" s="507"/>
      <c r="Q582" s="507"/>
      <c r="R582" s="507"/>
      <c r="S582" s="507"/>
      <c r="T582" s="507"/>
      <c r="U582" s="507"/>
      <c r="V582" s="507"/>
      <c r="W582" s="507"/>
      <c r="X582" s="507"/>
      <c r="Y582" s="507"/>
      <c r="Z582" s="507"/>
    </row>
    <row r="583">
      <c r="A583" s="507"/>
      <c r="B583" s="572"/>
      <c r="C583" s="572"/>
      <c r="D583" s="572"/>
      <c r="E583" s="572"/>
      <c r="F583" s="572"/>
      <c r="G583" s="572"/>
      <c r="H583" s="572"/>
      <c r="I583" s="572"/>
      <c r="J583" s="507"/>
      <c r="K583" s="507"/>
      <c r="L583" s="507"/>
      <c r="M583" s="507"/>
      <c r="N583" s="507"/>
      <c r="O583" s="507"/>
      <c r="P583" s="507"/>
      <c r="Q583" s="507"/>
      <c r="R583" s="507"/>
      <c r="S583" s="507"/>
      <c r="T583" s="507"/>
      <c r="U583" s="507"/>
      <c r="V583" s="507"/>
      <c r="W583" s="507"/>
      <c r="X583" s="507"/>
      <c r="Y583" s="507"/>
      <c r="Z583" s="507"/>
    </row>
    <row r="584">
      <c r="A584" s="507"/>
      <c r="B584" s="572"/>
      <c r="C584" s="572"/>
      <c r="D584" s="572"/>
      <c r="E584" s="572"/>
      <c r="F584" s="572"/>
      <c r="G584" s="572"/>
      <c r="H584" s="572"/>
      <c r="I584" s="572"/>
      <c r="J584" s="507"/>
      <c r="K584" s="507"/>
      <c r="L584" s="507"/>
      <c r="M584" s="507"/>
      <c r="N584" s="507"/>
      <c r="O584" s="507"/>
      <c r="P584" s="507"/>
      <c r="Q584" s="507"/>
      <c r="R584" s="507"/>
      <c r="S584" s="507"/>
      <c r="T584" s="507"/>
      <c r="U584" s="507"/>
      <c r="V584" s="507"/>
      <c r="W584" s="507"/>
      <c r="X584" s="507"/>
      <c r="Y584" s="507"/>
      <c r="Z584" s="507"/>
    </row>
    <row r="585">
      <c r="A585" s="507"/>
      <c r="B585" s="572"/>
      <c r="C585" s="572"/>
      <c r="D585" s="572"/>
      <c r="E585" s="572"/>
      <c r="F585" s="572"/>
      <c r="G585" s="572"/>
      <c r="H585" s="572"/>
      <c r="I585" s="572"/>
      <c r="J585" s="507"/>
      <c r="K585" s="507"/>
      <c r="L585" s="507"/>
      <c r="M585" s="507"/>
      <c r="N585" s="507"/>
      <c r="O585" s="507"/>
      <c r="P585" s="507"/>
      <c r="Q585" s="507"/>
      <c r="R585" s="507"/>
      <c r="S585" s="507"/>
      <c r="T585" s="507"/>
      <c r="U585" s="507"/>
      <c r="V585" s="507"/>
      <c r="W585" s="507"/>
      <c r="X585" s="507"/>
      <c r="Y585" s="507"/>
      <c r="Z585" s="507"/>
    </row>
    <row r="586">
      <c r="A586" s="507"/>
      <c r="B586" s="572"/>
      <c r="C586" s="572"/>
      <c r="D586" s="572"/>
      <c r="E586" s="572"/>
      <c r="F586" s="572"/>
      <c r="G586" s="572"/>
      <c r="H586" s="572"/>
      <c r="I586" s="572"/>
      <c r="J586" s="507"/>
      <c r="K586" s="507"/>
      <c r="L586" s="507"/>
      <c r="M586" s="507"/>
      <c r="N586" s="507"/>
      <c r="O586" s="507"/>
      <c r="P586" s="507"/>
      <c r="Q586" s="507"/>
      <c r="R586" s="507"/>
      <c r="S586" s="507"/>
      <c r="T586" s="507"/>
      <c r="U586" s="507"/>
      <c r="V586" s="507"/>
      <c r="W586" s="507"/>
      <c r="X586" s="507"/>
      <c r="Y586" s="507"/>
      <c r="Z586" s="507"/>
    </row>
    <row r="587">
      <c r="A587" s="507"/>
      <c r="B587" s="572"/>
      <c r="C587" s="572"/>
      <c r="D587" s="572"/>
      <c r="E587" s="572"/>
      <c r="F587" s="572"/>
      <c r="G587" s="572"/>
      <c r="H587" s="572"/>
      <c r="I587" s="572"/>
      <c r="J587" s="507"/>
      <c r="K587" s="507"/>
      <c r="L587" s="507"/>
      <c r="M587" s="507"/>
      <c r="N587" s="507"/>
      <c r="O587" s="507"/>
      <c r="P587" s="507"/>
      <c r="Q587" s="507"/>
      <c r="R587" s="507"/>
      <c r="S587" s="507"/>
      <c r="T587" s="507"/>
      <c r="U587" s="507"/>
      <c r="V587" s="507"/>
      <c r="W587" s="507"/>
      <c r="X587" s="507"/>
      <c r="Y587" s="507"/>
      <c r="Z587" s="507"/>
    </row>
    <row r="588">
      <c r="A588" s="507"/>
      <c r="B588" s="572"/>
      <c r="C588" s="572"/>
      <c r="D588" s="572"/>
      <c r="E588" s="572"/>
      <c r="F588" s="572"/>
      <c r="G588" s="572"/>
      <c r="H588" s="572"/>
      <c r="I588" s="572"/>
      <c r="J588" s="507"/>
      <c r="K588" s="507"/>
      <c r="L588" s="507"/>
      <c r="M588" s="507"/>
      <c r="N588" s="507"/>
      <c r="O588" s="507"/>
      <c r="P588" s="507"/>
      <c r="Q588" s="507"/>
      <c r="R588" s="507"/>
      <c r="S588" s="507"/>
      <c r="T588" s="507"/>
      <c r="U588" s="507"/>
      <c r="V588" s="507"/>
      <c r="W588" s="507"/>
      <c r="X588" s="507"/>
      <c r="Y588" s="507"/>
      <c r="Z588" s="507"/>
    </row>
    <row r="589">
      <c r="A589" s="507"/>
      <c r="B589" s="572"/>
      <c r="C589" s="572"/>
      <c r="D589" s="572"/>
      <c r="E589" s="572"/>
      <c r="F589" s="572"/>
      <c r="G589" s="572"/>
      <c r="H589" s="572"/>
      <c r="I589" s="572"/>
      <c r="J589" s="507"/>
      <c r="K589" s="507"/>
      <c r="L589" s="507"/>
      <c r="M589" s="507"/>
      <c r="N589" s="507"/>
      <c r="O589" s="507"/>
      <c r="P589" s="507"/>
      <c r="Q589" s="507"/>
      <c r="R589" s="507"/>
      <c r="S589" s="507"/>
      <c r="T589" s="507"/>
      <c r="U589" s="507"/>
      <c r="V589" s="507"/>
      <c r="W589" s="507"/>
      <c r="X589" s="507"/>
      <c r="Y589" s="507"/>
      <c r="Z589" s="507"/>
    </row>
    <row r="590">
      <c r="A590" s="507"/>
      <c r="B590" s="572"/>
      <c r="C590" s="572"/>
      <c r="D590" s="572"/>
      <c r="E590" s="572"/>
      <c r="F590" s="572"/>
      <c r="G590" s="572"/>
      <c r="H590" s="572"/>
      <c r="I590" s="572"/>
      <c r="J590" s="507"/>
      <c r="K590" s="507"/>
      <c r="L590" s="507"/>
      <c r="M590" s="507"/>
      <c r="N590" s="507"/>
      <c r="O590" s="507"/>
      <c r="P590" s="507"/>
      <c r="Q590" s="507"/>
      <c r="R590" s="507"/>
      <c r="S590" s="507"/>
      <c r="T590" s="507"/>
      <c r="U590" s="507"/>
      <c r="V590" s="507"/>
      <c r="W590" s="507"/>
      <c r="X590" s="507"/>
      <c r="Y590" s="507"/>
      <c r="Z590" s="507"/>
    </row>
    <row r="591">
      <c r="A591" s="507"/>
      <c r="B591" s="572"/>
      <c r="C591" s="572"/>
      <c r="D591" s="572"/>
      <c r="E591" s="572"/>
      <c r="F591" s="572"/>
      <c r="G591" s="572"/>
      <c r="H591" s="572"/>
      <c r="I591" s="572"/>
      <c r="J591" s="507"/>
      <c r="K591" s="507"/>
      <c r="L591" s="507"/>
      <c r="M591" s="507"/>
      <c r="N591" s="507"/>
      <c r="O591" s="507"/>
      <c r="P591" s="507"/>
      <c r="Q591" s="507"/>
      <c r="R591" s="507"/>
      <c r="S591" s="507"/>
      <c r="T591" s="507"/>
      <c r="U591" s="507"/>
      <c r="V591" s="507"/>
      <c r="W591" s="507"/>
      <c r="X591" s="507"/>
      <c r="Y591" s="507"/>
      <c r="Z591" s="507"/>
    </row>
    <row r="592">
      <c r="A592" s="507"/>
      <c r="B592" s="572"/>
      <c r="C592" s="572"/>
      <c r="D592" s="572"/>
      <c r="E592" s="572"/>
      <c r="F592" s="572"/>
      <c r="G592" s="572"/>
      <c r="H592" s="572"/>
      <c r="I592" s="572"/>
      <c r="J592" s="507"/>
      <c r="K592" s="507"/>
      <c r="L592" s="507"/>
      <c r="M592" s="507"/>
      <c r="N592" s="507"/>
      <c r="O592" s="507"/>
      <c r="P592" s="507"/>
      <c r="Q592" s="507"/>
      <c r="R592" s="507"/>
      <c r="S592" s="507"/>
      <c r="T592" s="507"/>
      <c r="U592" s="507"/>
      <c r="V592" s="507"/>
      <c r="W592" s="507"/>
      <c r="X592" s="507"/>
      <c r="Y592" s="507"/>
      <c r="Z592" s="507"/>
    </row>
    <row r="593">
      <c r="A593" s="507"/>
      <c r="B593" s="572"/>
      <c r="C593" s="572"/>
      <c r="D593" s="572"/>
      <c r="E593" s="572"/>
      <c r="F593" s="572"/>
      <c r="G593" s="572"/>
      <c r="H593" s="572"/>
      <c r="I593" s="572"/>
      <c r="J593" s="507"/>
      <c r="K593" s="507"/>
      <c r="L593" s="507"/>
      <c r="M593" s="507"/>
      <c r="N593" s="507"/>
      <c r="O593" s="507"/>
      <c r="P593" s="507"/>
      <c r="Q593" s="507"/>
      <c r="R593" s="507"/>
      <c r="S593" s="507"/>
      <c r="T593" s="507"/>
      <c r="U593" s="507"/>
      <c r="V593" s="507"/>
      <c r="W593" s="507"/>
      <c r="X593" s="507"/>
      <c r="Y593" s="507"/>
      <c r="Z593" s="507"/>
    </row>
    <row r="594">
      <c r="A594" s="507"/>
      <c r="B594" s="572"/>
      <c r="C594" s="572"/>
      <c r="D594" s="572"/>
      <c r="E594" s="572"/>
      <c r="F594" s="572"/>
      <c r="G594" s="572"/>
      <c r="H594" s="572"/>
      <c r="I594" s="572"/>
      <c r="J594" s="507"/>
      <c r="K594" s="507"/>
      <c r="L594" s="507"/>
      <c r="M594" s="507"/>
      <c r="N594" s="507"/>
      <c r="O594" s="507"/>
      <c r="P594" s="507"/>
      <c r="Q594" s="507"/>
      <c r="R594" s="507"/>
      <c r="S594" s="507"/>
      <c r="T594" s="507"/>
      <c r="U594" s="507"/>
      <c r="V594" s="507"/>
      <c r="W594" s="507"/>
      <c r="X594" s="507"/>
      <c r="Y594" s="507"/>
      <c r="Z594" s="507"/>
    </row>
    <row r="595">
      <c r="A595" s="507"/>
      <c r="B595" s="572"/>
      <c r="C595" s="572"/>
      <c r="D595" s="572"/>
      <c r="E595" s="572"/>
      <c r="F595" s="572"/>
      <c r="G595" s="572"/>
      <c r="H595" s="572"/>
      <c r="I595" s="572"/>
      <c r="J595" s="507"/>
      <c r="K595" s="507"/>
      <c r="L595" s="507"/>
      <c r="M595" s="507"/>
      <c r="N595" s="507"/>
      <c r="O595" s="507"/>
      <c r="P595" s="507"/>
      <c r="Q595" s="507"/>
      <c r="R595" s="507"/>
      <c r="S595" s="507"/>
      <c r="T595" s="507"/>
      <c r="U595" s="507"/>
      <c r="V595" s="507"/>
      <c r="W595" s="507"/>
      <c r="X595" s="507"/>
      <c r="Y595" s="507"/>
      <c r="Z595" s="507"/>
    </row>
    <row r="596">
      <c r="A596" s="507"/>
      <c r="B596" s="572"/>
      <c r="C596" s="572"/>
      <c r="D596" s="572"/>
      <c r="E596" s="572"/>
      <c r="F596" s="572"/>
      <c r="G596" s="572"/>
      <c r="H596" s="572"/>
      <c r="I596" s="572"/>
      <c r="J596" s="507"/>
      <c r="K596" s="507"/>
      <c r="L596" s="507"/>
      <c r="M596" s="507"/>
      <c r="N596" s="507"/>
      <c r="O596" s="507"/>
      <c r="P596" s="507"/>
      <c r="Q596" s="507"/>
      <c r="R596" s="507"/>
      <c r="S596" s="507"/>
      <c r="T596" s="507"/>
      <c r="U596" s="507"/>
      <c r="V596" s="507"/>
      <c r="W596" s="507"/>
      <c r="X596" s="507"/>
      <c r="Y596" s="507"/>
      <c r="Z596" s="507"/>
    </row>
    <row r="597">
      <c r="A597" s="507"/>
      <c r="B597" s="572"/>
      <c r="C597" s="572"/>
      <c r="D597" s="572"/>
      <c r="E597" s="572"/>
      <c r="F597" s="572"/>
      <c r="G597" s="572"/>
      <c r="H597" s="572"/>
      <c r="I597" s="572"/>
      <c r="J597" s="507"/>
      <c r="K597" s="507"/>
      <c r="L597" s="507"/>
      <c r="M597" s="507"/>
      <c r="N597" s="507"/>
      <c r="O597" s="507"/>
      <c r="P597" s="507"/>
      <c r="Q597" s="507"/>
      <c r="R597" s="507"/>
      <c r="S597" s="507"/>
      <c r="T597" s="507"/>
      <c r="U597" s="507"/>
      <c r="V597" s="507"/>
      <c r="W597" s="507"/>
      <c r="X597" s="507"/>
      <c r="Y597" s="507"/>
      <c r="Z597" s="507"/>
    </row>
    <row r="598">
      <c r="A598" s="507"/>
      <c r="B598" s="572"/>
      <c r="C598" s="572"/>
      <c r="D598" s="572"/>
      <c r="E598" s="572"/>
      <c r="F598" s="572"/>
      <c r="G598" s="572"/>
      <c r="H598" s="572"/>
      <c r="I598" s="572"/>
      <c r="J598" s="507"/>
      <c r="K598" s="507"/>
      <c r="L598" s="507"/>
      <c r="M598" s="507"/>
      <c r="N598" s="507"/>
      <c r="O598" s="507"/>
      <c r="P598" s="507"/>
      <c r="Q598" s="507"/>
      <c r="R598" s="507"/>
      <c r="S598" s="507"/>
      <c r="T598" s="507"/>
      <c r="U598" s="507"/>
      <c r="V598" s="507"/>
      <c r="W598" s="507"/>
      <c r="X598" s="507"/>
      <c r="Y598" s="507"/>
      <c r="Z598" s="507"/>
    </row>
    <row r="599">
      <c r="A599" s="507"/>
      <c r="B599" s="572"/>
      <c r="C599" s="572"/>
      <c r="D599" s="572"/>
      <c r="E599" s="572"/>
      <c r="F599" s="572"/>
      <c r="G599" s="572"/>
      <c r="H599" s="572"/>
      <c r="I599" s="572"/>
      <c r="J599" s="507"/>
      <c r="K599" s="507"/>
      <c r="L599" s="507"/>
      <c r="M599" s="507"/>
      <c r="N599" s="507"/>
      <c r="O599" s="507"/>
      <c r="P599" s="507"/>
      <c r="Q599" s="507"/>
      <c r="R599" s="507"/>
      <c r="S599" s="507"/>
      <c r="T599" s="507"/>
      <c r="U599" s="507"/>
      <c r="V599" s="507"/>
      <c r="W599" s="507"/>
      <c r="X599" s="507"/>
      <c r="Y599" s="507"/>
      <c r="Z599" s="507"/>
    </row>
    <row r="600">
      <c r="A600" s="507"/>
      <c r="B600" s="572"/>
      <c r="C600" s="572"/>
      <c r="D600" s="572"/>
      <c r="E600" s="572"/>
      <c r="F600" s="572"/>
      <c r="G600" s="572"/>
      <c r="H600" s="572"/>
      <c r="I600" s="572"/>
      <c r="J600" s="507"/>
      <c r="K600" s="507"/>
      <c r="L600" s="507"/>
      <c r="M600" s="507"/>
      <c r="N600" s="507"/>
      <c r="O600" s="507"/>
      <c r="P600" s="507"/>
      <c r="Q600" s="507"/>
      <c r="R600" s="507"/>
      <c r="S600" s="507"/>
      <c r="T600" s="507"/>
      <c r="U600" s="507"/>
      <c r="V600" s="507"/>
      <c r="W600" s="507"/>
      <c r="X600" s="507"/>
      <c r="Y600" s="507"/>
      <c r="Z600" s="507"/>
    </row>
    <row r="601">
      <c r="A601" s="507"/>
      <c r="B601" s="572"/>
      <c r="C601" s="572"/>
      <c r="D601" s="572"/>
      <c r="E601" s="572"/>
      <c r="F601" s="572"/>
      <c r="G601" s="572"/>
      <c r="H601" s="572"/>
      <c r="I601" s="572"/>
      <c r="J601" s="507"/>
      <c r="K601" s="507"/>
      <c r="L601" s="507"/>
      <c r="M601" s="507"/>
      <c r="N601" s="507"/>
      <c r="O601" s="507"/>
      <c r="P601" s="507"/>
      <c r="Q601" s="507"/>
      <c r="R601" s="507"/>
      <c r="S601" s="507"/>
      <c r="T601" s="507"/>
      <c r="U601" s="507"/>
      <c r="V601" s="507"/>
      <c r="W601" s="507"/>
      <c r="X601" s="507"/>
      <c r="Y601" s="507"/>
      <c r="Z601" s="507"/>
    </row>
    <row r="602">
      <c r="A602" s="507"/>
      <c r="B602" s="572"/>
      <c r="C602" s="572"/>
      <c r="D602" s="572"/>
      <c r="E602" s="572"/>
      <c r="F602" s="572"/>
      <c r="G602" s="572"/>
      <c r="H602" s="572"/>
      <c r="I602" s="572"/>
      <c r="J602" s="507"/>
      <c r="K602" s="507"/>
      <c r="L602" s="507"/>
      <c r="M602" s="507"/>
      <c r="N602" s="507"/>
      <c r="O602" s="507"/>
      <c r="P602" s="507"/>
      <c r="Q602" s="507"/>
      <c r="R602" s="507"/>
      <c r="S602" s="507"/>
      <c r="T602" s="507"/>
      <c r="U602" s="507"/>
      <c r="V602" s="507"/>
      <c r="W602" s="507"/>
      <c r="X602" s="507"/>
      <c r="Y602" s="507"/>
      <c r="Z602" s="507"/>
    </row>
    <row r="603">
      <c r="A603" s="507"/>
      <c r="B603" s="572"/>
      <c r="C603" s="572"/>
      <c r="D603" s="572"/>
      <c r="E603" s="572"/>
      <c r="F603" s="572"/>
      <c r="G603" s="572"/>
      <c r="H603" s="572"/>
      <c r="I603" s="572"/>
      <c r="J603" s="507"/>
      <c r="K603" s="507"/>
      <c r="L603" s="507"/>
      <c r="M603" s="507"/>
      <c r="N603" s="507"/>
      <c r="O603" s="507"/>
      <c r="P603" s="507"/>
      <c r="Q603" s="507"/>
      <c r="R603" s="507"/>
      <c r="S603" s="507"/>
      <c r="T603" s="507"/>
      <c r="U603" s="507"/>
      <c r="V603" s="507"/>
      <c r="W603" s="507"/>
      <c r="X603" s="507"/>
      <c r="Y603" s="507"/>
      <c r="Z603" s="507"/>
    </row>
    <row r="604">
      <c r="A604" s="507"/>
      <c r="B604" s="572"/>
      <c r="C604" s="572"/>
      <c r="D604" s="572"/>
      <c r="E604" s="572"/>
      <c r="F604" s="572"/>
      <c r="G604" s="572"/>
      <c r="H604" s="572"/>
      <c r="I604" s="572"/>
      <c r="J604" s="507"/>
      <c r="K604" s="507"/>
      <c r="L604" s="507"/>
      <c r="M604" s="507"/>
      <c r="N604" s="507"/>
      <c r="O604" s="507"/>
      <c r="P604" s="507"/>
      <c r="Q604" s="507"/>
      <c r="R604" s="507"/>
      <c r="S604" s="507"/>
      <c r="T604" s="507"/>
      <c r="U604" s="507"/>
      <c r="V604" s="507"/>
      <c r="W604" s="507"/>
      <c r="X604" s="507"/>
      <c r="Y604" s="507"/>
      <c r="Z604" s="507"/>
    </row>
    <row r="605">
      <c r="A605" s="507"/>
      <c r="B605" s="572"/>
      <c r="C605" s="572"/>
      <c r="D605" s="572"/>
      <c r="E605" s="572"/>
      <c r="F605" s="572"/>
      <c r="G605" s="572"/>
      <c r="H605" s="572"/>
      <c r="I605" s="572"/>
      <c r="J605" s="507"/>
      <c r="K605" s="507"/>
      <c r="L605" s="507"/>
      <c r="M605" s="507"/>
      <c r="N605" s="507"/>
      <c r="O605" s="507"/>
      <c r="P605" s="507"/>
      <c r="Q605" s="507"/>
      <c r="R605" s="507"/>
      <c r="S605" s="507"/>
      <c r="T605" s="507"/>
      <c r="U605" s="507"/>
      <c r="V605" s="507"/>
      <c r="W605" s="507"/>
      <c r="X605" s="507"/>
      <c r="Y605" s="507"/>
      <c r="Z605" s="507"/>
    </row>
    <row r="606">
      <c r="A606" s="507"/>
      <c r="B606" s="572"/>
      <c r="C606" s="572"/>
      <c r="D606" s="572"/>
      <c r="E606" s="572"/>
      <c r="F606" s="572"/>
      <c r="G606" s="572"/>
      <c r="H606" s="572"/>
      <c r="I606" s="572"/>
      <c r="J606" s="507"/>
      <c r="K606" s="507"/>
      <c r="L606" s="507"/>
      <c r="M606" s="507"/>
      <c r="N606" s="507"/>
      <c r="O606" s="507"/>
      <c r="P606" s="507"/>
      <c r="Q606" s="507"/>
      <c r="R606" s="507"/>
      <c r="S606" s="507"/>
      <c r="T606" s="507"/>
      <c r="U606" s="507"/>
      <c r="V606" s="507"/>
      <c r="W606" s="507"/>
      <c r="X606" s="507"/>
      <c r="Y606" s="507"/>
      <c r="Z606" s="507"/>
    </row>
    <row r="607">
      <c r="A607" s="507"/>
      <c r="B607" s="572"/>
      <c r="C607" s="572"/>
      <c r="D607" s="572"/>
      <c r="E607" s="572"/>
      <c r="F607" s="572"/>
      <c r="G607" s="572"/>
      <c r="H607" s="572"/>
      <c r="I607" s="572"/>
      <c r="J607" s="507"/>
      <c r="K607" s="507"/>
      <c r="L607" s="507"/>
      <c r="M607" s="507"/>
      <c r="N607" s="507"/>
      <c r="O607" s="507"/>
      <c r="P607" s="507"/>
      <c r="Q607" s="507"/>
      <c r="R607" s="507"/>
      <c r="S607" s="507"/>
      <c r="T607" s="507"/>
      <c r="U607" s="507"/>
      <c r="V607" s="507"/>
      <c r="W607" s="507"/>
      <c r="X607" s="507"/>
      <c r="Y607" s="507"/>
      <c r="Z607" s="507"/>
    </row>
    <row r="608">
      <c r="A608" s="507"/>
      <c r="B608" s="572"/>
      <c r="C608" s="572"/>
      <c r="D608" s="572"/>
      <c r="E608" s="572"/>
      <c r="F608" s="572"/>
      <c r="G608" s="572"/>
      <c r="H608" s="572"/>
      <c r="I608" s="572"/>
      <c r="J608" s="507"/>
      <c r="K608" s="507"/>
      <c r="L608" s="507"/>
      <c r="M608" s="507"/>
      <c r="N608" s="507"/>
      <c r="O608" s="507"/>
      <c r="P608" s="507"/>
      <c r="Q608" s="507"/>
      <c r="R608" s="507"/>
      <c r="S608" s="507"/>
      <c r="T608" s="507"/>
      <c r="U608" s="507"/>
      <c r="V608" s="507"/>
      <c r="W608" s="507"/>
      <c r="X608" s="507"/>
      <c r="Y608" s="507"/>
      <c r="Z608" s="507"/>
    </row>
    <row r="609">
      <c r="A609" s="507"/>
      <c r="B609" s="572"/>
      <c r="C609" s="572"/>
      <c r="D609" s="572"/>
      <c r="E609" s="572"/>
      <c r="F609" s="572"/>
      <c r="G609" s="572"/>
      <c r="H609" s="572"/>
      <c r="I609" s="572"/>
      <c r="J609" s="507"/>
      <c r="K609" s="507"/>
      <c r="L609" s="507"/>
      <c r="M609" s="507"/>
      <c r="N609" s="507"/>
      <c r="O609" s="507"/>
      <c r="P609" s="507"/>
      <c r="Q609" s="507"/>
      <c r="R609" s="507"/>
      <c r="S609" s="507"/>
      <c r="T609" s="507"/>
      <c r="U609" s="507"/>
      <c r="V609" s="507"/>
      <c r="W609" s="507"/>
      <c r="X609" s="507"/>
      <c r="Y609" s="507"/>
      <c r="Z609" s="507"/>
    </row>
    <row r="610">
      <c r="A610" s="507"/>
      <c r="B610" s="572"/>
      <c r="C610" s="572"/>
      <c r="D610" s="572"/>
      <c r="E610" s="572"/>
      <c r="F610" s="572"/>
      <c r="G610" s="572"/>
      <c r="H610" s="572"/>
      <c r="I610" s="572"/>
      <c r="J610" s="507"/>
      <c r="K610" s="507"/>
      <c r="L610" s="507"/>
      <c r="M610" s="507"/>
      <c r="N610" s="507"/>
      <c r="O610" s="507"/>
      <c r="P610" s="507"/>
      <c r="Q610" s="507"/>
      <c r="R610" s="507"/>
      <c r="S610" s="507"/>
      <c r="T610" s="507"/>
      <c r="U610" s="507"/>
      <c r="V610" s="507"/>
      <c r="W610" s="507"/>
      <c r="X610" s="507"/>
      <c r="Y610" s="507"/>
      <c r="Z610" s="507"/>
    </row>
    <row r="611">
      <c r="A611" s="507"/>
      <c r="B611" s="572"/>
      <c r="C611" s="572"/>
      <c r="D611" s="572"/>
      <c r="E611" s="572"/>
      <c r="F611" s="572"/>
      <c r="G611" s="572"/>
      <c r="H611" s="572"/>
      <c r="I611" s="572"/>
      <c r="J611" s="507"/>
      <c r="K611" s="507"/>
      <c r="L611" s="507"/>
      <c r="M611" s="507"/>
      <c r="N611" s="507"/>
      <c r="O611" s="507"/>
      <c r="P611" s="507"/>
      <c r="Q611" s="507"/>
      <c r="R611" s="507"/>
      <c r="S611" s="507"/>
      <c r="T611" s="507"/>
      <c r="U611" s="507"/>
      <c r="V611" s="507"/>
      <c r="W611" s="507"/>
      <c r="X611" s="507"/>
      <c r="Y611" s="507"/>
      <c r="Z611" s="507"/>
    </row>
    <row r="612">
      <c r="A612" s="507"/>
      <c r="B612" s="572"/>
      <c r="C612" s="572"/>
      <c r="D612" s="572"/>
      <c r="E612" s="572"/>
      <c r="F612" s="572"/>
      <c r="G612" s="572"/>
      <c r="H612" s="572"/>
      <c r="I612" s="572"/>
      <c r="J612" s="507"/>
      <c r="K612" s="507"/>
      <c r="L612" s="507"/>
      <c r="M612" s="507"/>
      <c r="N612" s="507"/>
      <c r="O612" s="507"/>
      <c r="P612" s="507"/>
      <c r="Q612" s="507"/>
      <c r="R612" s="507"/>
      <c r="S612" s="507"/>
      <c r="T612" s="507"/>
      <c r="U612" s="507"/>
      <c r="V612" s="507"/>
      <c r="W612" s="507"/>
      <c r="X612" s="507"/>
      <c r="Y612" s="507"/>
      <c r="Z612" s="507"/>
    </row>
    <row r="613">
      <c r="A613" s="507"/>
      <c r="B613" s="572"/>
      <c r="C613" s="572"/>
      <c r="D613" s="572"/>
      <c r="E613" s="572"/>
      <c r="F613" s="572"/>
      <c r="G613" s="572"/>
      <c r="H613" s="572"/>
      <c r="I613" s="572"/>
      <c r="J613" s="507"/>
      <c r="K613" s="507"/>
      <c r="L613" s="507"/>
      <c r="M613" s="507"/>
      <c r="N613" s="507"/>
      <c r="O613" s="507"/>
      <c r="P613" s="507"/>
      <c r="Q613" s="507"/>
      <c r="R613" s="507"/>
      <c r="S613" s="507"/>
      <c r="T613" s="507"/>
      <c r="U613" s="507"/>
      <c r="V613" s="507"/>
      <c r="W613" s="507"/>
      <c r="X613" s="507"/>
      <c r="Y613" s="507"/>
      <c r="Z613" s="507"/>
    </row>
    <row r="614">
      <c r="A614" s="507"/>
      <c r="B614" s="572"/>
      <c r="C614" s="572"/>
      <c r="D614" s="572"/>
      <c r="E614" s="572"/>
      <c r="F614" s="572"/>
      <c r="G614" s="572"/>
      <c r="H614" s="572"/>
      <c r="I614" s="572"/>
      <c r="J614" s="507"/>
      <c r="K614" s="507"/>
      <c r="L614" s="507"/>
      <c r="M614" s="507"/>
      <c r="N614" s="507"/>
      <c r="O614" s="507"/>
      <c r="P614" s="507"/>
      <c r="Q614" s="507"/>
      <c r="R614" s="507"/>
      <c r="S614" s="507"/>
      <c r="T614" s="507"/>
      <c r="U614" s="507"/>
      <c r="V614" s="507"/>
      <c r="W614" s="507"/>
      <c r="X614" s="507"/>
      <c r="Y614" s="507"/>
      <c r="Z614" s="507"/>
    </row>
    <row r="615">
      <c r="A615" s="507"/>
      <c r="B615" s="572"/>
      <c r="C615" s="572"/>
      <c r="D615" s="572"/>
      <c r="E615" s="572"/>
      <c r="F615" s="572"/>
      <c r="G615" s="572"/>
      <c r="H615" s="572"/>
      <c r="I615" s="572"/>
      <c r="J615" s="507"/>
      <c r="K615" s="507"/>
      <c r="L615" s="507"/>
      <c r="M615" s="507"/>
      <c r="N615" s="507"/>
      <c r="O615" s="507"/>
      <c r="P615" s="507"/>
      <c r="Q615" s="507"/>
      <c r="R615" s="507"/>
      <c r="S615" s="507"/>
      <c r="T615" s="507"/>
      <c r="U615" s="507"/>
      <c r="V615" s="507"/>
      <c r="W615" s="507"/>
      <c r="X615" s="507"/>
      <c r="Y615" s="507"/>
      <c r="Z615" s="507"/>
    </row>
    <row r="616">
      <c r="A616" s="507"/>
      <c r="B616" s="572"/>
      <c r="C616" s="572"/>
      <c r="D616" s="572"/>
      <c r="E616" s="572"/>
      <c r="F616" s="572"/>
      <c r="G616" s="572"/>
      <c r="H616" s="572"/>
      <c r="I616" s="572"/>
      <c r="J616" s="507"/>
      <c r="K616" s="507"/>
      <c r="L616" s="507"/>
      <c r="M616" s="507"/>
      <c r="N616" s="507"/>
      <c r="O616" s="507"/>
      <c r="P616" s="507"/>
      <c r="Q616" s="507"/>
      <c r="R616" s="507"/>
      <c r="S616" s="507"/>
      <c r="T616" s="507"/>
      <c r="U616" s="507"/>
      <c r="V616" s="507"/>
      <c r="W616" s="507"/>
      <c r="X616" s="507"/>
      <c r="Y616" s="507"/>
      <c r="Z616" s="507"/>
    </row>
    <row r="617">
      <c r="A617" s="507"/>
      <c r="B617" s="572"/>
      <c r="C617" s="572"/>
      <c r="D617" s="572"/>
      <c r="E617" s="572"/>
      <c r="F617" s="572"/>
      <c r="G617" s="572"/>
      <c r="H617" s="572"/>
      <c r="I617" s="572"/>
      <c r="J617" s="507"/>
      <c r="K617" s="507"/>
      <c r="L617" s="507"/>
      <c r="M617" s="507"/>
      <c r="N617" s="507"/>
      <c r="O617" s="507"/>
      <c r="P617" s="507"/>
      <c r="Q617" s="507"/>
      <c r="R617" s="507"/>
      <c r="S617" s="507"/>
      <c r="T617" s="507"/>
      <c r="U617" s="507"/>
      <c r="V617" s="507"/>
      <c r="W617" s="507"/>
      <c r="X617" s="507"/>
      <c r="Y617" s="507"/>
      <c r="Z617" s="507"/>
    </row>
    <row r="618">
      <c r="A618" s="507"/>
      <c r="B618" s="572"/>
      <c r="C618" s="572"/>
      <c r="D618" s="572"/>
      <c r="E618" s="572"/>
      <c r="F618" s="572"/>
      <c r="G618" s="572"/>
      <c r="H618" s="572"/>
      <c r="I618" s="572"/>
      <c r="J618" s="507"/>
      <c r="K618" s="507"/>
      <c r="L618" s="507"/>
      <c r="M618" s="507"/>
      <c r="N618" s="507"/>
      <c r="O618" s="507"/>
      <c r="P618" s="507"/>
      <c r="Q618" s="507"/>
      <c r="R618" s="507"/>
      <c r="S618" s="507"/>
      <c r="T618" s="507"/>
      <c r="U618" s="507"/>
      <c r="V618" s="507"/>
      <c r="W618" s="507"/>
      <c r="X618" s="507"/>
      <c r="Y618" s="507"/>
      <c r="Z618" s="507"/>
    </row>
    <row r="619">
      <c r="A619" s="507"/>
      <c r="B619" s="572"/>
      <c r="C619" s="572"/>
      <c r="D619" s="572"/>
      <c r="E619" s="572"/>
      <c r="F619" s="572"/>
      <c r="G619" s="572"/>
      <c r="H619" s="572"/>
      <c r="I619" s="572"/>
      <c r="J619" s="507"/>
      <c r="K619" s="507"/>
      <c r="L619" s="507"/>
      <c r="M619" s="507"/>
      <c r="N619" s="507"/>
      <c r="O619" s="507"/>
      <c r="P619" s="507"/>
      <c r="Q619" s="507"/>
      <c r="R619" s="507"/>
      <c r="S619" s="507"/>
      <c r="T619" s="507"/>
      <c r="U619" s="507"/>
      <c r="V619" s="507"/>
      <c r="W619" s="507"/>
      <c r="X619" s="507"/>
      <c r="Y619" s="507"/>
      <c r="Z619" s="507"/>
    </row>
    <row r="620">
      <c r="A620" s="507"/>
      <c r="B620" s="572"/>
      <c r="C620" s="572"/>
      <c r="D620" s="572"/>
      <c r="E620" s="572"/>
      <c r="F620" s="572"/>
      <c r="G620" s="572"/>
      <c r="H620" s="572"/>
      <c r="I620" s="572"/>
      <c r="J620" s="507"/>
      <c r="K620" s="507"/>
      <c r="L620" s="507"/>
      <c r="M620" s="507"/>
      <c r="N620" s="507"/>
      <c r="O620" s="507"/>
      <c r="P620" s="507"/>
      <c r="Q620" s="507"/>
      <c r="R620" s="507"/>
      <c r="S620" s="507"/>
      <c r="T620" s="507"/>
      <c r="U620" s="507"/>
      <c r="V620" s="507"/>
      <c r="W620" s="507"/>
      <c r="X620" s="507"/>
      <c r="Y620" s="507"/>
      <c r="Z620" s="507"/>
    </row>
    <row r="621">
      <c r="A621" s="507"/>
      <c r="B621" s="572"/>
      <c r="C621" s="572"/>
      <c r="D621" s="572"/>
      <c r="E621" s="572"/>
      <c r="F621" s="572"/>
      <c r="G621" s="572"/>
      <c r="H621" s="572"/>
      <c r="I621" s="572"/>
      <c r="J621" s="507"/>
      <c r="K621" s="507"/>
      <c r="L621" s="507"/>
      <c r="M621" s="507"/>
      <c r="N621" s="507"/>
      <c r="O621" s="507"/>
      <c r="P621" s="507"/>
      <c r="Q621" s="507"/>
      <c r="R621" s="507"/>
      <c r="S621" s="507"/>
      <c r="T621" s="507"/>
      <c r="U621" s="507"/>
      <c r="V621" s="507"/>
      <c r="W621" s="507"/>
      <c r="X621" s="507"/>
      <c r="Y621" s="507"/>
      <c r="Z621" s="507"/>
    </row>
    <row r="622">
      <c r="A622" s="507"/>
      <c r="B622" s="572"/>
      <c r="C622" s="572"/>
      <c r="D622" s="572"/>
      <c r="E622" s="572"/>
      <c r="F622" s="572"/>
      <c r="G622" s="572"/>
      <c r="H622" s="572"/>
      <c r="I622" s="572"/>
      <c r="J622" s="507"/>
      <c r="K622" s="507"/>
      <c r="L622" s="507"/>
      <c r="M622" s="507"/>
      <c r="N622" s="507"/>
      <c r="O622" s="507"/>
      <c r="P622" s="507"/>
      <c r="Q622" s="507"/>
      <c r="R622" s="507"/>
      <c r="S622" s="507"/>
      <c r="T622" s="507"/>
      <c r="U622" s="507"/>
      <c r="V622" s="507"/>
      <c r="W622" s="507"/>
      <c r="X622" s="507"/>
      <c r="Y622" s="507"/>
      <c r="Z622" s="507"/>
    </row>
    <row r="623">
      <c r="A623" s="507"/>
      <c r="B623" s="572"/>
      <c r="C623" s="572"/>
      <c r="D623" s="572"/>
      <c r="E623" s="572"/>
      <c r="F623" s="572"/>
      <c r="G623" s="572"/>
      <c r="H623" s="572"/>
      <c r="I623" s="572"/>
      <c r="J623" s="507"/>
      <c r="K623" s="507"/>
      <c r="L623" s="507"/>
      <c r="M623" s="507"/>
      <c r="N623" s="507"/>
      <c r="O623" s="507"/>
      <c r="P623" s="507"/>
      <c r="Q623" s="507"/>
      <c r="R623" s="507"/>
      <c r="S623" s="507"/>
      <c r="T623" s="507"/>
      <c r="U623" s="507"/>
      <c r="V623" s="507"/>
      <c r="W623" s="507"/>
      <c r="X623" s="507"/>
      <c r="Y623" s="507"/>
      <c r="Z623" s="507"/>
    </row>
    <row r="624">
      <c r="A624" s="507"/>
      <c r="B624" s="572"/>
      <c r="C624" s="572"/>
      <c r="D624" s="572"/>
      <c r="E624" s="572"/>
      <c r="F624" s="572"/>
      <c r="G624" s="572"/>
      <c r="H624" s="572"/>
      <c r="I624" s="572"/>
      <c r="J624" s="507"/>
      <c r="K624" s="507"/>
      <c r="L624" s="507"/>
      <c r="M624" s="507"/>
      <c r="N624" s="507"/>
      <c r="O624" s="507"/>
      <c r="P624" s="507"/>
      <c r="Q624" s="507"/>
      <c r="R624" s="507"/>
      <c r="S624" s="507"/>
      <c r="T624" s="507"/>
      <c r="U624" s="507"/>
      <c r="V624" s="507"/>
      <c r="W624" s="507"/>
      <c r="X624" s="507"/>
      <c r="Y624" s="507"/>
      <c r="Z624" s="507"/>
    </row>
    <row r="625">
      <c r="A625" s="507"/>
      <c r="B625" s="572"/>
      <c r="C625" s="572"/>
      <c r="D625" s="572"/>
      <c r="E625" s="572"/>
      <c r="F625" s="572"/>
      <c r="G625" s="572"/>
      <c r="H625" s="572"/>
      <c r="I625" s="572"/>
      <c r="J625" s="507"/>
      <c r="K625" s="507"/>
      <c r="L625" s="507"/>
      <c r="M625" s="507"/>
      <c r="N625" s="507"/>
      <c r="O625" s="507"/>
      <c r="P625" s="507"/>
      <c r="Q625" s="507"/>
      <c r="R625" s="507"/>
      <c r="S625" s="507"/>
      <c r="T625" s="507"/>
      <c r="U625" s="507"/>
      <c r="V625" s="507"/>
      <c r="W625" s="507"/>
      <c r="X625" s="507"/>
      <c r="Y625" s="507"/>
      <c r="Z625" s="507"/>
    </row>
    <row r="626">
      <c r="A626" s="507"/>
      <c r="B626" s="572"/>
      <c r="C626" s="572"/>
      <c r="D626" s="572"/>
      <c r="E626" s="572"/>
      <c r="F626" s="572"/>
      <c r="G626" s="572"/>
      <c r="H626" s="572"/>
      <c r="I626" s="572"/>
      <c r="J626" s="507"/>
      <c r="K626" s="507"/>
      <c r="L626" s="507"/>
      <c r="M626" s="507"/>
      <c r="N626" s="507"/>
      <c r="O626" s="507"/>
      <c r="P626" s="507"/>
      <c r="Q626" s="507"/>
      <c r="R626" s="507"/>
      <c r="S626" s="507"/>
      <c r="T626" s="507"/>
      <c r="U626" s="507"/>
      <c r="V626" s="507"/>
      <c r="W626" s="507"/>
      <c r="X626" s="507"/>
      <c r="Y626" s="507"/>
      <c r="Z626" s="507"/>
    </row>
    <row r="627">
      <c r="A627" s="507"/>
      <c r="B627" s="572"/>
      <c r="C627" s="572"/>
      <c r="D627" s="572"/>
      <c r="E627" s="572"/>
      <c r="F627" s="572"/>
      <c r="G627" s="572"/>
      <c r="H627" s="572"/>
      <c r="I627" s="572"/>
      <c r="J627" s="507"/>
      <c r="K627" s="507"/>
      <c r="L627" s="507"/>
      <c r="M627" s="507"/>
      <c r="N627" s="507"/>
      <c r="O627" s="507"/>
      <c r="P627" s="507"/>
      <c r="Q627" s="507"/>
      <c r="R627" s="507"/>
      <c r="S627" s="507"/>
      <c r="T627" s="507"/>
      <c r="U627" s="507"/>
      <c r="V627" s="507"/>
      <c r="W627" s="507"/>
      <c r="X627" s="507"/>
      <c r="Y627" s="507"/>
      <c r="Z627" s="507"/>
    </row>
    <row r="628">
      <c r="A628" s="507"/>
      <c r="B628" s="572"/>
      <c r="C628" s="572"/>
      <c r="D628" s="572"/>
      <c r="E628" s="572"/>
      <c r="F628" s="572"/>
      <c r="G628" s="572"/>
      <c r="H628" s="572"/>
      <c r="I628" s="572"/>
      <c r="J628" s="507"/>
      <c r="K628" s="507"/>
      <c r="L628" s="507"/>
      <c r="M628" s="507"/>
      <c r="N628" s="507"/>
      <c r="O628" s="507"/>
      <c r="P628" s="507"/>
      <c r="Q628" s="507"/>
      <c r="R628" s="507"/>
      <c r="S628" s="507"/>
      <c r="T628" s="507"/>
      <c r="U628" s="507"/>
      <c r="V628" s="507"/>
      <c r="W628" s="507"/>
      <c r="X628" s="507"/>
      <c r="Y628" s="507"/>
      <c r="Z628" s="507"/>
    </row>
    <row r="629">
      <c r="A629" s="507"/>
      <c r="B629" s="572"/>
      <c r="C629" s="572"/>
      <c r="D629" s="572"/>
      <c r="E629" s="572"/>
      <c r="F629" s="572"/>
      <c r="G629" s="572"/>
      <c r="H629" s="572"/>
      <c r="I629" s="572"/>
      <c r="J629" s="507"/>
      <c r="K629" s="507"/>
      <c r="L629" s="507"/>
      <c r="M629" s="507"/>
      <c r="N629" s="507"/>
      <c r="O629" s="507"/>
      <c r="P629" s="507"/>
      <c r="Q629" s="507"/>
      <c r="R629" s="507"/>
      <c r="S629" s="507"/>
      <c r="T629" s="507"/>
      <c r="U629" s="507"/>
      <c r="V629" s="507"/>
      <c r="W629" s="507"/>
      <c r="X629" s="507"/>
      <c r="Y629" s="507"/>
      <c r="Z629" s="507"/>
    </row>
    <row r="630">
      <c r="A630" s="507"/>
      <c r="B630" s="572"/>
      <c r="C630" s="572"/>
      <c r="D630" s="572"/>
      <c r="E630" s="572"/>
      <c r="F630" s="572"/>
      <c r="G630" s="572"/>
      <c r="H630" s="572"/>
      <c r="I630" s="572"/>
      <c r="J630" s="507"/>
      <c r="K630" s="507"/>
      <c r="L630" s="507"/>
      <c r="M630" s="507"/>
      <c r="N630" s="507"/>
      <c r="O630" s="507"/>
      <c r="P630" s="507"/>
      <c r="Q630" s="507"/>
      <c r="R630" s="507"/>
      <c r="S630" s="507"/>
      <c r="T630" s="507"/>
      <c r="U630" s="507"/>
      <c r="V630" s="507"/>
      <c r="W630" s="507"/>
      <c r="X630" s="507"/>
      <c r="Y630" s="507"/>
      <c r="Z630" s="507"/>
    </row>
    <row r="631">
      <c r="A631" s="507"/>
      <c r="B631" s="572"/>
      <c r="C631" s="572"/>
      <c r="D631" s="572"/>
      <c r="E631" s="572"/>
      <c r="F631" s="572"/>
      <c r="G631" s="572"/>
      <c r="H631" s="572"/>
      <c r="I631" s="572"/>
      <c r="J631" s="507"/>
      <c r="K631" s="507"/>
      <c r="L631" s="507"/>
      <c r="M631" s="507"/>
      <c r="N631" s="507"/>
      <c r="O631" s="507"/>
      <c r="P631" s="507"/>
      <c r="Q631" s="507"/>
      <c r="R631" s="507"/>
      <c r="S631" s="507"/>
      <c r="T631" s="507"/>
      <c r="U631" s="507"/>
      <c r="V631" s="507"/>
      <c r="W631" s="507"/>
      <c r="X631" s="507"/>
      <c r="Y631" s="507"/>
      <c r="Z631" s="507"/>
    </row>
    <row r="632">
      <c r="A632" s="507"/>
      <c r="B632" s="572"/>
      <c r="C632" s="572"/>
      <c r="D632" s="572"/>
      <c r="E632" s="572"/>
      <c r="F632" s="572"/>
      <c r="G632" s="572"/>
      <c r="H632" s="572"/>
      <c r="I632" s="572"/>
      <c r="J632" s="507"/>
      <c r="K632" s="507"/>
      <c r="L632" s="507"/>
      <c r="M632" s="507"/>
      <c r="N632" s="507"/>
      <c r="O632" s="507"/>
      <c r="P632" s="507"/>
      <c r="Q632" s="507"/>
      <c r="R632" s="507"/>
      <c r="S632" s="507"/>
      <c r="T632" s="507"/>
      <c r="U632" s="507"/>
      <c r="V632" s="507"/>
      <c r="W632" s="507"/>
      <c r="X632" s="507"/>
      <c r="Y632" s="507"/>
      <c r="Z632" s="507"/>
    </row>
    <row r="633">
      <c r="A633" s="507"/>
      <c r="B633" s="572"/>
      <c r="C633" s="572"/>
      <c r="D633" s="572"/>
      <c r="E633" s="572"/>
      <c r="F633" s="572"/>
      <c r="G633" s="572"/>
      <c r="H633" s="572"/>
      <c r="I633" s="572"/>
      <c r="J633" s="507"/>
      <c r="K633" s="507"/>
      <c r="L633" s="507"/>
      <c r="M633" s="507"/>
      <c r="N633" s="507"/>
      <c r="O633" s="507"/>
      <c r="P633" s="507"/>
      <c r="Q633" s="507"/>
      <c r="R633" s="507"/>
      <c r="S633" s="507"/>
      <c r="T633" s="507"/>
      <c r="U633" s="507"/>
      <c r="V633" s="507"/>
      <c r="W633" s="507"/>
      <c r="X633" s="507"/>
      <c r="Y633" s="507"/>
      <c r="Z633" s="507"/>
    </row>
    <row r="634">
      <c r="A634" s="507"/>
      <c r="B634" s="572"/>
      <c r="C634" s="572"/>
      <c r="D634" s="572"/>
      <c r="E634" s="572"/>
      <c r="F634" s="572"/>
      <c r="G634" s="572"/>
      <c r="H634" s="572"/>
      <c r="I634" s="572"/>
      <c r="J634" s="507"/>
      <c r="K634" s="507"/>
      <c r="L634" s="507"/>
      <c r="M634" s="507"/>
      <c r="N634" s="507"/>
      <c r="O634" s="507"/>
      <c r="P634" s="507"/>
      <c r="Q634" s="507"/>
      <c r="R634" s="507"/>
      <c r="S634" s="507"/>
      <c r="T634" s="507"/>
      <c r="U634" s="507"/>
      <c r="V634" s="507"/>
      <c r="W634" s="507"/>
      <c r="X634" s="507"/>
      <c r="Y634" s="507"/>
      <c r="Z634" s="507"/>
    </row>
    <row r="635">
      <c r="A635" s="507"/>
      <c r="B635" s="572"/>
      <c r="C635" s="572"/>
      <c r="D635" s="572"/>
      <c r="E635" s="572"/>
      <c r="F635" s="572"/>
      <c r="G635" s="572"/>
      <c r="H635" s="572"/>
      <c r="I635" s="572"/>
      <c r="J635" s="507"/>
      <c r="K635" s="507"/>
      <c r="L635" s="507"/>
      <c r="M635" s="507"/>
      <c r="N635" s="507"/>
      <c r="O635" s="507"/>
      <c r="P635" s="507"/>
      <c r="Q635" s="507"/>
      <c r="R635" s="507"/>
      <c r="S635" s="507"/>
      <c r="T635" s="507"/>
      <c r="U635" s="507"/>
      <c r="V635" s="507"/>
      <c r="W635" s="507"/>
      <c r="X635" s="507"/>
      <c r="Y635" s="507"/>
      <c r="Z635" s="507"/>
    </row>
    <row r="636">
      <c r="A636" s="507"/>
      <c r="B636" s="572"/>
      <c r="C636" s="572"/>
      <c r="D636" s="572"/>
      <c r="E636" s="572"/>
      <c r="F636" s="572"/>
      <c r="G636" s="572"/>
      <c r="H636" s="572"/>
      <c r="I636" s="572"/>
      <c r="J636" s="507"/>
      <c r="K636" s="507"/>
      <c r="L636" s="507"/>
      <c r="M636" s="507"/>
      <c r="N636" s="507"/>
      <c r="O636" s="507"/>
      <c r="P636" s="507"/>
      <c r="Q636" s="507"/>
      <c r="R636" s="507"/>
      <c r="S636" s="507"/>
      <c r="T636" s="507"/>
      <c r="U636" s="507"/>
      <c r="V636" s="507"/>
      <c r="W636" s="507"/>
      <c r="X636" s="507"/>
      <c r="Y636" s="507"/>
      <c r="Z636" s="507"/>
    </row>
    <row r="637">
      <c r="A637" s="507"/>
      <c r="B637" s="572"/>
      <c r="C637" s="572"/>
      <c r="D637" s="572"/>
      <c r="E637" s="572"/>
      <c r="F637" s="572"/>
      <c r="G637" s="572"/>
      <c r="H637" s="572"/>
      <c r="I637" s="572"/>
      <c r="J637" s="507"/>
      <c r="K637" s="507"/>
      <c r="L637" s="507"/>
      <c r="M637" s="507"/>
      <c r="N637" s="507"/>
      <c r="O637" s="507"/>
      <c r="P637" s="507"/>
      <c r="Q637" s="507"/>
      <c r="R637" s="507"/>
      <c r="S637" s="507"/>
      <c r="T637" s="507"/>
      <c r="U637" s="507"/>
      <c r="V637" s="507"/>
      <c r="W637" s="507"/>
      <c r="X637" s="507"/>
      <c r="Y637" s="507"/>
      <c r="Z637" s="507"/>
    </row>
    <row r="638">
      <c r="A638" s="507"/>
      <c r="B638" s="572"/>
      <c r="C638" s="572"/>
      <c r="D638" s="572"/>
      <c r="E638" s="572"/>
      <c r="F638" s="572"/>
      <c r="G638" s="572"/>
      <c r="H638" s="572"/>
      <c r="I638" s="572"/>
      <c r="J638" s="507"/>
      <c r="K638" s="507"/>
      <c r="L638" s="507"/>
      <c r="M638" s="507"/>
      <c r="N638" s="507"/>
      <c r="O638" s="507"/>
      <c r="P638" s="507"/>
      <c r="Q638" s="507"/>
      <c r="R638" s="507"/>
      <c r="S638" s="507"/>
      <c r="T638" s="507"/>
      <c r="U638" s="507"/>
      <c r="V638" s="507"/>
      <c r="W638" s="507"/>
      <c r="X638" s="507"/>
      <c r="Y638" s="507"/>
      <c r="Z638" s="507"/>
    </row>
    <row r="639">
      <c r="A639" s="507"/>
      <c r="B639" s="572"/>
      <c r="C639" s="572"/>
      <c r="D639" s="572"/>
      <c r="E639" s="572"/>
      <c r="F639" s="572"/>
      <c r="G639" s="572"/>
      <c r="H639" s="572"/>
      <c r="I639" s="572"/>
      <c r="J639" s="507"/>
      <c r="K639" s="507"/>
      <c r="L639" s="507"/>
      <c r="M639" s="507"/>
      <c r="N639" s="507"/>
      <c r="O639" s="507"/>
      <c r="P639" s="507"/>
      <c r="Q639" s="507"/>
      <c r="R639" s="507"/>
      <c r="S639" s="507"/>
      <c r="T639" s="507"/>
      <c r="U639" s="507"/>
      <c r="V639" s="507"/>
      <c r="W639" s="507"/>
      <c r="X639" s="507"/>
      <c r="Y639" s="507"/>
      <c r="Z639" s="507"/>
    </row>
    <row r="640">
      <c r="A640" s="507"/>
      <c r="B640" s="572"/>
      <c r="C640" s="572"/>
      <c r="D640" s="572"/>
      <c r="E640" s="572"/>
      <c r="F640" s="572"/>
      <c r="G640" s="572"/>
      <c r="H640" s="572"/>
      <c r="I640" s="572"/>
      <c r="J640" s="507"/>
      <c r="K640" s="507"/>
      <c r="L640" s="507"/>
      <c r="M640" s="507"/>
      <c r="N640" s="507"/>
      <c r="O640" s="507"/>
      <c r="P640" s="507"/>
      <c r="Q640" s="507"/>
      <c r="R640" s="507"/>
      <c r="S640" s="507"/>
      <c r="T640" s="507"/>
      <c r="U640" s="507"/>
      <c r="V640" s="507"/>
      <c r="W640" s="507"/>
      <c r="X640" s="507"/>
      <c r="Y640" s="507"/>
      <c r="Z640" s="507"/>
    </row>
    <row r="641">
      <c r="A641" s="507"/>
      <c r="B641" s="572"/>
      <c r="C641" s="572"/>
      <c r="D641" s="572"/>
      <c r="E641" s="572"/>
      <c r="F641" s="572"/>
      <c r="G641" s="572"/>
      <c r="H641" s="572"/>
      <c r="I641" s="572"/>
      <c r="J641" s="507"/>
      <c r="K641" s="507"/>
      <c r="L641" s="507"/>
      <c r="M641" s="507"/>
      <c r="N641" s="507"/>
      <c r="O641" s="507"/>
      <c r="P641" s="507"/>
      <c r="Q641" s="507"/>
      <c r="R641" s="507"/>
      <c r="S641" s="507"/>
      <c r="T641" s="507"/>
      <c r="U641" s="507"/>
      <c r="V641" s="507"/>
      <c r="W641" s="507"/>
      <c r="X641" s="507"/>
      <c r="Y641" s="507"/>
      <c r="Z641" s="507"/>
    </row>
    <row r="642">
      <c r="A642" s="507"/>
      <c r="B642" s="572"/>
      <c r="C642" s="572"/>
      <c r="D642" s="572"/>
      <c r="E642" s="572"/>
      <c r="F642" s="572"/>
      <c r="G642" s="572"/>
      <c r="H642" s="572"/>
      <c r="I642" s="572"/>
      <c r="J642" s="507"/>
      <c r="K642" s="507"/>
      <c r="L642" s="507"/>
      <c r="M642" s="507"/>
      <c r="N642" s="507"/>
      <c r="O642" s="507"/>
      <c r="P642" s="507"/>
      <c r="Q642" s="507"/>
      <c r="R642" s="507"/>
      <c r="S642" s="507"/>
      <c r="T642" s="507"/>
      <c r="U642" s="507"/>
      <c r="V642" s="507"/>
      <c r="W642" s="507"/>
      <c r="X642" s="507"/>
      <c r="Y642" s="507"/>
      <c r="Z642" s="507"/>
    </row>
    <row r="643">
      <c r="A643" s="507"/>
      <c r="B643" s="572"/>
      <c r="C643" s="572"/>
      <c r="D643" s="572"/>
      <c r="E643" s="572"/>
      <c r="F643" s="572"/>
      <c r="G643" s="572"/>
      <c r="H643" s="572"/>
      <c r="I643" s="572"/>
      <c r="J643" s="507"/>
      <c r="K643" s="507"/>
      <c r="L643" s="507"/>
      <c r="M643" s="507"/>
      <c r="N643" s="507"/>
      <c r="O643" s="507"/>
      <c r="P643" s="507"/>
      <c r="Q643" s="507"/>
      <c r="R643" s="507"/>
      <c r="S643" s="507"/>
      <c r="T643" s="507"/>
      <c r="U643" s="507"/>
      <c r="V643" s="507"/>
      <c r="W643" s="507"/>
      <c r="X643" s="507"/>
      <c r="Y643" s="507"/>
      <c r="Z643" s="507"/>
    </row>
    <row r="644">
      <c r="A644" s="507"/>
      <c r="B644" s="572"/>
      <c r="C644" s="572"/>
      <c r="D644" s="572"/>
      <c r="E644" s="572"/>
      <c r="F644" s="572"/>
      <c r="G644" s="572"/>
      <c r="H644" s="572"/>
      <c r="I644" s="572"/>
      <c r="J644" s="507"/>
      <c r="K644" s="507"/>
      <c r="L644" s="507"/>
      <c r="M644" s="507"/>
      <c r="N644" s="507"/>
      <c r="O644" s="507"/>
      <c r="P644" s="507"/>
      <c r="Q644" s="507"/>
      <c r="R644" s="507"/>
      <c r="S644" s="507"/>
      <c r="T644" s="507"/>
      <c r="U644" s="507"/>
      <c r="V644" s="507"/>
      <c r="W644" s="507"/>
      <c r="X644" s="507"/>
      <c r="Y644" s="507"/>
      <c r="Z644" s="507"/>
    </row>
    <row r="645">
      <c r="A645" s="507"/>
      <c r="B645" s="572"/>
      <c r="C645" s="572"/>
      <c r="D645" s="572"/>
      <c r="E645" s="572"/>
      <c r="F645" s="572"/>
      <c r="G645" s="572"/>
      <c r="H645" s="572"/>
      <c r="I645" s="572"/>
      <c r="J645" s="507"/>
      <c r="K645" s="507"/>
      <c r="L645" s="507"/>
      <c r="M645" s="507"/>
      <c r="N645" s="507"/>
      <c r="O645" s="507"/>
      <c r="P645" s="507"/>
      <c r="Q645" s="507"/>
      <c r="R645" s="507"/>
      <c r="S645" s="507"/>
      <c r="T645" s="507"/>
      <c r="U645" s="507"/>
      <c r="V645" s="507"/>
      <c r="W645" s="507"/>
      <c r="X645" s="507"/>
      <c r="Y645" s="507"/>
      <c r="Z645" s="507"/>
    </row>
    <row r="646">
      <c r="A646" s="507"/>
      <c r="B646" s="572"/>
      <c r="C646" s="572"/>
      <c r="D646" s="572"/>
      <c r="E646" s="572"/>
      <c r="F646" s="572"/>
      <c r="G646" s="572"/>
      <c r="H646" s="572"/>
      <c r="I646" s="572"/>
      <c r="J646" s="507"/>
      <c r="K646" s="507"/>
      <c r="L646" s="507"/>
      <c r="M646" s="507"/>
      <c r="N646" s="507"/>
      <c r="O646" s="507"/>
      <c r="P646" s="507"/>
      <c r="Q646" s="507"/>
      <c r="R646" s="507"/>
      <c r="S646" s="507"/>
      <c r="T646" s="507"/>
      <c r="U646" s="507"/>
      <c r="V646" s="507"/>
      <c r="W646" s="507"/>
      <c r="X646" s="507"/>
      <c r="Y646" s="507"/>
      <c r="Z646" s="507"/>
    </row>
    <row r="647">
      <c r="A647" s="507"/>
      <c r="B647" s="572"/>
      <c r="C647" s="572"/>
      <c r="D647" s="572"/>
      <c r="E647" s="572"/>
      <c r="F647" s="572"/>
      <c r="G647" s="572"/>
      <c r="H647" s="572"/>
      <c r="I647" s="572"/>
      <c r="J647" s="507"/>
      <c r="K647" s="507"/>
      <c r="L647" s="507"/>
      <c r="M647" s="507"/>
      <c r="N647" s="507"/>
      <c r="O647" s="507"/>
      <c r="P647" s="507"/>
      <c r="Q647" s="507"/>
      <c r="R647" s="507"/>
      <c r="S647" s="507"/>
      <c r="T647" s="507"/>
      <c r="U647" s="507"/>
      <c r="V647" s="507"/>
      <c r="W647" s="507"/>
      <c r="X647" s="507"/>
      <c r="Y647" s="507"/>
      <c r="Z647" s="507"/>
    </row>
    <row r="648">
      <c r="A648" s="507"/>
      <c r="B648" s="572"/>
      <c r="C648" s="572"/>
      <c r="D648" s="572"/>
      <c r="E648" s="572"/>
      <c r="F648" s="572"/>
      <c r="G648" s="572"/>
      <c r="H648" s="572"/>
      <c r="I648" s="572"/>
      <c r="J648" s="507"/>
      <c r="K648" s="507"/>
      <c r="L648" s="507"/>
      <c r="M648" s="507"/>
      <c r="N648" s="507"/>
      <c r="O648" s="507"/>
      <c r="P648" s="507"/>
      <c r="Q648" s="507"/>
      <c r="R648" s="507"/>
      <c r="S648" s="507"/>
      <c r="T648" s="507"/>
      <c r="U648" s="507"/>
      <c r="V648" s="507"/>
      <c r="W648" s="507"/>
      <c r="X648" s="507"/>
      <c r="Y648" s="507"/>
      <c r="Z648" s="507"/>
    </row>
    <row r="649">
      <c r="A649" s="507"/>
      <c r="B649" s="572"/>
      <c r="C649" s="572"/>
      <c r="D649" s="572"/>
      <c r="E649" s="572"/>
      <c r="F649" s="572"/>
      <c r="G649" s="572"/>
      <c r="H649" s="572"/>
      <c r="I649" s="572"/>
      <c r="J649" s="507"/>
      <c r="K649" s="507"/>
      <c r="L649" s="507"/>
      <c r="M649" s="507"/>
      <c r="N649" s="507"/>
      <c r="O649" s="507"/>
      <c r="P649" s="507"/>
      <c r="Q649" s="507"/>
      <c r="R649" s="507"/>
      <c r="S649" s="507"/>
      <c r="T649" s="507"/>
      <c r="U649" s="507"/>
      <c r="V649" s="507"/>
      <c r="W649" s="507"/>
      <c r="X649" s="507"/>
      <c r="Y649" s="507"/>
      <c r="Z649" s="507"/>
    </row>
    <row r="650">
      <c r="A650" s="507"/>
      <c r="B650" s="572"/>
      <c r="C650" s="572"/>
      <c r="D650" s="572"/>
      <c r="E650" s="572"/>
      <c r="F650" s="572"/>
      <c r="G650" s="572"/>
      <c r="H650" s="572"/>
      <c r="I650" s="572"/>
      <c r="J650" s="507"/>
      <c r="K650" s="507"/>
      <c r="L650" s="507"/>
      <c r="M650" s="507"/>
      <c r="N650" s="507"/>
      <c r="O650" s="507"/>
      <c r="P650" s="507"/>
      <c r="Q650" s="507"/>
      <c r="R650" s="507"/>
      <c r="S650" s="507"/>
      <c r="T650" s="507"/>
      <c r="U650" s="507"/>
      <c r="V650" s="507"/>
      <c r="W650" s="507"/>
      <c r="X650" s="507"/>
      <c r="Y650" s="507"/>
      <c r="Z650" s="507"/>
    </row>
    <row r="651">
      <c r="A651" s="507"/>
      <c r="B651" s="572"/>
      <c r="C651" s="572"/>
      <c r="D651" s="572"/>
      <c r="E651" s="572"/>
      <c r="F651" s="572"/>
      <c r="G651" s="572"/>
      <c r="H651" s="572"/>
      <c r="I651" s="572"/>
      <c r="J651" s="507"/>
      <c r="K651" s="507"/>
      <c r="L651" s="507"/>
      <c r="M651" s="507"/>
      <c r="N651" s="507"/>
      <c r="O651" s="507"/>
      <c r="P651" s="507"/>
      <c r="Q651" s="507"/>
      <c r="R651" s="507"/>
      <c r="S651" s="507"/>
      <c r="T651" s="507"/>
      <c r="U651" s="507"/>
      <c r="V651" s="507"/>
      <c r="W651" s="507"/>
      <c r="X651" s="507"/>
      <c r="Y651" s="507"/>
      <c r="Z651" s="507"/>
    </row>
    <row r="652">
      <c r="A652" s="507"/>
      <c r="B652" s="572"/>
      <c r="C652" s="572"/>
      <c r="D652" s="572"/>
      <c r="E652" s="572"/>
      <c r="F652" s="572"/>
      <c r="G652" s="572"/>
      <c r="H652" s="572"/>
      <c r="I652" s="572"/>
      <c r="J652" s="507"/>
      <c r="K652" s="507"/>
      <c r="L652" s="507"/>
      <c r="M652" s="507"/>
      <c r="N652" s="507"/>
      <c r="O652" s="507"/>
      <c r="P652" s="507"/>
      <c r="Q652" s="507"/>
      <c r="R652" s="507"/>
      <c r="S652" s="507"/>
      <c r="T652" s="507"/>
      <c r="U652" s="507"/>
      <c r="V652" s="507"/>
      <c r="W652" s="507"/>
      <c r="X652" s="507"/>
      <c r="Y652" s="507"/>
      <c r="Z652" s="507"/>
    </row>
    <row r="653">
      <c r="A653" s="507"/>
      <c r="B653" s="572"/>
      <c r="C653" s="572"/>
      <c r="D653" s="572"/>
      <c r="E653" s="572"/>
      <c r="F653" s="572"/>
      <c r="G653" s="572"/>
      <c r="H653" s="572"/>
      <c r="I653" s="572"/>
      <c r="J653" s="507"/>
      <c r="K653" s="507"/>
      <c r="L653" s="507"/>
      <c r="M653" s="507"/>
      <c r="N653" s="507"/>
      <c r="O653" s="507"/>
      <c r="P653" s="507"/>
      <c r="Q653" s="507"/>
      <c r="R653" s="507"/>
      <c r="S653" s="507"/>
      <c r="T653" s="507"/>
      <c r="U653" s="507"/>
      <c r="V653" s="507"/>
      <c r="W653" s="507"/>
      <c r="X653" s="507"/>
      <c r="Y653" s="507"/>
      <c r="Z653" s="507"/>
    </row>
    <row r="654">
      <c r="A654" s="507"/>
      <c r="B654" s="572"/>
      <c r="C654" s="572"/>
      <c r="D654" s="572"/>
      <c r="E654" s="572"/>
      <c r="F654" s="572"/>
      <c r="G654" s="572"/>
      <c r="H654" s="572"/>
      <c r="I654" s="572"/>
      <c r="J654" s="507"/>
      <c r="K654" s="507"/>
      <c r="L654" s="507"/>
      <c r="M654" s="507"/>
      <c r="N654" s="507"/>
      <c r="O654" s="507"/>
      <c r="P654" s="507"/>
      <c r="Q654" s="507"/>
      <c r="R654" s="507"/>
      <c r="S654" s="507"/>
      <c r="T654" s="507"/>
      <c r="U654" s="507"/>
      <c r="V654" s="507"/>
      <c r="W654" s="507"/>
      <c r="X654" s="507"/>
      <c r="Y654" s="507"/>
      <c r="Z654" s="507"/>
    </row>
    <row r="655">
      <c r="A655" s="507"/>
      <c r="B655" s="572"/>
      <c r="C655" s="572"/>
      <c r="D655" s="572"/>
      <c r="E655" s="572"/>
      <c r="F655" s="572"/>
      <c r="G655" s="572"/>
      <c r="H655" s="572"/>
      <c r="I655" s="572"/>
      <c r="J655" s="507"/>
      <c r="K655" s="507"/>
      <c r="L655" s="507"/>
      <c r="M655" s="507"/>
      <c r="N655" s="507"/>
      <c r="O655" s="507"/>
      <c r="P655" s="507"/>
      <c r="Q655" s="507"/>
      <c r="R655" s="507"/>
      <c r="S655" s="507"/>
      <c r="T655" s="507"/>
      <c r="U655" s="507"/>
      <c r="V655" s="507"/>
      <c r="W655" s="507"/>
      <c r="X655" s="507"/>
      <c r="Y655" s="507"/>
      <c r="Z655" s="507"/>
    </row>
    <row r="656">
      <c r="A656" s="507"/>
      <c r="B656" s="572"/>
      <c r="C656" s="572"/>
      <c r="D656" s="572"/>
      <c r="E656" s="572"/>
      <c r="F656" s="572"/>
      <c r="G656" s="572"/>
      <c r="H656" s="572"/>
      <c r="I656" s="572"/>
      <c r="J656" s="507"/>
      <c r="K656" s="507"/>
      <c r="L656" s="507"/>
      <c r="M656" s="507"/>
      <c r="N656" s="507"/>
      <c r="O656" s="507"/>
      <c r="P656" s="507"/>
      <c r="Q656" s="507"/>
      <c r="R656" s="507"/>
      <c r="S656" s="507"/>
      <c r="T656" s="507"/>
      <c r="U656" s="507"/>
      <c r="V656" s="507"/>
      <c r="W656" s="507"/>
      <c r="X656" s="507"/>
      <c r="Y656" s="507"/>
      <c r="Z656" s="507"/>
    </row>
    <row r="657">
      <c r="A657" s="507"/>
      <c r="B657" s="572"/>
      <c r="C657" s="572"/>
      <c r="D657" s="572"/>
      <c r="E657" s="572"/>
      <c r="F657" s="572"/>
      <c r="G657" s="572"/>
      <c r="H657" s="572"/>
      <c r="I657" s="572"/>
      <c r="J657" s="507"/>
      <c r="K657" s="507"/>
      <c r="L657" s="507"/>
      <c r="M657" s="507"/>
      <c r="N657" s="507"/>
      <c r="O657" s="507"/>
      <c r="P657" s="507"/>
      <c r="Q657" s="507"/>
      <c r="R657" s="507"/>
      <c r="S657" s="507"/>
      <c r="T657" s="507"/>
      <c r="U657" s="507"/>
      <c r="V657" s="507"/>
      <c r="W657" s="507"/>
      <c r="X657" s="507"/>
      <c r="Y657" s="507"/>
      <c r="Z657" s="507"/>
    </row>
    <row r="658">
      <c r="A658" s="507"/>
      <c r="B658" s="572"/>
      <c r="C658" s="572"/>
      <c r="D658" s="572"/>
      <c r="E658" s="572"/>
      <c r="F658" s="572"/>
      <c r="G658" s="572"/>
      <c r="H658" s="572"/>
      <c r="I658" s="572"/>
      <c r="J658" s="507"/>
      <c r="K658" s="507"/>
      <c r="L658" s="507"/>
      <c r="M658" s="507"/>
      <c r="N658" s="507"/>
      <c r="O658" s="507"/>
      <c r="P658" s="507"/>
      <c r="Q658" s="507"/>
      <c r="R658" s="507"/>
      <c r="S658" s="507"/>
      <c r="T658" s="507"/>
      <c r="U658" s="507"/>
      <c r="V658" s="507"/>
      <c r="W658" s="507"/>
      <c r="X658" s="507"/>
      <c r="Y658" s="507"/>
      <c r="Z658" s="507"/>
    </row>
    <row r="659">
      <c r="A659" s="507"/>
      <c r="B659" s="572"/>
      <c r="C659" s="572"/>
      <c r="D659" s="572"/>
      <c r="E659" s="572"/>
      <c r="F659" s="572"/>
      <c r="G659" s="572"/>
      <c r="H659" s="572"/>
      <c r="I659" s="572"/>
      <c r="J659" s="507"/>
      <c r="K659" s="507"/>
      <c r="L659" s="507"/>
      <c r="M659" s="507"/>
      <c r="N659" s="507"/>
      <c r="O659" s="507"/>
      <c r="P659" s="507"/>
      <c r="Q659" s="507"/>
      <c r="R659" s="507"/>
      <c r="S659" s="507"/>
      <c r="T659" s="507"/>
      <c r="U659" s="507"/>
      <c r="V659" s="507"/>
      <c r="W659" s="507"/>
      <c r="X659" s="507"/>
      <c r="Y659" s="507"/>
      <c r="Z659" s="507"/>
    </row>
    <row r="660">
      <c r="A660" s="507"/>
      <c r="B660" s="572"/>
      <c r="C660" s="572"/>
      <c r="D660" s="572"/>
      <c r="E660" s="572"/>
      <c r="F660" s="572"/>
      <c r="G660" s="572"/>
      <c r="H660" s="572"/>
      <c r="I660" s="572"/>
      <c r="J660" s="507"/>
      <c r="K660" s="507"/>
      <c r="L660" s="507"/>
      <c r="M660" s="507"/>
      <c r="N660" s="507"/>
      <c r="O660" s="507"/>
      <c r="P660" s="507"/>
      <c r="Q660" s="507"/>
      <c r="R660" s="507"/>
      <c r="S660" s="507"/>
      <c r="T660" s="507"/>
      <c r="U660" s="507"/>
      <c r="V660" s="507"/>
      <c r="W660" s="507"/>
      <c r="X660" s="507"/>
      <c r="Y660" s="507"/>
      <c r="Z660" s="507"/>
    </row>
    <row r="661">
      <c r="A661" s="507"/>
      <c r="B661" s="572"/>
      <c r="C661" s="572"/>
      <c r="D661" s="572"/>
      <c r="E661" s="572"/>
      <c r="F661" s="572"/>
      <c r="G661" s="572"/>
      <c r="H661" s="572"/>
      <c r="I661" s="572"/>
      <c r="J661" s="507"/>
      <c r="K661" s="507"/>
      <c r="L661" s="507"/>
      <c r="M661" s="507"/>
      <c r="N661" s="507"/>
      <c r="O661" s="507"/>
      <c r="P661" s="507"/>
      <c r="Q661" s="507"/>
      <c r="R661" s="507"/>
      <c r="S661" s="507"/>
      <c r="T661" s="507"/>
      <c r="U661" s="507"/>
      <c r="V661" s="507"/>
      <c r="W661" s="507"/>
      <c r="X661" s="507"/>
      <c r="Y661" s="507"/>
      <c r="Z661" s="507"/>
    </row>
    <row r="662">
      <c r="A662" s="507"/>
      <c r="B662" s="572"/>
      <c r="C662" s="572"/>
      <c r="D662" s="572"/>
      <c r="E662" s="572"/>
      <c r="F662" s="572"/>
      <c r="G662" s="572"/>
      <c r="H662" s="572"/>
      <c r="I662" s="572"/>
      <c r="J662" s="507"/>
      <c r="K662" s="507"/>
      <c r="L662" s="507"/>
      <c r="M662" s="507"/>
      <c r="N662" s="507"/>
      <c r="O662" s="507"/>
      <c r="P662" s="507"/>
      <c r="Q662" s="507"/>
      <c r="R662" s="507"/>
      <c r="S662" s="507"/>
      <c r="T662" s="507"/>
      <c r="U662" s="507"/>
      <c r="V662" s="507"/>
      <c r="W662" s="507"/>
      <c r="X662" s="507"/>
      <c r="Y662" s="507"/>
      <c r="Z662" s="507"/>
    </row>
    <row r="663">
      <c r="A663" s="507"/>
      <c r="B663" s="572"/>
      <c r="C663" s="572"/>
      <c r="D663" s="572"/>
      <c r="E663" s="572"/>
      <c r="F663" s="572"/>
      <c r="G663" s="572"/>
      <c r="H663" s="572"/>
      <c r="I663" s="572"/>
      <c r="J663" s="507"/>
      <c r="K663" s="507"/>
      <c r="L663" s="507"/>
      <c r="M663" s="507"/>
      <c r="N663" s="507"/>
      <c r="O663" s="507"/>
      <c r="P663" s="507"/>
      <c r="Q663" s="507"/>
      <c r="R663" s="507"/>
      <c r="S663" s="507"/>
      <c r="T663" s="507"/>
      <c r="U663" s="507"/>
      <c r="V663" s="507"/>
      <c r="W663" s="507"/>
      <c r="X663" s="507"/>
      <c r="Y663" s="507"/>
      <c r="Z663" s="507"/>
    </row>
    <row r="664">
      <c r="A664" s="507"/>
      <c r="B664" s="572"/>
      <c r="C664" s="572"/>
      <c r="D664" s="572"/>
      <c r="E664" s="572"/>
      <c r="F664" s="572"/>
      <c r="G664" s="572"/>
      <c r="H664" s="572"/>
      <c r="I664" s="572"/>
      <c r="J664" s="507"/>
      <c r="K664" s="507"/>
      <c r="L664" s="507"/>
      <c r="M664" s="507"/>
      <c r="N664" s="507"/>
      <c r="O664" s="507"/>
      <c r="P664" s="507"/>
      <c r="Q664" s="507"/>
      <c r="R664" s="507"/>
      <c r="S664" s="507"/>
      <c r="T664" s="507"/>
      <c r="U664" s="507"/>
      <c r="V664" s="507"/>
      <c r="W664" s="507"/>
      <c r="X664" s="507"/>
      <c r="Y664" s="507"/>
      <c r="Z664" s="507"/>
    </row>
    <row r="665">
      <c r="A665" s="507"/>
      <c r="B665" s="572"/>
      <c r="C665" s="572"/>
      <c r="D665" s="572"/>
      <c r="E665" s="572"/>
      <c r="F665" s="572"/>
      <c r="G665" s="572"/>
      <c r="H665" s="572"/>
      <c r="I665" s="572"/>
      <c r="J665" s="507"/>
      <c r="K665" s="507"/>
      <c r="L665" s="507"/>
      <c r="M665" s="507"/>
      <c r="N665" s="507"/>
      <c r="O665" s="507"/>
      <c r="P665" s="507"/>
      <c r="Q665" s="507"/>
      <c r="R665" s="507"/>
      <c r="S665" s="507"/>
      <c r="T665" s="507"/>
      <c r="U665" s="507"/>
      <c r="V665" s="507"/>
      <c r="W665" s="507"/>
      <c r="X665" s="507"/>
      <c r="Y665" s="507"/>
      <c r="Z665" s="507"/>
    </row>
    <row r="666">
      <c r="A666" s="507"/>
      <c r="B666" s="572"/>
      <c r="C666" s="572"/>
      <c r="D666" s="572"/>
      <c r="E666" s="572"/>
      <c r="F666" s="572"/>
      <c r="G666" s="572"/>
      <c r="H666" s="572"/>
      <c r="I666" s="572"/>
      <c r="J666" s="507"/>
      <c r="K666" s="507"/>
      <c r="L666" s="507"/>
      <c r="M666" s="507"/>
      <c r="N666" s="507"/>
      <c r="O666" s="507"/>
      <c r="P666" s="507"/>
      <c r="Q666" s="507"/>
      <c r="R666" s="507"/>
      <c r="S666" s="507"/>
      <c r="T666" s="507"/>
      <c r="U666" s="507"/>
      <c r="V666" s="507"/>
      <c r="W666" s="507"/>
      <c r="X666" s="507"/>
      <c r="Y666" s="507"/>
      <c r="Z666" s="507"/>
    </row>
    <row r="667">
      <c r="A667" s="507"/>
      <c r="B667" s="572"/>
      <c r="C667" s="572"/>
      <c r="D667" s="572"/>
      <c r="E667" s="572"/>
      <c r="F667" s="572"/>
      <c r="G667" s="572"/>
      <c r="H667" s="572"/>
      <c r="I667" s="572"/>
      <c r="J667" s="507"/>
      <c r="K667" s="507"/>
      <c r="L667" s="507"/>
      <c r="M667" s="507"/>
      <c r="N667" s="507"/>
      <c r="O667" s="507"/>
      <c r="P667" s="507"/>
      <c r="Q667" s="507"/>
      <c r="R667" s="507"/>
      <c r="S667" s="507"/>
      <c r="T667" s="507"/>
      <c r="U667" s="507"/>
      <c r="V667" s="507"/>
      <c r="W667" s="507"/>
      <c r="X667" s="507"/>
      <c r="Y667" s="507"/>
      <c r="Z667" s="507"/>
    </row>
    <row r="668">
      <c r="A668" s="507"/>
      <c r="B668" s="572"/>
      <c r="C668" s="572"/>
      <c r="D668" s="572"/>
      <c r="E668" s="572"/>
      <c r="F668" s="572"/>
      <c r="G668" s="572"/>
      <c r="H668" s="572"/>
      <c r="I668" s="572"/>
      <c r="J668" s="507"/>
      <c r="K668" s="507"/>
      <c r="L668" s="507"/>
      <c r="M668" s="507"/>
      <c r="N668" s="507"/>
      <c r="O668" s="507"/>
      <c r="P668" s="507"/>
      <c r="Q668" s="507"/>
      <c r="R668" s="507"/>
      <c r="S668" s="507"/>
      <c r="T668" s="507"/>
      <c r="U668" s="507"/>
      <c r="V668" s="507"/>
      <c r="W668" s="507"/>
      <c r="X668" s="507"/>
      <c r="Y668" s="507"/>
      <c r="Z668" s="507"/>
    </row>
    <row r="669">
      <c r="A669" s="507"/>
      <c r="B669" s="572"/>
      <c r="C669" s="572"/>
      <c r="D669" s="572"/>
      <c r="E669" s="572"/>
      <c r="F669" s="572"/>
      <c r="G669" s="572"/>
      <c r="H669" s="572"/>
      <c r="I669" s="572"/>
      <c r="J669" s="507"/>
      <c r="K669" s="507"/>
      <c r="L669" s="507"/>
      <c r="M669" s="507"/>
      <c r="N669" s="507"/>
      <c r="O669" s="507"/>
      <c r="P669" s="507"/>
      <c r="Q669" s="507"/>
      <c r="R669" s="507"/>
      <c r="S669" s="507"/>
      <c r="T669" s="507"/>
      <c r="U669" s="507"/>
      <c r="V669" s="507"/>
      <c r="W669" s="507"/>
      <c r="X669" s="507"/>
      <c r="Y669" s="507"/>
      <c r="Z669" s="507"/>
    </row>
    <row r="670">
      <c r="A670" s="507"/>
      <c r="B670" s="572"/>
      <c r="C670" s="572"/>
      <c r="D670" s="572"/>
      <c r="E670" s="572"/>
      <c r="F670" s="572"/>
      <c r="G670" s="572"/>
      <c r="H670" s="572"/>
      <c r="I670" s="572"/>
      <c r="J670" s="507"/>
      <c r="K670" s="507"/>
      <c r="L670" s="507"/>
      <c r="M670" s="507"/>
      <c r="N670" s="507"/>
      <c r="O670" s="507"/>
      <c r="P670" s="507"/>
      <c r="Q670" s="507"/>
      <c r="R670" s="507"/>
      <c r="S670" s="507"/>
      <c r="T670" s="507"/>
      <c r="U670" s="507"/>
      <c r="V670" s="507"/>
      <c r="W670" s="507"/>
      <c r="X670" s="507"/>
      <c r="Y670" s="507"/>
      <c r="Z670" s="507"/>
    </row>
    <row r="671">
      <c r="A671" s="507"/>
      <c r="B671" s="572"/>
      <c r="C671" s="572"/>
      <c r="D671" s="572"/>
      <c r="E671" s="572"/>
      <c r="F671" s="572"/>
      <c r="G671" s="572"/>
      <c r="H671" s="572"/>
      <c r="I671" s="572"/>
      <c r="J671" s="507"/>
      <c r="K671" s="507"/>
      <c r="L671" s="507"/>
      <c r="M671" s="507"/>
      <c r="N671" s="507"/>
      <c r="O671" s="507"/>
      <c r="P671" s="507"/>
      <c r="Q671" s="507"/>
      <c r="R671" s="507"/>
      <c r="S671" s="507"/>
      <c r="T671" s="507"/>
      <c r="U671" s="507"/>
      <c r="V671" s="507"/>
      <c r="W671" s="507"/>
      <c r="X671" s="507"/>
      <c r="Y671" s="507"/>
      <c r="Z671" s="507"/>
    </row>
    <row r="672">
      <c r="A672" s="507"/>
      <c r="B672" s="572"/>
      <c r="C672" s="572"/>
      <c r="D672" s="572"/>
      <c r="E672" s="572"/>
      <c r="F672" s="572"/>
      <c r="G672" s="572"/>
      <c r="H672" s="572"/>
      <c r="I672" s="572"/>
      <c r="J672" s="507"/>
      <c r="K672" s="507"/>
      <c r="L672" s="507"/>
      <c r="M672" s="507"/>
      <c r="N672" s="507"/>
      <c r="O672" s="507"/>
      <c r="P672" s="507"/>
      <c r="Q672" s="507"/>
      <c r="R672" s="507"/>
      <c r="S672" s="507"/>
      <c r="T672" s="507"/>
      <c r="U672" s="507"/>
      <c r="V672" s="507"/>
      <c r="W672" s="507"/>
      <c r="X672" s="507"/>
      <c r="Y672" s="507"/>
      <c r="Z672" s="507"/>
    </row>
    <row r="673">
      <c r="A673" s="507"/>
      <c r="B673" s="572"/>
      <c r="C673" s="572"/>
      <c r="D673" s="572"/>
      <c r="E673" s="572"/>
      <c r="F673" s="572"/>
      <c r="G673" s="572"/>
      <c r="H673" s="572"/>
      <c r="I673" s="572"/>
      <c r="J673" s="507"/>
      <c r="K673" s="507"/>
      <c r="L673" s="507"/>
      <c r="M673" s="507"/>
      <c r="N673" s="507"/>
      <c r="O673" s="507"/>
      <c r="P673" s="507"/>
      <c r="Q673" s="507"/>
      <c r="R673" s="507"/>
      <c r="S673" s="507"/>
      <c r="T673" s="507"/>
      <c r="U673" s="507"/>
      <c r="V673" s="507"/>
      <c r="W673" s="507"/>
      <c r="X673" s="507"/>
      <c r="Y673" s="507"/>
      <c r="Z673" s="507"/>
    </row>
    <row r="674">
      <c r="A674" s="507"/>
      <c r="B674" s="572"/>
      <c r="C674" s="572"/>
      <c r="D674" s="572"/>
      <c r="E674" s="572"/>
      <c r="F674" s="572"/>
      <c r="G674" s="572"/>
      <c r="H674" s="572"/>
      <c r="I674" s="572"/>
      <c r="J674" s="507"/>
      <c r="K674" s="507"/>
      <c r="L674" s="507"/>
      <c r="M674" s="507"/>
      <c r="N674" s="507"/>
      <c r="O674" s="507"/>
      <c r="P674" s="507"/>
      <c r="Q674" s="507"/>
      <c r="R674" s="507"/>
      <c r="S674" s="507"/>
      <c r="T674" s="507"/>
      <c r="U674" s="507"/>
      <c r="V674" s="507"/>
      <c r="W674" s="507"/>
      <c r="X674" s="507"/>
      <c r="Y674" s="507"/>
      <c r="Z674" s="507"/>
    </row>
    <row r="675">
      <c r="A675" s="507"/>
      <c r="B675" s="572"/>
      <c r="C675" s="572"/>
      <c r="D675" s="572"/>
      <c r="E675" s="572"/>
      <c r="F675" s="572"/>
      <c r="G675" s="572"/>
      <c r="H675" s="572"/>
      <c r="I675" s="572"/>
      <c r="J675" s="507"/>
      <c r="K675" s="507"/>
      <c r="L675" s="507"/>
      <c r="M675" s="507"/>
      <c r="N675" s="507"/>
      <c r="O675" s="507"/>
      <c r="P675" s="507"/>
      <c r="Q675" s="507"/>
      <c r="R675" s="507"/>
      <c r="S675" s="507"/>
      <c r="T675" s="507"/>
      <c r="U675" s="507"/>
      <c r="V675" s="507"/>
      <c r="W675" s="507"/>
      <c r="X675" s="507"/>
      <c r="Y675" s="507"/>
      <c r="Z675" s="507"/>
    </row>
    <row r="676">
      <c r="A676" s="507"/>
      <c r="B676" s="572"/>
      <c r="C676" s="572"/>
      <c r="D676" s="572"/>
      <c r="E676" s="572"/>
      <c r="F676" s="572"/>
      <c r="G676" s="572"/>
      <c r="H676" s="572"/>
      <c r="I676" s="572"/>
      <c r="J676" s="507"/>
      <c r="K676" s="507"/>
      <c r="L676" s="507"/>
      <c r="M676" s="507"/>
      <c r="N676" s="507"/>
      <c r="O676" s="507"/>
      <c r="P676" s="507"/>
      <c r="Q676" s="507"/>
      <c r="R676" s="507"/>
      <c r="S676" s="507"/>
      <c r="T676" s="507"/>
      <c r="U676" s="507"/>
      <c r="V676" s="507"/>
      <c r="W676" s="507"/>
      <c r="X676" s="507"/>
      <c r="Y676" s="507"/>
      <c r="Z676" s="507"/>
    </row>
    <row r="677">
      <c r="A677" s="507"/>
      <c r="B677" s="572"/>
      <c r="C677" s="572"/>
      <c r="D677" s="572"/>
      <c r="E677" s="572"/>
      <c r="F677" s="572"/>
      <c r="G677" s="572"/>
      <c r="H677" s="572"/>
      <c r="I677" s="572"/>
      <c r="J677" s="507"/>
      <c r="K677" s="507"/>
      <c r="L677" s="507"/>
      <c r="M677" s="507"/>
      <c r="N677" s="507"/>
      <c r="O677" s="507"/>
      <c r="P677" s="507"/>
      <c r="Q677" s="507"/>
      <c r="R677" s="507"/>
      <c r="S677" s="507"/>
      <c r="T677" s="507"/>
      <c r="U677" s="507"/>
      <c r="V677" s="507"/>
      <c r="W677" s="507"/>
      <c r="X677" s="507"/>
      <c r="Y677" s="507"/>
      <c r="Z677" s="507"/>
    </row>
    <row r="678">
      <c r="A678" s="507"/>
      <c r="B678" s="572"/>
      <c r="C678" s="572"/>
      <c r="D678" s="572"/>
      <c r="E678" s="572"/>
      <c r="F678" s="572"/>
      <c r="G678" s="572"/>
      <c r="H678" s="572"/>
      <c r="I678" s="572"/>
      <c r="J678" s="507"/>
      <c r="K678" s="507"/>
      <c r="L678" s="507"/>
      <c r="M678" s="507"/>
      <c r="N678" s="507"/>
      <c r="O678" s="507"/>
      <c r="P678" s="507"/>
      <c r="Q678" s="507"/>
      <c r="R678" s="507"/>
      <c r="S678" s="507"/>
      <c r="T678" s="507"/>
      <c r="U678" s="507"/>
      <c r="V678" s="507"/>
      <c r="W678" s="507"/>
      <c r="X678" s="507"/>
      <c r="Y678" s="507"/>
      <c r="Z678" s="507"/>
    </row>
    <row r="679">
      <c r="A679" s="507"/>
      <c r="B679" s="572"/>
      <c r="C679" s="572"/>
      <c r="D679" s="572"/>
      <c r="E679" s="572"/>
      <c r="F679" s="572"/>
      <c r="G679" s="572"/>
      <c r="H679" s="572"/>
      <c r="I679" s="572"/>
      <c r="J679" s="507"/>
      <c r="K679" s="507"/>
      <c r="L679" s="507"/>
      <c r="M679" s="507"/>
      <c r="N679" s="507"/>
      <c r="O679" s="507"/>
      <c r="P679" s="507"/>
      <c r="Q679" s="507"/>
      <c r="R679" s="507"/>
      <c r="S679" s="507"/>
      <c r="T679" s="507"/>
      <c r="U679" s="507"/>
      <c r="V679" s="507"/>
      <c r="W679" s="507"/>
      <c r="X679" s="507"/>
      <c r="Y679" s="507"/>
      <c r="Z679" s="507"/>
    </row>
    <row r="680">
      <c r="A680" s="507"/>
      <c r="B680" s="572"/>
      <c r="C680" s="572"/>
      <c r="D680" s="572"/>
      <c r="E680" s="572"/>
      <c r="F680" s="572"/>
      <c r="G680" s="572"/>
      <c r="H680" s="572"/>
      <c r="I680" s="572"/>
      <c r="J680" s="507"/>
      <c r="K680" s="507"/>
      <c r="L680" s="507"/>
      <c r="M680" s="507"/>
      <c r="N680" s="507"/>
      <c r="O680" s="507"/>
      <c r="P680" s="507"/>
      <c r="Q680" s="507"/>
      <c r="R680" s="507"/>
      <c r="S680" s="507"/>
      <c r="T680" s="507"/>
      <c r="U680" s="507"/>
      <c r="V680" s="507"/>
      <c r="W680" s="507"/>
      <c r="X680" s="507"/>
      <c r="Y680" s="507"/>
      <c r="Z680" s="507"/>
    </row>
    <row r="681">
      <c r="A681" s="507"/>
      <c r="B681" s="572"/>
      <c r="C681" s="572"/>
      <c r="D681" s="572"/>
      <c r="E681" s="572"/>
      <c r="F681" s="572"/>
      <c r="G681" s="572"/>
      <c r="H681" s="572"/>
      <c r="I681" s="572"/>
      <c r="J681" s="507"/>
      <c r="K681" s="507"/>
      <c r="L681" s="507"/>
      <c r="M681" s="507"/>
      <c r="N681" s="507"/>
      <c r="O681" s="507"/>
      <c r="P681" s="507"/>
      <c r="Q681" s="507"/>
      <c r="R681" s="507"/>
      <c r="S681" s="507"/>
      <c r="T681" s="507"/>
      <c r="U681" s="507"/>
      <c r="V681" s="507"/>
      <c r="W681" s="507"/>
      <c r="X681" s="507"/>
      <c r="Y681" s="507"/>
      <c r="Z681" s="507"/>
    </row>
    <row r="682">
      <c r="A682" s="507"/>
      <c r="B682" s="572"/>
      <c r="C682" s="572"/>
      <c r="D682" s="572"/>
      <c r="E682" s="572"/>
      <c r="F682" s="572"/>
      <c r="G682" s="572"/>
      <c r="H682" s="572"/>
      <c r="I682" s="572"/>
      <c r="J682" s="507"/>
      <c r="K682" s="507"/>
      <c r="L682" s="507"/>
      <c r="M682" s="507"/>
      <c r="N682" s="507"/>
      <c r="O682" s="507"/>
      <c r="P682" s="507"/>
      <c r="Q682" s="507"/>
      <c r="R682" s="507"/>
      <c r="S682" s="507"/>
      <c r="T682" s="507"/>
      <c r="U682" s="507"/>
      <c r="V682" s="507"/>
      <c r="W682" s="507"/>
      <c r="X682" s="507"/>
      <c r="Y682" s="507"/>
      <c r="Z682" s="507"/>
    </row>
    <row r="683">
      <c r="A683" s="507"/>
      <c r="B683" s="572"/>
      <c r="C683" s="572"/>
      <c r="D683" s="572"/>
      <c r="E683" s="572"/>
      <c r="F683" s="572"/>
      <c r="G683" s="572"/>
      <c r="H683" s="572"/>
      <c r="I683" s="572"/>
      <c r="J683" s="507"/>
      <c r="K683" s="507"/>
      <c r="L683" s="507"/>
      <c r="M683" s="507"/>
      <c r="N683" s="507"/>
      <c r="O683" s="507"/>
      <c r="P683" s="507"/>
      <c r="Q683" s="507"/>
      <c r="R683" s="507"/>
      <c r="S683" s="507"/>
      <c r="T683" s="507"/>
      <c r="U683" s="507"/>
      <c r="V683" s="507"/>
      <c r="W683" s="507"/>
      <c r="X683" s="507"/>
      <c r="Y683" s="507"/>
      <c r="Z683" s="507"/>
    </row>
    <row r="684">
      <c r="A684" s="507"/>
      <c r="B684" s="572"/>
      <c r="C684" s="572"/>
      <c r="D684" s="572"/>
      <c r="E684" s="572"/>
      <c r="F684" s="572"/>
      <c r="G684" s="572"/>
      <c r="H684" s="572"/>
      <c r="I684" s="572"/>
      <c r="J684" s="507"/>
      <c r="K684" s="507"/>
      <c r="L684" s="507"/>
      <c r="M684" s="507"/>
      <c r="N684" s="507"/>
      <c r="O684" s="507"/>
      <c r="P684" s="507"/>
      <c r="Q684" s="507"/>
      <c r="R684" s="507"/>
      <c r="S684" s="507"/>
      <c r="T684" s="507"/>
      <c r="U684" s="507"/>
      <c r="V684" s="507"/>
      <c r="W684" s="507"/>
      <c r="X684" s="507"/>
      <c r="Y684" s="507"/>
      <c r="Z684" s="507"/>
    </row>
    <row r="685">
      <c r="A685" s="507"/>
      <c r="B685" s="572"/>
      <c r="C685" s="572"/>
      <c r="D685" s="572"/>
      <c r="E685" s="572"/>
      <c r="F685" s="572"/>
      <c r="G685" s="572"/>
      <c r="H685" s="572"/>
      <c r="I685" s="572"/>
      <c r="J685" s="507"/>
      <c r="K685" s="507"/>
      <c r="L685" s="507"/>
      <c r="M685" s="507"/>
      <c r="N685" s="507"/>
      <c r="O685" s="507"/>
      <c r="P685" s="507"/>
      <c r="Q685" s="507"/>
      <c r="R685" s="507"/>
      <c r="S685" s="507"/>
      <c r="T685" s="507"/>
      <c r="U685" s="507"/>
      <c r="V685" s="507"/>
      <c r="W685" s="507"/>
      <c r="X685" s="507"/>
      <c r="Y685" s="507"/>
      <c r="Z685" s="507"/>
    </row>
    <row r="686">
      <c r="A686" s="507"/>
      <c r="B686" s="572"/>
      <c r="C686" s="572"/>
      <c r="D686" s="572"/>
      <c r="E686" s="572"/>
      <c r="F686" s="572"/>
      <c r="G686" s="572"/>
      <c r="H686" s="572"/>
      <c r="I686" s="572"/>
      <c r="J686" s="507"/>
      <c r="K686" s="507"/>
      <c r="L686" s="507"/>
      <c r="M686" s="507"/>
      <c r="N686" s="507"/>
      <c r="O686" s="507"/>
      <c r="P686" s="507"/>
      <c r="Q686" s="507"/>
      <c r="R686" s="507"/>
      <c r="S686" s="507"/>
      <c r="T686" s="507"/>
      <c r="U686" s="507"/>
      <c r="V686" s="507"/>
      <c r="W686" s="507"/>
      <c r="X686" s="507"/>
      <c r="Y686" s="507"/>
      <c r="Z686" s="507"/>
    </row>
    <row r="687">
      <c r="A687" s="507"/>
      <c r="B687" s="572"/>
      <c r="C687" s="572"/>
      <c r="D687" s="572"/>
      <c r="E687" s="572"/>
      <c r="F687" s="572"/>
      <c r="G687" s="572"/>
      <c r="H687" s="572"/>
      <c r="I687" s="572"/>
      <c r="J687" s="507"/>
      <c r="K687" s="507"/>
      <c r="L687" s="507"/>
      <c r="M687" s="507"/>
      <c r="N687" s="507"/>
      <c r="O687" s="507"/>
      <c r="P687" s="507"/>
      <c r="Q687" s="507"/>
      <c r="R687" s="507"/>
      <c r="S687" s="507"/>
      <c r="T687" s="507"/>
      <c r="U687" s="507"/>
      <c r="V687" s="507"/>
      <c r="W687" s="507"/>
      <c r="X687" s="507"/>
      <c r="Y687" s="507"/>
      <c r="Z687" s="507"/>
    </row>
    <row r="688">
      <c r="A688" s="507"/>
      <c r="B688" s="572"/>
      <c r="C688" s="572"/>
      <c r="D688" s="572"/>
      <c r="E688" s="572"/>
      <c r="F688" s="572"/>
      <c r="G688" s="572"/>
      <c r="H688" s="572"/>
      <c r="I688" s="572"/>
      <c r="J688" s="507"/>
      <c r="K688" s="507"/>
      <c r="L688" s="507"/>
      <c r="M688" s="507"/>
      <c r="N688" s="507"/>
      <c r="O688" s="507"/>
      <c r="P688" s="507"/>
      <c r="Q688" s="507"/>
      <c r="R688" s="507"/>
      <c r="S688" s="507"/>
      <c r="T688" s="507"/>
      <c r="U688" s="507"/>
      <c r="V688" s="507"/>
      <c r="W688" s="507"/>
      <c r="X688" s="507"/>
      <c r="Y688" s="507"/>
      <c r="Z688" s="507"/>
    </row>
    <row r="689">
      <c r="A689" s="507"/>
      <c r="B689" s="572"/>
      <c r="C689" s="572"/>
      <c r="D689" s="572"/>
      <c r="E689" s="572"/>
      <c r="F689" s="572"/>
      <c r="G689" s="572"/>
      <c r="H689" s="572"/>
      <c r="I689" s="572"/>
      <c r="J689" s="507"/>
      <c r="K689" s="507"/>
      <c r="L689" s="507"/>
      <c r="M689" s="507"/>
      <c r="N689" s="507"/>
      <c r="O689" s="507"/>
      <c r="P689" s="507"/>
      <c r="Q689" s="507"/>
      <c r="R689" s="507"/>
      <c r="S689" s="507"/>
      <c r="T689" s="507"/>
      <c r="U689" s="507"/>
      <c r="V689" s="507"/>
      <c r="W689" s="507"/>
      <c r="X689" s="507"/>
      <c r="Y689" s="507"/>
      <c r="Z689" s="507"/>
    </row>
    <row r="690">
      <c r="A690" s="507"/>
      <c r="B690" s="572"/>
      <c r="C690" s="572"/>
      <c r="D690" s="572"/>
      <c r="E690" s="572"/>
      <c r="F690" s="572"/>
      <c r="G690" s="572"/>
      <c r="H690" s="572"/>
      <c r="I690" s="572"/>
      <c r="J690" s="507"/>
      <c r="K690" s="507"/>
      <c r="L690" s="507"/>
      <c r="M690" s="507"/>
      <c r="N690" s="507"/>
      <c r="O690" s="507"/>
      <c r="P690" s="507"/>
      <c r="Q690" s="507"/>
      <c r="R690" s="507"/>
      <c r="S690" s="507"/>
      <c r="T690" s="507"/>
      <c r="U690" s="507"/>
      <c r="V690" s="507"/>
      <c r="W690" s="507"/>
      <c r="X690" s="507"/>
      <c r="Y690" s="507"/>
      <c r="Z690" s="507"/>
    </row>
    <row r="691">
      <c r="A691" s="507"/>
      <c r="B691" s="572"/>
      <c r="C691" s="572"/>
      <c r="D691" s="572"/>
      <c r="E691" s="572"/>
      <c r="F691" s="572"/>
      <c r="G691" s="572"/>
      <c r="H691" s="572"/>
      <c r="I691" s="572"/>
      <c r="J691" s="507"/>
      <c r="K691" s="507"/>
      <c r="L691" s="507"/>
      <c r="M691" s="507"/>
      <c r="N691" s="507"/>
      <c r="O691" s="507"/>
      <c r="P691" s="507"/>
      <c r="Q691" s="507"/>
      <c r="R691" s="507"/>
      <c r="S691" s="507"/>
      <c r="T691" s="507"/>
      <c r="U691" s="507"/>
      <c r="V691" s="507"/>
      <c r="W691" s="507"/>
      <c r="X691" s="507"/>
      <c r="Y691" s="507"/>
      <c r="Z691" s="507"/>
    </row>
    <row r="692">
      <c r="A692" s="507"/>
      <c r="B692" s="572"/>
      <c r="C692" s="572"/>
      <c r="D692" s="572"/>
      <c r="E692" s="572"/>
      <c r="F692" s="572"/>
      <c r="G692" s="572"/>
      <c r="H692" s="572"/>
      <c r="I692" s="572"/>
      <c r="J692" s="507"/>
      <c r="K692" s="507"/>
      <c r="L692" s="507"/>
      <c r="M692" s="507"/>
      <c r="N692" s="507"/>
      <c r="O692" s="507"/>
      <c r="P692" s="507"/>
      <c r="Q692" s="507"/>
      <c r="R692" s="507"/>
      <c r="S692" s="507"/>
      <c r="T692" s="507"/>
      <c r="U692" s="507"/>
      <c r="V692" s="507"/>
      <c r="W692" s="507"/>
      <c r="X692" s="507"/>
      <c r="Y692" s="507"/>
      <c r="Z692" s="507"/>
    </row>
    <row r="693">
      <c r="A693" s="507"/>
      <c r="B693" s="572"/>
      <c r="C693" s="572"/>
      <c r="D693" s="572"/>
      <c r="E693" s="572"/>
      <c r="F693" s="572"/>
      <c r="G693" s="572"/>
      <c r="H693" s="572"/>
      <c r="I693" s="572"/>
      <c r="J693" s="507"/>
      <c r="K693" s="507"/>
      <c r="L693" s="507"/>
      <c r="M693" s="507"/>
      <c r="N693" s="507"/>
      <c r="O693" s="507"/>
      <c r="P693" s="507"/>
      <c r="Q693" s="507"/>
      <c r="R693" s="507"/>
      <c r="S693" s="507"/>
      <c r="T693" s="507"/>
      <c r="U693" s="507"/>
      <c r="V693" s="507"/>
      <c r="W693" s="507"/>
      <c r="X693" s="507"/>
      <c r="Y693" s="507"/>
      <c r="Z693" s="507"/>
    </row>
    <row r="694">
      <c r="A694" s="507"/>
      <c r="B694" s="572"/>
      <c r="C694" s="572"/>
      <c r="D694" s="572"/>
      <c r="E694" s="572"/>
      <c r="F694" s="572"/>
      <c r="G694" s="572"/>
      <c r="H694" s="572"/>
      <c r="I694" s="572"/>
      <c r="J694" s="507"/>
      <c r="K694" s="507"/>
      <c r="L694" s="507"/>
      <c r="M694" s="507"/>
      <c r="N694" s="507"/>
      <c r="O694" s="507"/>
      <c r="P694" s="507"/>
      <c r="Q694" s="507"/>
      <c r="R694" s="507"/>
      <c r="S694" s="507"/>
      <c r="T694" s="507"/>
      <c r="U694" s="507"/>
      <c r="V694" s="507"/>
      <c r="W694" s="507"/>
      <c r="X694" s="507"/>
      <c r="Y694" s="507"/>
      <c r="Z694" s="507"/>
    </row>
    <row r="695">
      <c r="A695" s="507"/>
      <c r="B695" s="572"/>
      <c r="C695" s="572"/>
      <c r="D695" s="572"/>
      <c r="E695" s="572"/>
      <c r="F695" s="572"/>
      <c r="G695" s="572"/>
      <c r="H695" s="572"/>
      <c r="I695" s="572"/>
      <c r="J695" s="507"/>
      <c r="K695" s="507"/>
      <c r="L695" s="507"/>
      <c r="M695" s="507"/>
      <c r="N695" s="507"/>
      <c r="O695" s="507"/>
      <c r="P695" s="507"/>
      <c r="Q695" s="507"/>
      <c r="R695" s="507"/>
      <c r="S695" s="507"/>
      <c r="T695" s="507"/>
      <c r="U695" s="507"/>
      <c r="V695" s="507"/>
      <c r="W695" s="507"/>
      <c r="X695" s="507"/>
      <c r="Y695" s="507"/>
      <c r="Z695" s="507"/>
    </row>
    <row r="696">
      <c r="A696" s="507"/>
      <c r="B696" s="572"/>
      <c r="C696" s="572"/>
      <c r="D696" s="572"/>
      <c r="E696" s="572"/>
      <c r="F696" s="572"/>
      <c r="G696" s="572"/>
      <c r="H696" s="572"/>
      <c r="I696" s="572"/>
      <c r="J696" s="507"/>
      <c r="K696" s="507"/>
      <c r="L696" s="507"/>
      <c r="M696" s="507"/>
      <c r="N696" s="507"/>
      <c r="O696" s="507"/>
      <c r="P696" s="507"/>
      <c r="Q696" s="507"/>
      <c r="R696" s="507"/>
      <c r="S696" s="507"/>
      <c r="T696" s="507"/>
      <c r="U696" s="507"/>
      <c r="V696" s="507"/>
      <c r="W696" s="507"/>
      <c r="X696" s="507"/>
      <c r="Y696" s="507"/>
      <c r="Z696" s="507"/>
    </row>
    <row r="697">
      <c r="A697" s="507"/>
      <c r="B697" s="572"/>
      <c r="C697" s="572"/>
      <c r="D697" s="572"/>
      <c r="E697" s="572"/>
      <c r="F697" s="572"/>
      <c r="G697" s="572"/>
      <c r="H697" s="572"/>
      <c r="I697" s="572"/>
      <c r="J697" s="507"/>
      <c r="K697" s="507"/>
      <c r="L697" s="507"/>
      <c r="M697" s="507"/>
      <c r="N697" s="507"/>
      <c r="O697" s="507"/>
      <c r="P697" s="507"/>
      <c r="Q697" s="507"/>
      <c r="R697" s="507"/>
      <c r="S697" s="507"/>
      <c r="T697" s="507"/>
      <c r="U697" s="507"/>
      <c r="V697" s="507"/>
      <c r="W697" s="507"/>
      <c r="X697" s="507"/>
      <c r="Y697" s="507"/>
      <c r="Z697" s="507"/>
    </row>
    <row r="698">
      <c r="A698" s="507"/>
      <c r="B698" s="572"/>
      <c r="C698" s="572"/>
      <c r="D698" s="572"/>
      <c r="E698" s="572"/>
      <c r="F698" s="572"/>
      <c r="G698" s="572"/>
      <c r="H698" s="572"/>
      <c r="I698" s="572"/>
      <c r="J698" s="507"/>
      <c r="K698" s="507"/>
      <c r="L698" s="507"/>
      <c r="M698" s="507"/>
      <c r="N698" s="507"/>
      <c r="O698" s="507"/>
      <c r="P698" s="507"/>
      <c r="Q698" s="507"/>
      <c r="R698" s="507"/>
      <c r="S698" s="507"/>
      <c r="T698" s="507"/>
      <c r="U698" s="507"/>
      <c r="V698" s="507"/>
      <c r="W698" s="507"/>
      <c r="X698" s="507"/>
      <c r="Y698" s="507"/>
      <c r="Z698" s="507"/>
    </row>
    <row r="699">
      <c r="A699" s="507"/>
      <c r="B699" s="572"/>
      <c r="C699" s="572"/>
      <c r="D699" s="572"/>
      <c r="E699" s="572"/>
      <c r="F699" s="572"/>
      <c r="G699" s="572"/>
      <c r="H699" s="572"/>
      <c r="I699" s="572"/>
      <c r="J699" s="507"/>
      <c r="K699" s="507"/>
      <c r="L699" s="507"/>
      <c r="M699" s="507"/>
      <c r="N699" s="507"/>
      <c r="O699" s="507"/>
      <c r="P699" s="507"/>
      <c r="Q699" s="507"/>
      <c r="R699" s="507"/>
      <c r="S699" s="507"/>
      <c r="T699" s="507"/>
      <c r="U699" s="507"/>
      <c r="V699" s="507"/>
      <c r="W699" s="507"/>
      <c r="X699" s="507"/>
      <c r="Y699" s="507"/>
      <c r="Z699" s="507"/>
    </row>
    <row r="700">
      <c r="A700" s="507"/>
      <c r="B700" s="572"/>
      <c r="C700" s="572"/>
      <c r="D700" s="572"/>
      <c r="E700" s="572"/>
      <c r="F700" s="572"/>
      <c r="G700" s="572"/>
      <c r="H700" s="572"/>
      <c r="I700" s="572"/>
      <c r="J700" s="507"/>
      <c r="K700" s="507"/>
      <c r="L700" s="507"/>
      <c r="M700" s="507"/>
      <c r="N700" s="507"/>
      <c r="O700" s="507"/>
      <c r="P700" s="507"/>
      <c r="Q700" s="507"/>
      <c r="R700" s="507"/>
      <c r="S700" s="507"/>
      <c r="T700" s="507"/>
      <c r="U700" s="507"/>
      <c r="V700" s="507"/>
      <c r="W700" s="507"/>
      <c r="X700" s="507"/>
      <c r="Y700" s="507"/>
      <c r="Z700" s="507"/>
    </row>
    <row r="701">
      <c r="A701" s="507"/>
      <c r="B701" s="572"/>
      <c r="C701" s="572"/>
      <c r="D701" s="572"/>
      <c r="E701" s="572"/>
      <c r="F701" s="572"/>
      <c r="G701" s="572"/>
      <c r="H701" s="572"/>
      <c r="I701" s="572"/>
      <c r="J701" s="507"/>
      <c r="K701" s="507"/>
      <c r="L701" s="507"/>
      <c r="M701" s="507"/>
      <c r="N701" s="507"/>
      <c r="O701" s="507"/>
      <c r="P701" s="507"/>
      <c r="Q701" s="507"/>
      <c r="R701" s="507"/>
      <c r="S701" s="507"/>
      <c r="T701" s="507"/>
      <c r="U701" s="507"/>
      <c r="V701" s="507"/>
      <c r="W701" s="507"/>
      <c r="X701" s="507"/>
      <c r="Y701" s="507"/>
      <c r="Z701" s="507"/>
    </row>
    <row r="702">
      <c r="A702" s="507"/>
      <c r="B702" s="572"/>
      <c r="C702" s="572"/>
      <c r="D702" s="572"/>
      <c r="E702" s="572"/>
      <c r="F702" s="572"/>
      <c r="G702" s="572"/>
      <c r="H702" s="572"/>
      <c r="I702" s="572"/>
      <c r="J702" s="507"/>
      <c r="K702" s="507"/>
      <c r="L702" s="507"/>
      <c r="M702" s="507"/>
      <c r="N702" s="507"/>
      <c r="O702" s="507"/>
      <c r="P702" s="507"/>
      <c r="Q702" s="507"/>
      <c r="R702" s="507"/>
      <c r="S702" s="507"/>
      <c r="T702" s="507"/>
      <c r="U702" s="507"/>
      <c r="V702" s="507"/>
      <c r="W702" s="507"/>
      <c r="X702" s="507"/>
      <c r="Y702" s="507"/>
      <c r="Z702" s="507"/>
    </row>
    <row r="703">
      <c r="A703" s="507"/>
      <c r="B703" s="572"/>
      <c r="C703" s="572"/>
      <c r="D703" s="572"/>
      <c r="E703" s="572"/>
      <c r="F703" s="572"/>
      <c r="G703" s="572"/>
      <c r="H703" s="572"/>
      <c r="I703" s="572"/>
      <c r="J703" s="507"/>
      <c r="K703" s="507"/>
      <c r="L703" s="507"/>
      <c r="M703" s="507"/>
      <c r="N703" s="507"/>
      <c r="O703" s="507"/>
      <c r="P703" s="507"/>
      <c r="Q703" s="507"/>
      <c r="R703" s="507"/>
      <c r="S703" s="507"/>
      <c r="T703" s="507"/>
      <c r="U703" s="507"/>
      <c r="V703" s="507"/>
      <c r="W703" s="507"/>
      <c r="X703" s="507"/>
      <c r="Y703" s="507"/>
      <c r="Z703" s="507"/>
    </row>
    <row r="704">
      <c r="A704" s="507"/>
      <c r="B704" s="572"/>
      <c r="C704" s="572"/>
      <c r="D704" s="572"/>
      <c r="E704" s="572"/>
      <c r="F704" s="572"/>
      <c r="G704" s="572"/>
      <c r="H704" s="572"/>
      <c r="I704" s="572"/>
      <c r="J704" s="507"/>
      <c r="K704" s="507"/>
      <c r="L704" s="507"/>
      <c r="M704" s="507"/>
      <c r="N704" s="507"/>
      <c r="O704" s="507"/>
      <c r="P704" s="507"/>
      <c r="Q704" s="507"/>
      <c r="R704" s="507"/>
      <c r="S704" s="507"/>
      <c r="T704" s="507"/>
      <c r="U704" s="507"/>
      <c r="V704" s="507"/>
      <c r="W704" s="507"/>
      <c r="X704" s="507"/>
      <c r="Y704" s="507"/>
      <c r="Z704" s="507"/>
    </row>
    <row r="705">
      <c r="A705" s="507"/>
      <c r="B705" s="572"/>
      <c r="C705" s="572"/>
      <c r="D705" s="572"/>
      <c r="E705" s="572"/>
      <c r="F705" s="572"/>
      <c r="G705" s="572"/>
      <c r="H705" s="572"/>
      <c r="I705" s="572"/>
      <c r="J705" s="507"/>
      <c r="K705" s="507"/>
      <c r="L705" s="507"/>
      <c r="M705" s="507"/>
      <c r="N705" s="507"/>
      <c r="O705" s="507"/>
      <c r="P705" s="507"/>
      <c r="Q705" s="507"/>
      <c r="R705" s="507"/>
      <c r="S705" s="507"/>
      <c r="T705" s="507"/>
      <c r="U705" s="507"/>
      <c r="V705" s="507"/>
      <c r="W705" s="507"/>
      <c r="X705" s="507"/>
      <c r="Y705" s="507"/>
      <c r="Z705" s="507"/>
    </row>
    <row r="706">
      <c r="A706" s="507"/>
      <c r="B706" s="572"/>
      <c r="C706" s="572"/>
      <c r="D706" s="572"/>
      <c r="E706" s="572"/>
      <c r="F706" s="572"/>
      <c r="G706" s="572"/>
      <c r="H706" s="572"/>
      <c r="I706" s="572"/>
      <c r="J706" s="507"/>
      <c r="K706" s="507"/>
      <c r="L706" s="507"/>
      <c r="M706" s="507"/>
      <c r="N706" s="507"/>
      <c r="O706" s="507"/>
      <c r="P706" s="507"/>
      <c r="Q706" s="507"/>
      <c r="R706" s="507"/>
      <c r="S706" s="507"/>
      <c r="T706" s="507"/>
      <c r="U706" s="507"/>
      <c r="V706" s="507"/>
      <c r="W706" s="507"/>
      <c r="X706" s="507"/>
      <c r="Y706" s="507"/>
      <c r="Z706" s="507"/>
    </row>
    <row r="707">
      <c r="A707" s="507"/>
      <c r="B707" s="572"/>
      <c r="C707" s="572"/>
      <c r="D707" s="572"/>
      <c r="E707" s="572"/>
      <c r="F707" s="572"/>
      <c r="G707" s="572"/>
      <c r="H707" s="572"/>
      <c r="I707" s="572"/>
      <c r="J707" s="507"/>
      <c r="K707" s="507"/>
      <c r="L707" s="507"/>
      <c r="M707" s="507"/>
      <c r="N707" s="507"/>
      <c r="O707" s="507"/>
      <c r="P707" s="507"/>
      <c r="Q707" s="507"/>
      <c r="R707" s="507"/>
      <c r="S707" s="507"/>
      <c r="T707" s="507"/>
      <c r="U707" s="507"/>
      <c r="V707" s="507"/>
      <c r="W707" s="507"/>
      <c r="X707" s="507"/>
      <c r="Y707" s="507"/>
      <c r="Z707" s="507"/>
    </row>
    <row r="708">
      <c r="A708" s="507"/>
      <c r="B708" s="572"/>
      <c r="C708" s="572"/>
      <c r="D708" s="572"/>
      <c r="E708" s="572"/>
      <c r="F708" s="572"/>
      <c r="G708" s="572"/>
      <c r="H708" s="572"/>
      <c r="I708" s="572"/>
      <c r="J708" s="507"/>
      <c r="K708" s="507"/>
      <c r="L708" s="507"/>
      <c r="M708" s="507"/>
      <c r="N708" s="507"/>
      <c r="O708" s="507"/>
      <c r="P708" s="507"/>
      <c r="Q708" s="507"/>
      <c r="R708" s="507"/>
      <c r="S708" s="507"/>
      <c r="T708" s="507"/>
      <c r="U708" s="507"/>
      <c r="V708" s="507"/>
      <c r="W708" s="507"/>
      <c r="X708" s="507"/>
      <c r="Y708" s="507"/>
      <c r="Z708" s="507"/>
    </row>
    <row r="709">
      <c r="A709" s="507"/>
      <c r="B709" s="572"/>
      <c r="C709" s="572"/>
      <c r="D709" s="572"/>
      <c r="E709" s="572"/>
      <c r="F709" s="572"/>
      <c r="G709" s="572"/>
      <c r="H709" s="572"/>
      <c r="I709" s="572"/>
      <c r="J709" s="507"/>
      <c r="K709" s="507"/>
      <c r="L709" s="507"/>
      <c r="M709" s="507"/>
      <c r="N709" s="507"/>
      <c r="O709" s="507"/>
      <c r="P709" s="507"/>
      <c r="Q709" s="507"/>
      <c r="R709" s="507"/>
      <c r="S709" s="507"/>
      <c r="T709" s="507"/>
      <c r="U709" s="507"/>
      <c r="V709" s="507"/>
      <c r="W709" s="507"/>
      <c r="X709" s="507"/>
      <c r="Y709" s="507"/>
      <c r="Z709" s="507"/>
    </row>
    <row r="710">
      <c r="A710" s="507"/>
      <c r="B710" s="572"/>
      <c r="C710" s="572"/>
      <c r="D710" s="572"/>
      <c r="E710" s="572"/>
      <c r="F710" s="572"/>
      <c r="G710" s="572"/>
      <c r="H710" s="572"/>
      <c r="I710" s="572"/>
      <c r="J710" s="507"/>
      <c r="K710" s="507"/>
      <c r="L710" s="507"/>
      <c r="M710" s="507"/>
      <c r="N710" s="507"/>
      <c r="O710" s="507"/>
      <c r="P710" s="507"/>
      <c r="Q710" s="507"/>
      <c r="R710" s="507"/>
      <c r="S710" s="507"/>
      <c r="T710" s="507"/>
      <c r="U710" s="507"/>
      <c r="V710" s="507"/>
      <c r="W710" s="507"/>
      <c r="X710" s="507"/>
      <c r="Y710" s="507"/>
      <c r="Z710" s="507"/>
    </row>
    <row r="711">
      <c r="A711" s="507"/>
      <c r="B711" s="572"/>
      <c r="C711" s="572"/>
      <c r="D711" s="572"/>
      <c r="E711" s="572"/>
      <c r="F711" s="572"/>
      <c r="G711" s="572"/>
      <c r="H711" s="572"/>
      <c r="I711" s="572"/>
      <c r="J711" s="507"/>
      <c r="K711" s="507"/>
      <c r="L711" s="507"/>
      <c r="M711" s="507"/>
      <c r="N711" s="507"/>
      <c r="O711" s="507"/>
      <c r="P711" s="507"/>
      <c r="Q711" s="507"/>
      <c r="R711" s="507"/>
      <c r="S711" s="507"/>
      <c r="T711" s="507"/>
      <c r="U711" s="507"/>
      <c r="V711" s="507"/>
      <c r="W711" s="507"/>
      <c r="X711" s="507"/>
      <c r="Y711" s="507"/>
      <c r="Z711" s="507"/>
    </row>
    <row r="712">
      <c r="A712" s="507"/>
      <c r="B712" s="572"/>
      <c r="C712" s="572"/>
      <c r="D712" s="572"/>
      <c r="E712" s="572"/>
      <c r="F712" s="572"/>
      <c r="G712" s="572"/>
      <c r="H712" s="572"/>
      <c r="I712" s="572"/>
      <c r="J712" s="507"/>
      <c r="K712" s="507"/>
      <c r="L712" s="507"/>
      <c r="M712" s="507"/>
      <c r="N712" s="507"/>
      <c r="O712" s="507"/>
      <c r="P712" s="507"/>
      <c r="Q712" s="507"/>
      <c r="R712" s="507"/>
      <c r="S712" s="507"/>
      <c r="T712" s="507"/>
      <c r="U712" s="507"/>
      <c r="V712" s="507"/>
      <c r="W712" s="507"/>
      <c r="X712" s="507"/>
      <c r="Y712" s="507"/>
      <c r="Z712" s="507"/>
    </row>
    <row r="713">
      <c r="A713" s="507"/>
      <c r="B713" s="572"/>
      <c r="C713" s="572"/>
      <c r="D713" s="572"/>
      <c r="E713" s="572"/>
      <c r="F713" s="572"/>
      <c r="G713" s="572"/>
      <c r="H713" s="572"/>
      <c r="I713" s="572"/>
      <c r="J713" s="507"/>
      <c r="K713" s="507"/>
      <c r="L713" s="507"/>
      <c r="M713" s="507"/>
      <c r="N713" s="507"/>
      <c r="O713" s="507"/>
      <c r="P713" s="507"/>
      <c r="Q713" s="507"/>
      <c r="R713" s="507"/>
      <c r="S713" s="507"/>
      <c r="T713" s="507"/>
      <c r="U713" s="507"/>
      <c r="V713" s="507"/>
      <c r="W713" s="507"/>
      <c r="X713" s="507"/>
      <c r="Y713" s="507"/>
      <c r="Z713" s="507"/>
    </row>
    <row r="714">
      <c r="A714" s="507"/>
      <c r="B714" s="572"/>
      <c r="C714" s="572"/>
      <c r="D714" s="572"/>
      <c r="E714" s="572"/>
      <c r="F714" s="572"/>
      <c r="G714" s="572"/>
      <c r="H714" s="572"/>
      <c r="I714" s="572"/>
      <c r="J714" s="507"/>
      <c r="K714" s="507"/>
      <c r="L714" s="507"/>
      <c r="M714" s="507"/>
      <c r="N714" s="507"/>
      <c r="O714" s="507"/>
      <c r="P714" s="507"/>
      <c r="Q714" s="507"/>
      <c r="R714" s="507"/>
      <c r="S714" s="507"/>
      <c r="T714" s="507"/>
      <c r="U714" s="507"/>
      <c r="V714" s="507"/>
      <c r="W714" s="507"/>
      <c r="X714" s="507"/>
      <c r="Y714" s="507"/>
      <c r="Z714" s="507"/>
    </row>
    <row r="715">
      <c r="A715" s="507"/>
      <c r="B715" s="572"/>
      <c r="C715" s="572"/>
      <c r="D715" s="572"/>
      <c r="E715" s="572"/>
      <c r="F715" s="572"/>
      <c r="G715" s="572"/>
      <c r="H715" s="572"/>
      <c r="I715" s="572"/>
      <c r="J715" s="507"/>
      <c r="K715" s="507"/>
      <c r="L715" s="507"/>
      <c r="M715" s="507"/>
      <c r="N715" s="507"/>
      <c r="O715" s="507"/>
      <c r="P715" s="507"/>
      <c r="Q715" s="507"/>
      <c r="R715" s="507"/>
      <c r="S715" s="507"/>
      <c r="T715" s="507"/>
      <c r="U715" s="507"/>
      <c r="V715" s="507"/>
      <c r="W715" s="507"/>
      <c r="X715" s="507"/>
      <c r="Y715" s="507"/>
      <c r="Z715" s="507"/>
    </row>
    <row r="716">
      <c r="A716" s="507"/>
      <c r="B716" s="572"/>
      <c r="C716" s="572"/>
      <c r="D716" s="572"/>
      <c r="E716" s="572"/>
      <c r="F716" s="572"/>
      <c r="G716" s="572"/>
      <c r="H716" s="572"/>
      <c r="I716" s="572"/>
      <c r="J716" s="507"/>
      <c r="K716" s="507"/>
      <c r="L716" s="507"/>
      <c r="M716" s="507"/>
      <c r="N716" s="507"/>
      <c r="O716" s="507"/>
      <c r="P716" s="507"/>
      <c r="Q716" s="507"/>
      <c r="R716" s="507"/>
      <c r="S716" s="507"/>
      <c r="T716" s="507"/>
      <c r="U716" s="507"/>
      <c r="V716" s="507"/>
      <c r="W716" s="507"/>
      <c r="X716" s="507"/>
      <c r="Y716" s="507"/>
      <c r="Z716" s="507"/>
    </row>
    <row r="717">
      <c r="A717" s="507"/>
      <c r="B717" s="572"/>
      <c r="C717" s="572"/>
      <c r="D717" s="572"/>
      <c r="E717" s="572"/>
      <c r="F717" s="572"/>
      <c r="G717" s="572"/>
      <c r="H717" s="572"/>
      <c r="I717" s="572"/>
      <c r="J717" s="507"/>
      <c r="K717" s="507"/>
      <c r="L717" s="507"/>
      <c r="M717" s="507"/>
      <c r="N717" s="507"/>
      <c r="O717" s="507"/>
      <c r="P717" s="507"/>
      <c r="Q717" s="507"/>
      <c r="R717" s="507"/>
      <c r="S717" s="507"/>
      <c r="T717" s="507"/>
      <c r="U717" s="507"/>
      <c r="V717" s="507"/>
      <c r="W717" s="507"/>
      <c r="X717" s="507"/>
      <c r="Y717" s="507"/>
      <c r="Z717" s="507"/>
    </row>
    <row r="718">
      <c r="A718" s="507"/>
      <c r="B718" s="572"/>
      <c r="C718" s="572"/>
      <c r="D718" s="572"/>
      <c r="E718" s="572"/>
      <c r="F718" s="572"/>
      <c r="G718" s="572"/>
      <c r="H718" s="572"/>
      <c r="I718" s="572"/>
      <c r="J718" s="507"/>
      <c r="K718" s="507"/>
      <c r="L718" s="507"/>
      <c r="M718" s="507"/>
      <c r="N718" s="507"/>
      <c r="O718" s="507"/>
      <c r="P718" s="507"/>
      <c r="Q718" s="507"/>
      <c r="R718" s="507"/>
      <c r="S718" s="507"/>
      <c r="T718" s="507"/>
      <c r="U718" s="507"/>
      <c r="V718" s="507"/>
      <c r="W718" s="507"/>
      <c r="X718" s="507"/>
      <c r="Y718" s="507"/>
      <c r="Z718" s="507"/>
    </row>
    <row r="719">
      <c r="A719" s="507"/>
      <c r="B719" s="572"/>
      <c r="C719" s="572"/>
      <c r="D719" s="572"/>
      <c r="E719" s="572"/>
      <c r="F719" s="572"/>
      <c r="G719" s="572"/>
      <c r="H719" s="572"/>
      <c r="I719" s="572"/>
      <c r="J719" s="507"/>
      <c r="K719" s="507"/>
      <c r="L719" s="507"/>
      <c r="M719" s="507"/>
      <c r="N719" s="507"/>
      <c r="O719" s="507"/>
      <c r="P719" s="507"/>
      <c r="Q719" s="507"/>
      <c r="R719" s="507"/>
      <c r="S719" s="507"/>
      <c r="T719" s="507"/>
      <c r="U719" s="507"/>
      <c r="V719" s="507"/>
      <c r="W719" s="507"/>
      <c r="X719" s="507"/>
      <c r="Y719" s="507"/>
      <c r="Z719" s="507"/>
    </row>
    <row r="720">
      <c r="A720" s="507"/>
      <c r="B720" s="572"/>
      <c r="C720" s="572"/>
      <c r="D720" s="572"/>
      <c r="E720" s="572"/>
      <c r="F720" s="572"/>
      <c r="G720" s="572"/>
      <c r="H720" s="572"/>
      <c r="I720" s="572"/>
      <c r="J720" s="507"/>
      <c r="K720" s="507"/>
      <c r="L720" s="507"/>
      <c r="M720" s="507"/>
      <c r="N720" s="507"/>
      <c r="O720" s="507"/>
      <c r="P720" s="507"/>
      <c r="Q720" s="507"/>
      <c r="R720" s="507"/>
      <c r="S720" s="507"/>
      <c r="T720" s="507"/>
      <c r="U720" s="507"/>
      <c r="V720" s="507"/>
      <c r="W720" s="507"/>
      <c r="X720" s="507"/>
      <c r="Y720" s="507"/>
      <c r="Z720" s="507"/>
    </row>
    <row r="721">
      <c r="A721" s="507"/>
      <c r="B721" s="572"/>
      <c r="C721" s="572"/>
      <c r="D721" s="572"/>
      <c r="E721" s="572"/>
      <c r="F721" s="572"/>
      <c r="G721" s="572"/>
      <c r="H721" s="572"/>
      <c r="I721" s="572"/>
      <c r="J721" s="507"/>
      <c r="K721" s="507"/>
      <c r="L721" s="507"/>
      <c r="M721" s="507"/>
      <c r="N721" s="507"/>
      <c r="O721" s="507"/>
      <c r="P721" s="507"/>
      <c r="Q721" s="507"/>
      <c r="R721" s="507"/>
      <c r="S721" s="507"/>
      <c r="T721" s="507"/>
      <c r="U721" s="507"/>
      <c r="V721" s="507"/>
      <c r="W721" s="507"/>
      <c r="X721" s="507"/>
      <c r="Y721" s="507"/>
      <c r="Z721" s="507"/>
    </row>
    <row r="722">
      <c r="A722" s="507"/>
      <c r="B722" s="572"/>
      <c r="C722" s="572"/>
      <c r="D722" s="572"/>
      <c r="E722" s="572"/>
      <c r="F722" s="572"/>
      <c r="G722" s="572"/>
      <c r="H722" s="572"/>
      <c r="I722" s="572"/>
      <c r="J722" s="507"/>
      <c r="K722" s="507"/>
      <c r="L722" s="507"/>
      <c r="M722" s="507"/>
      <c r="N722" s="507"/>
      <c r="O722" s="507"/>
      <c r="P722" s="507"/>
      <c r="Q722" s="507"/>
      <c r="R722" s="507"/>
      <c r="S722" s="507"/>
      <c r="T722" s="507"/>
      <c r="U722" s="507"/>
      <c r="V722" s="507"/>
      <c r="W722" s="507"/>
      <c r="X722" s="507"/>
      <c r="Y722" s="507"/>
      <c r="Z722" s="507"/>
    </row>
    <row r="723">
      <c r="A723" s="507"/>
      <c r="B723" s="572"/>
      <c r="C723" s="572"/>
      <c r="D723" s="572"/>
      <c r="E723" s="572"/>
      <c r="F723" s="572"/>
      <c r="G723" s="572"/>
      <c r="H723" s="572"/>
      <c r="I723" s="572"/>
      <c r="J723" s="507"/>
      <c r="K723" s="507"/>
      <c r="L723" s="507"/>
      <c r="M723" s="507"/>
      <c r="N723" s="507"/>
      <c r="O723" s="507"/>
      <c r="P723" s="507"/>
      <c r="Q723" s="507"/>
      <c r="R723" s="507"/>
      <c r="S723" s="507"/>
      <c r="T723" s="507"/>
      <c r="U723" s="507"/>
      <c r="V723" s="507"/>
      <c r="W723" s="507"/>
      <c r="X723" s="507"/>
      <c r="Y723" s="507"/>
      <c r="Z723" s="507"/>
    </row>
    <row r="724">
      <c r="A724" s="507"/>
      <c r="B724" s="572"/>
      <c r="C724" s="572"/>
      <c r="D724" s="572"/>
      <c r="E724" s="572"/>
      <c r="F724" s="572"/>
      <c r="G724" s="572"/>
      <c r="H724" s="572"/>
      <c r="I724" s="572"/>
      <c r="J724" s="507"/>
      <c r="K724" s="507"/>
      <c r="L724" s="507"/>
      <c r="M724" s="507"/>
      <c r="N724" s="507"/>
      <c r="O724" s="507"/>
      <c r="P724" s="507"/>
      <c r="Q724" s="507"/>
      <c r="R724" s="507"/>
      <c r="S724" s="507"/>
      <c r="T724" s="507"/>
      <c r="U724" s="507"/>
      <c r="V724" s="507"/>
      <c r="W724" s="507"/>
      <c r="X724" s="507"/>
      <c r="Y724" s="507"/>
      <c r="Z724" s="507"/>
    </row>
    <row r="725">
      <c r="A725" s="507"/>
      <c r="B725" s="572"/>
      <c r="C725" s="572"/>
      <c r="D725" s="572"/>
      <c r="E725" s="572"/>
      <c r="F725" s="572"/>
      <c r="G725" s="572"/>
      <c r="H725" s="572"/>
      <c r="I725" s="572"/>
      <c r="J725" s="507"/>
      <c r="K725" s="507"/>
      <c r="L725" s="507"/>
      <c r="M725" s="507"/>
      <c r="N725" s="507"/>
      <c r="O725" s="507"/>
      <c r="P725" s="507"/>
      <c r="Q725" s="507"/>
      <c r="R725" s="507"/>
      <c r="S725" s="507"/>
      <c r="T725" s="507"/>
      <c r="U725" s="507"/>
      <c r="V725" s="507"/>
      <c r="W725" s="507"/>
      <c r="X725" s="507"/>
      <c r="Y725" s="507"/>
      <c r="Z725" s="507"/>
    </row>
    <row r="726">
      <c r="A726" s="507"/>
      <c r="B726" s="572"/>
      <c r="C726" s="572"/>
      <c r="D726" s="572"/>
      <c r="E726" s="572"/>
      <c r="F726" s="572"/>
      <c r="G726" s="572"/>
      <c r="H726" s="572"/>
      <c r="I726" s="572"/>
      <c r="J726" s="507"/>
      <c r="K726" s="507"/>
      <c r="L726" s="507"/>
      <c r="M726" s="507"/>
      <c r="N726" s="507"/>
      <c r="O726" s="507"/>
      <c r="P726" s="507"/>
      <c r="Q726" s="507"/>
      <c r="R726" s="507"/>
      <c r="S726" s="507"/>
      <c r="T726" s="507"/>
      <c r="U726" s="507"/>
      <c r="V726" s="507"/>
      <c r="W726" s="507"/>
      <c r="X726" s="507"/>
      <c r="Y726" s="507"/>
      <c r="Z726" s="507"/>
    </row>
    <row r="727">
      <c r="A727" s="507"/>
      <c r="B727" s="572"/>
      <c r="C727" s="572"/>
      <c r="D727" s="572"/>
      <c r="E727" s="572"/>
      <c r="F727" s="572"/>
      <c r="G727" s="572"/>
      <c r="H727" s="572"/>
      <c r="I727" s="572"/>
      <c r="J727" s="507"/>
      <c r="K727" s="507"/>
      <c r="L727" s="507"/>
      <c r="M727" s="507"/>
      <c r="N727" s="507"/>
      <c r="O727" s="507"/>
      <c r="P727" s="507"/>
      <c r="Q727" s="507"/>
      <c r="R727" s="507"/>
      <c r="S727" s="507"/>
      <c r="T727" s="507"/>
      <c r="U727" s="507"/>
      <c r="V727" s="507"/>
      <c r="W727" s="507"/>
      <c r="X727" s="507"/>
      <c r="Y727" s="507"/>
      <c r="Z727" s="507"/>
    </row>
    <row r="728">
      <c r="A728" s="507"/>
      <c r="B728" s="572"/>
      <c r="C728" s="572"/>
      <c r="D728" s="572"/>
      <c r="E728" s="572"/>
      <c r="F728" s="572"/>
      <c r="G728" s="572"/>
      <c r="H728" s="572"/>
      <c r="I728" s="572"/>
      <c r="J728" s="507"/>
      <c r="K728" s="507"/>
      <c r="L728" s="507"/>
      <c r="M728" s="507"/>
      <c r="N728" s="507"/>
      <c r="O728" s="507"/>
      <c r="P728" s="507"/>
      <c r="Q728" s="507"/>
      <c r="R728" s="507"/>
      <c r="S728" s="507"/>
      <c r="T728" s="507"/>
      <c r="U728" s="507"/>
      <c r="V728" s="507"/>
      <c r="W728" s="507"/>
      <c r="X728" s="507"/>
      <c r="Y728" s="507"/>
      <c r="Z728" s="507"/>
    </row>
    <row r="729">
      <c r="A729" s="507"/>
      <c r="B729" s="572"/>
      <c r="C729" s="572"/>
      <c r="D729" s="572"/>
      <c r="E729" s="572"/>
      <c r="F729" s="572"/>
      <c r="G729" s="572"/>
      <c r="H729" s="572"/>
      <c r="I729" s="572"/>
      <c r="J729" s="507"/>
      <c r="K729" s="507"/>
      <c r="L729" s="507"/>
      <c r="M729" s="507"/>
      <c r="N729" s="507"/>
      <c r="O729" s="507"/>
      <c r="P729" s="507"/>
      <c r="Q729" s="507"/>
      <c r="R729" s="507"/>
      <c r="S729" s="507"/>
      <c r="T729" s="507"/>
      <c r="U729" s="507"/>
      <c r="V729" s="507"/>
      <c r="W729" s="507"/>
      <c r="X729" s="507"/>
      <c r="Y729" s="507"/>
      <c r="Z729" s="507"/>
    </row>
    <row r="730">
      <c r="A730" s="507"/>
      <c r="B730" s="572"/>
      <c r="C730" s="572"/>
      <c r="D730" s="572"/>
      <c r="E730" s="572"/>
      <c r="F730" s="572"/>
      <c r="G730" s="572"/>
      <c r="H730" s="572"/>
      <c r="I730" s="572"/>
      <c r="J730" s="507"/>
      <c r="K730" s="507"/>
      <c r="L730" s="507"/>
      <c r="M730" s="507"/>
      <c r="N730" s="507"/>
      <c r="O730" s="507"/>
      <c r="P730" s="507"/>
      <c r="Q730" s="507"/>
      <c r="R730" s="507"/>
      <c r="S730" s="507"/>
      <c r="T730" s="507"/>
      <c r="U730" s="507"/>
      <c r="V730" s="507"/>
      <c r="W730" s="507"/>
      <c r="X730" s="507"/>
      <c r="Y730" s="507"/>
      <c r="Z730" s="507"/>
    </row>
    <row r="731">
      <c r="A731" s="507"/>
      <c r="B731" s="572"/>
      <c r="C731" s="572"/>
      <c r="D731" s="572"/>
      <c r="E731" s="572"/>
      <c r="F731" s="572"/>
      <c r="G731" s="572"/>
      <c r="H731" s="572"/>
      <c r="I731" s="572"/>
      <c r="J731" s="507"/>
      <c r="K731" s="507"/>
      <c r="L731" s="507"/>
      <c r="M731" s="507"/>
      <c r="N731" s="507"/>
      <c r="O731" s="507"/>
      <c r="P731" s="507"/>
      <c r="Q731" s="507"/>
      <c r="R731" s="507"/>
      <c r="S731" s="507"/>
      <c r="T731" s="507"/>
      <c r="U731" s="507"/>
      <c r="V731" s="507"/>
      <c r="W731" s="507"/>
      <c r="X731" s="507"/>
      <c r="Y731" s="507"/>
      <c r="Z731" s="507"/>
    </row>
    <row r="732">
      <c r="A732" s="507"/>
      <c r="B732" s="572"/>
      <c r="C732" s="572"/>
      <c r="D732" s="572"/>
      <c r="E732" s="572"/>
      <c r="F732" s="572"/>
      <c r="G732" s="572"/>
      <c r="H732" s="572"/>
      <c r="I732" s="572"/>
      <c r="J732" s="507"/>
      <c r="K732" s="507"/>
      <c r="L732" s="507"/>
      <c r="M732" s="507"/>
      <c r="N732" s="507"/>
      <c r="O732" s="507"/>
      <c r="P732" s="507"/>
      <c r="Q732" s="507"/>
      <c r="R732" s="507"/>
      <c r="S732" s="507"/>
      <c r="T732" s="507"/>
      <c r="U732" s="507"/>
      <c r="V732" s="507"/>
      <c r="W732" s="507"/>
      <c r="X732" s="507"/>
      <c r="Y732" s="507"/>
      <c r="Z732" s="507"/>
    </row>
    <row r="733">
      <c r="A733" s="507"/>
      <c r="B733" s="572"/>
      <c r="C733" s="572"/>
      <c r="D733" s="572"/>
      <c r="E733" s="572"/>
      <c r="F733" s="572"/>
      <c r="G733" s="572"/>
      <c r="H733" s="572"/>
      <c r="I733" s="572"/>
      <c r="J733" s="507"/>
      <c r="K733" s="507"/>
      <c r="L733" s="507"/>
      <c r="M733" s="507"/>
      <c r="N733" s="507"/>
      <c r="O733" s="507"/>
      <c r="P733" s="507"/>
      <c r="Q733" s="507"/>
      <c r="R733" s="507"/>
      <c r="S733" s="507"/>
      <c r="T733" s="507"/>
      <c r="U733" s="507"/>
      <c r="V733" s="507"/>
      <c r="W733" s="507"/>
      <c r="X733" s="507"/>
      <c r="Y733" s="507"/>
      <c r="Z733" s="507"/>
    </row>
    <row r="734">
      <c r="A734" s="507"/>
      <c r="B734" s="572"/>
      <c r="C734" s="572"/>
      <c r="D734" s="572"/>
      <c r="E734" s="572"/>
      <c r="F734" s="572"/>
      <c r="G734" s="572"/>
      <c r="H734" s="572"/>
      <c r="I734" s="572"/>
      <c r="J734" s="507"/>
      <c r="K734" s="507"/>
      <c r="L734" s="507"/>
      <c r="M734" s="507"/>
      <c r="N734" s="507"/>
      <c r="O734" s="507"/>
      <c r="P734" s="507"/>
      <c r="Q734" s="507"/>
      <c r="R734" s="507"/>
      <c r="S734" s="507"/>
      <c r="T734" s="507"/>
      <c r="U734" s="507"/>
      <c r="V734" s="507"/>
      <c r="W734" s="507"/>
      <c r="X734" s="507"/>
      <c r="Y734" s="507"/>
      <c r="Z734" s="507"/>
    </row>
    <row r="735">
      <c r="A735" s="507"/>
      <c r="B735" s="572"/>
      <c r="C735" s="572"/>
      <c r="D735" s="572"/>
      <c r="E735" s="572"/>
      <c r="F735" s="572"/>
      <c r="G735" s="572"/>
      <c r="H735" s="572"/>
      <c r="I735" s="572"/>
      <c r="J735" s="507"/>
      <c r="K735" s="507"/>
      <c r="L735" s="507"/>
      <c r="M735" s="507"/>
      <c r="N735" s="507"/>
      <c r="O735" s="507"/>
      <c r="P735" s="507"/>
      <c r="Q735" s="507"/>
      <c r="R735" s="507"/>
      <c r="S735" s="507"/>
      <c r="T735" s="507"/>
      <c r="U735" s="507"/>
      <c r="V735" s="507"/>
      <c r="W735" s="507"/>
      <c r="X735" s="507"/>
      <c r="Y735" s="507"/>
      <c r="Z735" s="507"/>
    </row>
    <row r="736">
      <c r="A736" s="507"/>
      <c r="B736" s="572"/>
      <c r="C736" s="572"/>
      <c r="D736" s="572"/>
      <c r="E736" s="572"/>
      <c r="F736" s="572"/>
      <c r="G736" s="572"/>
      <c r="H736" s="572"/>
      <c r="I736" s="572"/>
      <c r="J736" s="507"/>
      <c r="K736" s="507"/>
      <c r="L736" s="507"/>
      <c r="M736" s="507"/>
      <c r="N736" s="507"/>
      <c r="O736" s="507"/>
      <c r="P736" s="507"/>
      <c r="Q736" s="507"/>
      <c r="R736" s="507"/>
      <c r="S736" s="507"/>
      <c r="T736" s="507"/>
      <c r="U736" s="507"/>
      <c r="V736" s="507"/>
      <c r="W736" s="507"/>
      <c r="X736" s="507"/>
      <c r="Y736" s="507"/>
      <c r="Z736" s="507"/>
    </row>
    <row r="737">
      <c r="A737" s="507"/>
      <c r="B737" s="572"/>
      <c r="C737" s="572"/>
      <c r="D737" s="572"/>
      <c r="E737" s="572"/>
      <c r="F737" s="572"/>
      <c r="G737" s="572"/>
      <c r="H737" s="572"/>
      <c r="I737" s="572"/>
      <c r="J737" s="507"/>
      <c r="K737" s="507"/>
      <c r="L737" s="507"/>
      <c r="M737" s="507"/>
      <c r="N737" s="507"/>
      <c r="O737" s="507"/>
      <c r="P737" s="507"/>
      <c r="Q737" s="507"/>
      <c r="R737" s="507"/>
      <c r="S737" s="507"/>
      <c r="T737" s="507"/>
      <c r="U737" s="507"/>
      <c r="V737" s="507"/>
      <c r="W737" s="507"/>
      <c r="X737" s="507"/>
      <c r="Y737" s="507"/>
      <c r="Z737" s="507"/>
    </row>
    <row r="738">
      <c r="A738" s="507"/>
      <c r="B738" s="572"/>
      <c r="C738" s="572"/>
      <c r="D738" s="572"/>
      <c r="E738" s="572"/>
      <c r="F738" s="572"/>
      <c r="G738" s="572"/>
      <c r="H738" s="572"/>
      <c r="I738" s="572"/>
      <c r="J738" s="507"/>
      <c r="K738" s="507"/>
      <c r="L738" s="507"/>
      <c r="M738" s="507"/>
      <c r="N738" s="507"/>
      <c r="O738" s="507"/>
      <c r="P738" s="507"/>
      <c r="Q738" s="507"/>
      <c r="R738" s="507"/>
      <c r="S738" s="507"/>
      <c r="T738" s="507"/>
      <c r="U738" s="507"/>
      <c r="V738" s="507"/>
      <c r="W738" s="507"/>
      <c r="X738" s="507"/>
      <c r="Y738" s="507"/>
      <c r="Z738" s="507"/>
    </row>
    <row r="739">
      <c r="A739" s="507"/>
      <c r="B739" s="572"/>
      <c r="C739" s="572"/>
      <c r="D739" s="572"/>
      <c r="E739" s="572"/>
      <c r="F739" s="572"/>
      <c r="G739" s="572"/>
      <c r="H739" s="572"/>
      <c r="I739" s="572"/>
      <c r="J739" s="507"/>
      <c r="K739" s="507"/>
      <c r="L739" s="507"/>
      <c r="M739" s="507"/>
      <c r="N739" s="507"/>
      <c r="O739" s="507"/>
      <c r="P739" s="507"/>
      <c r="Q739" s="507"/>
      <c r="R739" s="507"/>
      <c r="S739" s="507"/>
      <c r="T739" s="507"/>
      <c r="U739" s="507"/>
      <c r="V739" s="507"/>
      <c r="W739" s="507"/>
      <c r="X739" s="507"/>
      <c r="Y739" s="507"/>
      <c r="Z739" s="507"/>
    </row>
    <row r="740">
      <c r="A740" s="507"/>
      <c r="B740" s="572"/>
      <c r="C740" s="572"/>
      <c r="D740" s="572"/>
      <c r="E740" s="572"/>
      <c r="F740" s="572"/>
      <c r="G740" s="572"/>
      <c r="H740" s="572"/>
      <c r="I740" s="572"/>
      <c r="J740" s="507"/>
      <c r="K740" s="507"/>
      <c r="L740" s="507"/>
      <c r="M740" s="507"/>
      <c r="N740" s="507"/>
      <c r="O740" s="507"/>
      <c r="P740" s="507"/>
      <c r="Q740" s="507"/>
      <c r="R740" s="507"/>
      <c r="S740" s="507"/>
      <c r="T740" s="507"/>
      <c r="U740" s="507"/>
      <c r="V740" s="507"/>
      <c r="W740" s="507"/>
      <c r="X740" s="507"/>
      <c r="Y740" s="507"/>
      <c r="Z740" s="507"/>
    </row>
    <row r="741">
      <c r="A741" s="507"/>
      <c r="B741" s="572"/>
      <c r="C741" s="572"/>
      <c r="D741" s="572"/>
      <c r="E741" s="572"/>
      <c r="F741" s="572"/>
      <c r="G741" s="572"/>
      <c r="H741" s="572"/>
      <c r="I741" s="572"/>
      <c r="J741" s="507"/>
      <c r="K741" s="507"/>
      <c r="L741" s="507"/>
      <c r="M741" s="507"/>
      <c r="N741" s="507"/>
      <c r="O741" s="507"/>
      <c r="P741" s="507"/>
      <c r="Q741" s="507"/>
      <c r="R741" s="507"/>
      <c r="S741" s="507"/>
      <c r="T741" s="507"/>
      <c r="U741" s="507"/>
      <c r="V741" s="507"/>
      <c r="W741" s="507"/>
      <c r="X741" s="507"/>
      <c r="Y741" s="507"/>
      <c r="Z741" s="507"/>
    </row>
    <row r="742">
      <c r="A742" s="507"/>
      <c r="B742" s="572"/>
      <c r="C742" s="572"/>
      <c r="D742" s="572"/>
      <c r="E742" s="572"/>
      <c r="F742" s="572"/>
      <c r="G742" s="572"/>
      <c r="H742" s="572"/>
      <c r="I742" s="572"/>
      <c r="J742" s="507"/>
      <c r="K742" s="507"/>
      <c r="L742" s="507"/>
      <c r="M742" s="507"/>
      <c r="N742" s="507"/>
      <c r="O742" s="507"/>
      <c r="P742" s="507"/>
      <c r="Q742" s="507"/>
      <c r="R742" s="507"/>
      <c r="S742" s="507"/>
      <c r="T742" s="507"/>
      <c r="U742" s="507"/>
      <c r="V742" s="507"/>
      <c r="W742" s="507"/>
      <c r="X742" s="507"/>
      <c r="Y742" s="507"/>
      <c r="Z742" s="507"/>
    </row>
    <row r="743">
      <c r="A743" s="507"/>
      <c r="B743" s="572"/>
      <c r="C743" s="572"/>
      <c r="D743" s="572"/>
      <c r="E743" s="572"/>
      <c r="F743" s="572"/>
      <c r="G743" s="572"/>
      <c r="H743" s="572"/>
      <c r="I743" s="572"/>
      <c r="J743" s="507"/>
      <c r="K743" s="507"/>
      <c r="L743" s="507"/>
      <c r="M743" s="507"/>
      <c r="N743" s="507"/>
      <c r="O743" s="507"/>
      <c r="P743" s="507"/>
      <c r="Q743" s="507"/>
      <c r="R743" s="507"/>
      <c r="S743" s="507"/>
      <c r="T743" s="507"/>
      <c r="U743" s="507"/>
      <c r="V743" s="507"/>
      <c r="W743" s="507"/>
      <c r="X743" s="507"/>
      <c r="Y743" s="507"/>
      <c r="Z743" s="507"/>
    </row>
    <row r="744">
      <c r="A744" s="507"/>
      <c r="B744" s="572"/>
      <c r="C744" s="572"/>
      <c r="D744" s="572"/>
      <c r="E744" s="572"/>
      <c r="F744" s="572"/>
      <c r="G744" s="572"/>
      <c r="H744" s="572"/>
      <c r="I744" s="572"/>
      <c r="J744" s="507"/>
      <c r="K744" s="507"/>
      <c r="L744" s="507"/>
      <c r="M744" s="507"/>
      <c r="N744" s="507"/>
      <c r="O744" s="507"/>
      <c r="P744" s="507"/>
      <c r="Q744" s="507"/>
      <c r="R744" s="507"/>
      <c r="S744" s="507"/>
      <c r="T744" s="507"/>
      <c r="U744" s="507"/>
      <c r="V744" s="507"/>
      <c r="W744" s="507"/>
      <c r="X744" s="507"/>
      <c r="Y744" s="507"/>
      <c r="Z744" s="507"/>
    </row>
    <row r="745">
      <c r="A745" s="507"/>
      <c r="B745" s="572"/>
      <c r="C745" s="572"/>
      <c r="D745" s="572"/>
      <c r="E745" s="572"/>
      <c r="F745" s="572"/>
      <c r="G745" s="572"/>
      <c r="H745" s="572"/>
      <c r="I745" s="572"/>
      <c r="J745" s="507"/>
      <c r="K745" s="507"/>
      <c r="L745" s="507"/>
      <c r="M745" s="507"/>
      <c r="N745" s="507"/>
      <c r="O745" s="507"/>
      <c r="P745" s="507"/>
      <c r="Q745" s="507"/>
      <c r="R745" s="507"/>
      <c r="S745" s="507"/>
      <c r="T745" s="507"/>
      <c r="U745" s="507"/>
      <c r="V745" s="507"/>
      <c r="W745" s="507"/>
      <c r="X745" s="507"/>
      <c r="Y745" s="507"/>
      <c r="Z745" s="507"/>
    </row>
    <row r="746">
      <c r="A746" s="507"/>
      <c r="B746" s="572"/>
      <c r="C746" s="572"/>
      <c r="D746" s="572"/>
      <c r="E746" s="572"/>
      <c r="F746" s="572"/>
      <c r="G746" s="572"/>
      <c r="H746" s="572"/>
      <c r="I746" s="572"/>
      <c r="J746" s="507"/>
      <c r="K746" s="507"/>
      <c r="L746" s="507"/>
      <c r="M746" s="507"/>
      <c r="N746" s="507"/>
      <c r="O746" s="507"/>
      <c r="P746" s="507"/>
      <c r="Q746" s="507"/>
      <c r="R746" s="507"/>
      <c r="S746" s="507"/>
      <c r="T746" s="507"/>
      <c r="U746" s="507"/>
      <c r="V746" s="507"/>
      <c r="W746" s="507"/>
      <c r="X746" s="507"/>
      <c r="Y746" s="507"/>
      <c r="Z746" s="507"/>
    </row>
    <row r="747">
      <c r="A747" s="507"/>
      <c r="B747" s="572"/>
      <c r="C747" s="572"/>
      <c r="D747" s="572"/>
      <c r="E747" s="572"/>
      <c r="F747" s="572"/>
      <c r="G747" s="572"/>
      <c r="H747" s="572"/>
      <c r="I747" s="572"/>
      <c r="J747" s="507"/>
      <c r="K747" s="507"/>
      <c r="L747" s="507"/>
      <c r="M747" s="507"/>
      <c r="N747" s="507"/>
      <c r="O747" s="507"/>
      <c r="P747" s="507"/>
      <c r="Q747" s="507"/>
      <c r="R747" s="507"/>
      <c r="S747" s="507"/>
      <c r="T747" s="507"/>
      <c r="U747" s="507"/>
      <c r="V747" s="507"/>
      <c r="W747" s="507"/>
      <c r="X747" s="507"/>
      <c r="Y747" s="507"/>
      <c r="Z747" s="507"/>
    </row>
    <row r="748">
      <c r="A748" s="507"/>
      <c r="B748" s="572"/>
      <c r="C748" s="572"/>
      <c r="D748" s="572"/>
      <c r="E748" s="572"/>
      <c r="F748" s="572"/>
      <c r="G748" s="572"/>
      <c r="H748" s="572"/>
      <c r="I748" s="572"/>
      <c r="J748" s="507"/>
      <c r="K748" s="507"/>
      <c r="L748" s="507"/>
      <c r="M748" s="507"/>
      <c r="N748" s="507"/>
      <c r="O748" s="507"/>
      <c r="P748" s="507"/>
      <c r="Q748" s="507"/>
      <c r="R748" s="507"/>
      <c r="S748" s="507"/>
      <c r="T748" s="507"/>
      <c r="U748" s="507"/>
      <c r="V748" s="507"/>
      <c r="W748" s="507"/>
      <c r="X748" s="507"/>
      <c r="Y748" s="507"/>
      <c r="Z748" s="507"/>
    </row>
    <row r="749">
      <c r="A749" s="507"/>
      <c r="B749" s="572"/>
      <c r="C749" s="572"/>
      <c r="D749" s="572"/>
      <c r="E749" s="572"/>
      <c r="F749" s="572"/>
      <c r="G749" s="572"/>
      <c r="H749" s="572"/>
      <c r="I749" s="572"/>
      <c r="J749" s="507"/>
      <c r="K749" s="507"/>
      <c r="L749" s="507"/>
      <c r="M749" s="507"/>
      <c r="N749" s="507"/>
      <c r="O749" s="507"/>
      <c r="P749" s="507"/>
      <c r="Q749" s="507"/>
      <c r="R749" s="507"/>
      <c r="S749" s="507"/>
      <c r="T749" s="507"/>
      <c r="U749" s="507"/>
      <c r="V749" s="507"/>
      <c r="W749" s="507"/>
      <c r="X749" s="507"/>
      <c r="Y749" s="507"/>
      <c r="Z749" s="507"/>
    </row>
    <row r="750">
      <c r="A750" s="507"/>
      <c r="B750" s="572"/>
      <c r="C750" s="572"/>
      <c r="D750" s="572"/>
      <c r="E750" s="572"/>
      <c r="F750" s="572"/>
      <c r="G750" s="572"/>
      <c r="H750" s="572"/>
      <c r="I750" s="572"/>
      <c r="J750" s="507"/>
      <c r="K750" s="507"/>
      <c r="L750" s="507"/>
      <c r="M750" s="507"/>
      <c r="N750" s="507"/>
      <c r="O750" s="507"/>
      <c r="P750" s="507"/>
      <c r="Q750" s="507"/>
      <c r="R750" s="507"/>
      <c r="S750" s="507"/>
      <c r="T750" s="507"/>
      <c r="U750" s="507"/>
      <c r="V750" s="507"/>
      <c r="W750" s="507"/>
      <c r="X750" s="507"/>
      <c r="Y750" s="507"/>
      <c r="Z750" s="507"/>
    </row>
    <row r="751">
      <c r="A751" s="507"/>
      <c r="B751" s="572"/>
      <c r="C751" s="572"/>
      <c r="D751" s="572"/>
      <c r="E751" s="572"/>
      <c r="F751" s="572"/>
      <c r="G751" s="572"/>
      <c r="H751" s="572"/>
      <c r="I751" s="572"/>
      <c r="J751" s="507"/>
      <c r="K751" s="507"/>
      <c r="L751" s="507"/>
      <c r="M751" s="507"/>
      <c r="N751" s="507"/>
      <c r="O751" s="507"/>
      <c r="P751" s="507"/>
      <c r="Q751" s="507"/>
      <c r="R751" s="507"/>
      <c r="S751" s="507"/>
      <c r="T751" s="507"/>
      <c r="U751" s="507"/>
      <c r="V751" s="507"/>
      <c r="W751" s="507"/>
      <c r="X751" s="507"/>
      <c r="Y751" s="507"/>
      <c r="Z751" s="507"/>
    </row>
    <row r="752">
      <c r="A752" s="507"/>
      <c r="B752" s="572"/>
      <c r="C752" s="572"/>
      <c r="D752" s="572"/>
      <c r="E752" s="572"/>
      <c r="F752" s="572"/>
      <c r="G752" s="572"/>
      <c r="H752" s="572"/>
      <c r="I752" s="572"/>
      <c r="J752" s="507"/>
      <c r="K752" s="507"/>
      <c r="L752" s="507"/>
      <c r="M752" s="507"/>
      <c r="N752" s="507"/>
      <c r="O752" s="507"/>
      <c r="P752" s="507"/>
      <c r="Q752" s="507"/>
      <c r="R752" s="507"/>
      <c r="S752" s="507"/>
      <c r="T752" s="507"/>
      <c r="U752" s="507"/>
      <c r="V752" s="507"/>
      <c r="W752" s="507"/>
      <c r="X752" s="507"/>
      <c r="Y752" s="507"/>
      <c r="Z752" s="507"/>
    </row>
    <row r="753">
      <c r="A753" s="507"/>
      <c r="B753" s="572"/>
      <c r="C753" s="572"/>
      <c r="D753" s="572"/>
      <c r="E753" s="572"/>
      <c r="F753" s="572"/>
      <c r="G753" s="572"/>
      <c r="H753" s="572"/>
      <c r="I753" s="572"/>
      <c r="J753" s="507"/>
      <c r="K753" s="507"/>
      <c r="L753" s="507"/>
      <c r="M753" s="507"/>
      <c r="N753" s="507"/>
      <c r="O753" s="507"/>
      <c r="P753" s="507"/>
      <c r="Q753" s="507"/>
      <c r="R753" s="507"/>
      <c r="S753" s="507"/>
      <c r="T753" s="507"/>
      <c r="U753" s="507"/>
      <c r="V753" s="507"/>
      <c r="W753" s="507"/>
      <c r="X753" s="507"/>
      <c r="Y753" s="507"/>
      <c r="Z753" s="507"/>
    </row>
    <row r="754">
      <c r="A754" s="507"/>
      <c r="B754" s="572"/>
      <c r="C754" s="572"/>
      <c r="D754" s="572"/>
      <c r="E754" s="572"/>
      <c r="F754" s="572"/>
      <c r="G754" s="572"/>
      <c r="H754" s="572"/>
      <c r="I754" s="572"/>
      <c r="J754" s="507"/>
      <c r="K754" s="507"/>
      <c r="L754" s="507"/>
      <c r="M754" s="507"/>
      <c r="N754" s="507"/>
      <c r="O754" s="507"/>
      <c r="P754" s="507"/>
      <c r="Q754" s="507"/>
      <c r="R754" s="507"/>
      <c r="S754" s="507"/>
      <c r="T754" s="507"/>
      <c r="U754" s="507"/>
      <c r="V754" s="507"/>
      <c r="W754" s="507"/>
      <c r="X754" s="507"/>
      <c r="Y754" s="507"/>
      <c r="Z754" s="507"/>
    </row>
    <row r="755">
      <c r="A755" s="507"/>
      <c r="B755" s="572"/>
      <c r="C755" s="572"/>
      <c r="D755" s="572"/>
      <c r="E755" s="572"/>
      <c r="F755" s="572"/>
      <c r="G755" s="572"/>
      <c r="H755" s="572"/>
      <c r="I755" s="572"/>
      <c r="J755" s="507"/>
      <c r="K755" s="507"/>
      <c r="L755" s="507"/>
      <c r="M755" s="507"/>
      <c r="N755" s="507"/>
      <c r="O755" s="507"/>
      <c r="P755" s="507"/>
      <c r="Q755" s="507"/>
      <c r="R755" s="507"/>
      <c r="S755" s="507"/>
      <c r="T755" s="507"/>
      <c r="U755" s="507"/>
      <c r="V755" s="507"/>
      <c r="W755" s="507"/>
      <c r="X755" s="507"/>
      <c r="Y755" s="507"/>
      <c r="Z755" s="507"/>
    </row>
    <row r="756">
      <c r="A756" s="507"/>
      <c r="B756" s="572"/>
      <c r="C756" s="572"/>
      <c r="D756" s="572"/>
      <c r="E756" s="572"/>
      <c r="F756" s="572"/>
      <c r="G756" s="572"/>
      <c r="H756" s="572"/>
      <c r="I756" s="572"/>
      <c r="J756" s="507"/>
      <c r="K756" s="507"/>
      <c r="L756" s="507"/>
      <c r="M756" s="507"/>
      <c r="N756" s="507"/>
      <c r="O756" s="507"/>
      <c r="P756" s="507"/>
      <c r="Q756" s="507"/>
      <c r="R756" s="507"/>
      <c r="S756" s="507"/>
      <c r="T756" s="507"/>
      <c r="U756" s="507"/>
      <c r="V756" s="507"/>
      <c r="W756" s="507"/>
      <c r="X756" s="507"/>
      <c r="Y756" s="507"/>
      <c r="Z756" s="507"/>
    </row>
    <row r="757">
      <c r="A757" s="507"/>
      <c r="B757" s="572"/>
      <c r="C757" s="572"/>
      <c r="D757" s="572"/>
      <c r="E757" s="572"/>
      <c r="F757" s="572"/>
      <c r="G757" s="572"/>
      <c r="H757" s="572"/>
      <c r="I757" s="572"/>
      <c r="J757" s="507"/>
      <c r="K757" s="507"/>
      <c r="L757" s="507"/>
      <c r="M757" s="507"/>
      <c r="N757" s="507"/>
      <c r="O757" s="507"/>
      <c r="P757" s="507"/>
      <c r="Q757" s="507"/>
      <c r="R757" s="507"/>
      <c r="S757" s="507"/>
      <c r="T757" s="507"/>
      <c r="U757" s="507"/>
      <c r="V757" s="507"/>
      <c r="W757" s="507"/>
      <c r="X757" s="507"/>
      <c r="Y757" s="507"/>
      <c r="Z757" s="507"/>
    </row>
    <row r="758">
      <c r="A758" s="507"/>
      <c r="B758" s="572"/>
      <c r="C758" s="572"/>
      <c r="D758" s="572"/>
      <c r="E758" s="572"/>
      <c r="F758" s="572"/>
      <c r="G758" s="572"/>
      <c r="H758" s="572"/>
      <c r="I758" s="572"/>
      <c r="J758" s="507"/>
      <c r="K758" s="507"/>
      <c r="L758" s="507"/>
      <c r="M758" s="507"/>
      <c r="N758" s="507"/>
      <c r="O758" s="507"/>
      <c r="P758" s="507"/>
      <c r="Q758" s="507"/>
      <c r="R758" s="507"/>
      <c r="S758" s="507"/>
      <c r="T758" s="507"/>
      <c r="U758" s="507"/>
      <c r="V758" s="507"/>
      <c r="W758" s="507"/>
      <c r="X758" s="507"/>
      <c r="Y758" s="507"/>
      <c r="Z758" s="507"/>
    </row>
    <row r="759">
      <c r="A759" s="507"/>
      <c r="B759" s="572"/>
      <c r="C759" s="572"/>
      <c r="D759" s="572"/>
      <c r="E759" s="572"/>
      <c r="F759" s="572"/>
      <c r="G759" s="572"/>
      <c r="H759" s="572"/>
      <c r="I759" s="572"/>
      <c r="J759" s="507"/>
      <c r="K759" s="507"/>
      <c r="L759" s="507"/>
      <c r="M759" s="507"/>
      <c r="N759" s="507"/>
      <c r="O759" s="507"/>
      <c r="P759" s="507"/>
      <c r="Q759" s="507"/>
      <c r="R759" s="507"/>
      <c r="S759" s="507"/>
      <c r="T759" s="507"/>
      <c r="U759" s="507"/>
      <c r="V759" s="507"/>
      <c r="W759" s="507"/>
      <c r="X759" s="507"/>
      <c r="Y759" s="507"/>
      <c r="Z759" s="507"/>
    </row>
    <row r="760">
      <c r="A760" s="507"/>
      <c r="B760" s="572"/>
      <c r="C760" s="572"/>
      <c r="D760" s="572"/>
      <c r="E760" s="572"/>
      <c r="F760" s="572"/>
      <c r="G760" s="572"/>
      <c r="H760" s="572"/>
      <c r="I760" s="572"/>
      <c r="J760" s="507"/>
      <c r="K760" s="507"/>
      <c r="L760" s="507"/>
      <c r="M760" s="507"/>
      <c r="N760" s="507"/>
      <c r="O760" s="507"/>
      <c r="P760" s="507"/>
      <c r="Q760" s="507"/>
      <c r="R760" s="507"/>
      <c r="S760" s="507"/>
      <c r="T760" s="507"/>
      <c r="U760" s="507"/>
      <c r="V760" s="507"/>
      <c r="W760" s="507"/>
      <c r="X760" s="507"/>
      <c r="Y760" s="507"/>
      <c r="Z760" s="507"/>
    </row>
    <row r="761">
      <c r="A761" s="507"/>
      <c r="B761" s="572"/>
      <c r="C761" s="572"/>
      <c r="D761" s="572"/>
      <c r="E761" s="572"/>
      <c r="F761" s="572"/>
      <c r="G761" s="572"/>
      <c r="H761" s="572"/>
      <c r="I761" s="572"/>
      <c r="J761" s="507"/>
      <c r="K761" s="507"/>
      <c r="L761" s="507"/>
      <c r="M761" s="507"/>
      <c r="N761" s="507"/>
      <c r="O761" s="507"/>
      <c r="P761" s="507"/>
      <c r="Q761" s="507"/>
      <c r="R761" s="507"/>
      <c r="S761" s="507"/>
      <c r="T761" s="507"/>
      <c r="U761" s="507"/>
      <c r="V761" s="507"/>
      <c r="W761" s="507"/>
      <c r="X761" s="507"/>
      <c r="Y761" s="507"/>
      <c r="Z761" s="507"/>
    </row>
    <row r="762">
      <c r="A762" s="507"/>
      <c r="B762" s="572"/>
      <c r="C762" s="572"/>
      <c r="D762" s="572"/>
      <c r="E762" s="572"/>
      <c r="F762" s="572"/>
      <c r="G762" s="572"/>
      <c r="H762" s="572"/>
      <c r="I762" s="572"/>
      <c r="J762" s="507"/>
      <c r="K762" s="507"/>
      <c r="L762" s="507"/>
      <c r="M762" s="507"/>
      <c r="N762" s="507"/>
      <c r="O762" s="507"/>
      <c r="P762" s="507"/>
      <c r="Q762" s="507"/>
      <c r="R762" s="507"/>
      <c r="S762" s="507"/>
      <c r="T762" s="507"/>
      <c r="U762" s="507"/>
      <c r="V762" s="507"/>
      <c r="W762" s="507"/>
      <c r="X762" s="507"/>
      <c r="Y762" s="507"/>
      <c r="Z762" s="507"/>
    </row>
    <row r="763">
      <c r="A763" s="507"/>
      <c r="B763" s="572"/>
      <c r="C763" s="572"/>
      <c r="D763" s="572"/>
      <c r="E763" s="572"/>
      <c r="F763" s="572"/>
      <c r="G763" s="572"/>
      <c r="H763" s="572"/>
      <c r="I763" s="572"/>
      <c r="J763" s="507"/>
      <c r="K763" s="507"/>
      <c r="L763" s="507"/>
      <c r="M763" s="507"/>
      <c r="N763" s="507"/>
      <c r="O763" s="507"/>
      <c r="P763" s="507"/>
      <c r="Q763" s="507"/>
      <c r="R763" s="507"/>
      <c r="S763" s="507"/>
      <c r="T763" s="507"/>
      <c r="U763" s="507"/>
      <c r="V763" s="507"/>
      <c r="W763" s="507"/>
      <c r="X763" s="507"/>
      <c r="Y763" s="507"/>
      <c r="Z763" s="507"/>
    </row>
    <row r="764">
      <c r="A764" s="507"/>
      <c r="B764" s="572"/>
      <c r="C764" s="572"/>
      <c r="D764" s="572"/>
      <c r="E764" s="572"/>
      <c r="F764" s="572"/>
      <c r="G764" s="572"/>
      <c r="H764" s="572"/>
      <c r="I764" s="572"/>
      <c r="J764" s="507"/>
      <c r="K764" s="507"/>
      <c r="L764" s="507"/>
      <c r="M764" s="507"/>
      <c r="N764" s="507"/>
      <c r="O764" s="507"/>
      <c r="P764" s="507"/>
      <c r="Q764" s="507"/>
      <c r="R764" s="507"/>
      <c r="S764" s="507"/>
      <c r="T764" s="507"/>
      <c r="U764" s="507"/>
      <c r="V764" s="507"/>
      <c r="W764" s="507"/>
      <c r="X764" s="507"/>
      <c r="Y764" s="507"/>
      <c r="Z764" s="507"/>
    </row>
    <row r="765">
      <c r="A765" s="507"/>
      <c r="B765" s="572"/>
      <c r="C765" s="572"/>
      <c r="D765" s="572"/>
      <c r="E765" s="572"/>
      <c r="F765" s="572"/>
      <c r="G765" s="572"/>
      <c r="H765" s="572"/>
      <c r="I765" s="572"/>
      <c r="J765" s="507"/>
      <c r="K765" s="507"/>
      <c r="L765" s="507"/>
      <c r="M765" s="507"/>
      <c r="N765" s="507"/>
      <c r="O765" s="507"/>
      <c r="P765" s="507"/>
      <c r="Q765" s="507"/>
      <c r="R765" s="507"/>
      <c r="S765" s="507"/>
      <c r="T765" s="507"/>
      <c r="U765" s="507"/>
      <c r="V765" s="507"/>
      <c r="W765" s="507"/>
      <c r="X765" s="507"/>
      <c r="Y765" s="507"/>
      <c r="Z765" s="507"/>
    </row>
    <row r="766">
      <c r="A766" s="507"/>
      <c r="B766" s="572"/>
      <c r="C766" s="572"/>
      <c r="D766" s="572"/>
      <c r="E766" s="572"/>
      <c r="F766" s="572"/>
      <c r="G766" s="572"/>
      <c r="H766" s="572"/>
      <c r="I766" s="572"/>
      <c r="J766" s="507"/>
      <c r="K766" s="507"/>
      <c r="L766" s="507"/>
      <c r="M766" s="507"/>
      <c r="N766" s="507"/>
      <c r="O766" s="507"/>
      <c r="P766" s="507"/>
      <c r="Q766" s="507"/>
      <c r="R766" s="507"/>
      <c r="S766" s="507"/>
      <c r="T766" s="507"/>
      <c r="U766" s="507"/>
      <c r="V766" s="507"/>
      <c r="W766" s="507"/>
      <c r="X766" s="507"/>
      <c r="Y766" s="507"/>
      <c r="Z766" s="507"/>
    </row>
    <row r="767">
      <c r="A767" s="507"/>
      <c r="B767" s="572"/>
      <c r="C767" s="572"/>
      <c r="D767" s="572"/>
      <c r="E767" s="572"/>
      <c r="F767" s="572"/>
      <c r="G767" s="572"/>
      <c r="H767" s="572"/>
      <c r="I767" s="572"/>
      <c r="J767" s="507"/>
      <c r="K767" s="507"/>
      <c r="L767" s="507"/>
      <c r="M767" s="507"/>
      <c r="N767" s="507"/>
      <c r="O767" s="507"/>
      <c r="P767" s="507"/>
      <c r="Q767" s="507"/>
      <c r="R767" s="507"/>
      <c r="S767" s="507"/>
      <c r="T767" s="507"/>
      <c r="U767" s="507"/>
      <c r="V767" s="507"/>
      <c r="W767" s="507"/>
      <c r="X767" s="507"/>
      <c r="Y767" s="507"/>
      <c r="Z767" s="507"/>
    </row>
    <row r="768">
      <c r="A768" s="507"/>
      <c r="B768" s="572"/>
      <c r="C768" s="572"/>
      <c r="D768" s="572"/>
      <c r="E768" s="572"/>
      <c r="F768" s="572"/>
      <c r="G768" s="572"/>
      <c r="H768" s="572"/>
      <c r="I768" s="572"/>
      <c r="J768" s="507"/>
      <c r="K768" s="507"/>
      <c r="L768" s="507"/>
      <c r="M768" s="507"/>
      <c r="N768" s="507"/>
      <c r="O768" s="507"/>
      <c r="P768" s="507"/>
      <c r="Q768" s="507"/>
      <c r="R768" s="507"/>
      <c r="S768" s="507"/>
      <c r="T768" s="507"/>
      <c r="U768" s="507"/>
      <c r="V768" s="507"/>
      <c r="W768" s="507"/>
      <c r="X768" s="507"/>
      <c r="Y768" s="507"/>
      <c r="Z768" s="507"/>
    </row>
    <row r="769">
      <c r="A769" s="507"/>
      <c r="B769" s="572"/>
      <c r="C769" s="572"/>
      <c r="D769" s="572"/>
      <c r="E769" s="572"/>
      <c r="F769" s="572"/>
      <c r="G769" s="572"/>
      <c r="H769" s="572"/>
      <c r="I769" s="572"/>
      <c r="J769" s="507"/>
      <c r="K769" s="507"/>
      <c r="L769" s="507"/>
      <c r="M769" s="507"/>
      <c r="N769" s="507"/>
      <c r="O769" s="507"/>
      <c r="P769" s="507"/>
      <c r="Q769" s="507"/>
      <c r="R769" s="507"/>
      <c r="S769" s="507"/>
      <c r="T769" s="507"/>
      <c r="U769" s="507"/>
      <c r="V769" s="507"/>
      <c r="W769" s="507"/>
      <c r="X769" s="507"/>
      <c r="Y769" s="507"/>
      <c r="Z769" s="507"/>
    </row>
    <row r="770">
      <c r="A770" s="507"/>
      <c r="B770" s="572"/>
      <c r="C770" s="572"/>
      <c r="D770" s="572"/>
      <c r="E770" s="572"/>
      <c r="F770" s="572"/>
      <c r="G770" s="572"/>
      <c r="H770" s="572"/>
      <c r="I770" s="572"/>
      <c r="J770" s="507"/>
      <c r="K770" s="507"/>
      <c r="L770" s="507"/>
      <c r="M770" s="507"/>
      <c r="N770" s="507"/>
      <c r="O770" s="507"/>
      <c r="P770" s="507"/>
      <c r="Q770" s="507"/>
      <c r="R770" s="507"/>
      <c r="S770" s="507"/>
      <c r="T770" s="507"/>
      <c r="U770" s="507"/>
      <c r="V770" s="507"/>
      <c r="W770" s="507"/>
      <c r="X770" s="507"/>
      <c r="Y770" s="507"/>
      <c r="Z770" s="507"/>
    </row>
    <row r="771">
      <c r="A771" s="507"/>
      <c r="B771" s="572"/>
      <c r="C771" s="572"/>
      <c r="D771" s="572"/>
      <c r="E771" s="572"/>
      <c r="F771" s="572"/>
      <c r="G771" s="572"/>
      <c r="H771" s="572"/>
      <c r="I771" s="572"/>
      <c r="J771" s="507"/>
      <c r="K771" s="507"/>
      <c r="L771" s="507"/>
      <c r="M771" s="507"/>
      <c r="N771" s="507"/>
      <c r="O771" s="507"/>
      <c r="P771" s="507"/>
      <c r="Q771" s="507"/>
      <c r="R771" s="507"/>
      <c r="S771" s="507"/>
      <c r="T771" s="507"/>
      <c r="U771" s="507"/>
      <c r="V771" s="507"/>
      <c r="W771" s="507"/>
      <c r="X771" s="507"/>
      <c r="Y771" s="507"/>
      <c r="Z771" s="507"/>
    </row>
    <row r="772">
      <c r="A772" s="507"/>
      <c r="B772" s="572"/>
      <c r="C772" s="572"/>
      <c r="D772" s="572"/>
      <c r="E772" s="572"/>
      <c r="F772" s="572"/>
      <c r="G772" s="572"/>
      <c r="H772" s="572"/>
      <c r="I772" s="572"/>
      <c r="J772" s="507"/>
      <c r="K772" s="507"/>
      <c r="L772" s="507"/>
      <c r="M772" s="507"/>
      <c r="N772" s="507"/>
      <c r="O772" s="507"/>
      <c r="P772" s="507"/>
      <c r="Q772" s="507"/>
      <c r="R772" s="507"/>
      <c r="S772" s="507"/>
      <c r="T772" s="507"/>
      <c r="U772" s="507"/>
      <c r="V772" s="507"/>
      <c r="W772" s="507"/>
      <c r="X772" s="507"/>
      <c r="Y772" s="507"/>
      <c r="Z772" s="507"/>
    </row>
    <row r="773">
      <c r="A773" s="507"/>
      <c r="B773" s="572"/>
      <c r="C773" s="572"/>
      <c r="D773" s="572"/>
      <c r="E773" s="572"/>
      <c r="F773" s="572"/>
      <c r="G773" s="572"/>
      <c r="H773" s="572"/>
      <c r="I773" s="572"/>
      <c r="J773" s="507"/>
      <c r="K773" s="507"/>
      <c r="L773" s="507"/>
      <c r="M773" s="507"/>
      <c r="N773" s="507"/>
      <c r="O773" s="507"/>
      <c r="P773" s="507"/>
      <c r="Q773" s="507"/>
      <c r="R773" s="507"/>
      <c r="S773" s="507"/>
      <c r="T773" s="507"/>
      <c r="U773" s="507"/>
      <c r="V773" s="507"/>
      <c r="W773" s="507"/>
      <c r="X773" s="507"/>
      <c r="Y773" s="507"/>
      <c r="Z773" s="507"/>
    </row>
    <row r="774">
      <c r="A774" s="507"/>
      <c r="B774" s="572"/>
      <c r="C774" s="572"/>
      <c r="D774" s="572"/>
      <c r="E774" s="572"/>
      <c r="F774" s="572"/>
      <c r="G774" s="572"/>
      <c r="H774" s="572"/>
      <c r="I774" s="572"/>
      <c r="J774" s="507"/>
      <c r="K774" s="507"/>
      <c r="L774" s="507"/>
      <c r="M774" s="507"/>
      <c r="N774" s="507"/>
      <c r="O774" s="507"/>
      <c r="P774" s="507"/>
      <c r="Q774" s="507"/>
      <c r="R774" s="507"/>
      <c r="S774" s="507"/>
      <c r="T774" s="507"/>
      <c r="U774" s="507"/>
      <c r="V774" s="507"/>
      <c r="W774" s="507"/>
      <c r="X774" s="507"/>
      <c r="Y774" s="507"/>
      <c r="Z774" s="507"/>
    </row>
    <row r="775">
      <c r="A775" s="507"/>
      <c r="B775" s="572"/>
      <c r="C775" s="572"/>
      <c r="D775" s="572"/>
      <c r="E775" s="572"/>
      <c r="F775" s="572"/>
      <c r="G775" s="572"/>
      <c r="H775" s="572"/>
      <c r="I775" s="572"/>
      <c r="J775" s="507"/>
      <c r="K775" s="507"/>
      <c r="L775" s="507"/>
      <c r="M775" s="507"/>
      <c r="N775" s="507"/>
      <c r="O775" s="507"/>
      <c r="P775" s="507"/>
      <c r="Q775" s="507"/>
      <c r="R775" s="507"/>
      <c r="S775" s="507"/>
      <c r="T775" s="507"/>
      <c r="U775" s="507"/>
      <c r="V775" s="507"/>
      <c r="W775" s="507"/>
      <c r="X775" s="507"/>
      <c r="Y775" s="507"/>
      <c r="Z775" s="507"/>
    </row>
    <row r="776">
      <c r="A776" s="507"/>
      <c r="B776" s="572"/>
      <c r="C776" s="572"/>
      <c r="D776" s="572"/>
      <c r="E776" s="572"/>
      <c r="F776" s="572"/>
      <c r="G776" s="572"/>
      <c r="H776" s="572"/>
      <c r="I776" s="572"/>
      <c r="J776" s="507"/>
      <c r="K776" s="507"/>
      <c r="L776" s="507"/>
      <c r="M776" s="507"/>
      <c r="N776" s="507"/>
      <c r="O776" s="507"/>
      <c r="P776" s="507"/>
      <c r="Q776" s="507"/>
      <c r="R776" s="507"/>
      <c r="S776" s="507"/>
      <c r="T776" s="507"/>
      <c r="U776" s="507"/>
      <c r="V776" s="507"/>
      <c r="W776" s="507"/>
      <c r="X776" s="507"/>
      <c r="Y776" s="507"/>
      <c r="Z776" s="507"/>
    </row>
    <row r="777">
      <c r="A777" s="507"/>
      <c r="B777" s="572"/>
      <c r="C777" s="572"/>
      <c r="D777" s="572"/>
      <c r="E777" s="572"/>
      <c r="F777" s="572"/>
      <c r="G777" s="572"/>
      <c r="H777" s="572"/>
      <c r="I777" s="572"/>
      <c r="J777" s="507"/>
      <c r="K777" s="507"/>
      <c r="L777" s="507"/>
      <c r="M777" s="507"/>
      <c r="N777" s="507"/>
      <c r="O777" s="507"/>
      <c r="P777" s="507"/>
      <c r="Q777" s="507"/>
      <c r="R777" s="507"/>
      <c r="S777" s="507"/>
      <c r="T777" s="507"/>
      <c r="U777" s="507"/>
      <c r="V777" s="507"/>
      <c r="W777" s="507"/>
      <c r="X777" s="507"/>
      <c r="Y777" s="507"/>
      <c r="Z777" s="507"/>
    </row>
    <row r="778">
      <c r="A778" s="507"/>
      <c r="B778" s="572"/>
      <c r="C778" s="572"/>
      <c r="D778" s="572"/>
      <c r="E778" s="572"/>
      <c r="F778" s="572"/>
      <c r="G778" s="572"/>
      <c r="H778" s="572"/>
      <c r="I778" s="572"/>
      <c r="J778" s="507"/>
      <c r="K778" s="507"/>
      <c r="L778" s="507"/>
      <c r="M778" s="507"/>
      <c r="N778" s="507"/>
      <c r="O778" s="507"/>
      <c r="P778" s="507"/>
      <c r="Q778" s="507"/>
      <c r="R778" s="507"/>
      <c r="S778" s="507"/>
      <c r="T778" s="507"/>
      <c r="U778" s="507"/>
      <c r="V778" s="507"/>
      <c r="W778" s="507"/>
      <c r="X778" s="507"/>
      <c r="Y778" s="507"/>
      <c r="Z778" s="507"/>
    </row>
    <row r="779">
      <c r="A779" s="507"/>
      <c r="B779" s="572"/>
      <c r="C779" s="572"/>
      <c r="D779" s="572"/>
      <c r="E779" s="572"/>
      <c r="F779" s="572"/>
      <c r="G779" s="572"/>
      <c r="H779" s="572"/>
      <c r="I779" s="572"/>
      <c r="J779" s="507"/>
      <c r="K779" s="507"/>
      <c r="L779" s="507"/>
      <c r="M779" s="507"/>
      <c r="N779" s="507"/>
      <c r="O779" s="507"/>
      <c r="P779" s="507"/>
      <c r="Q779" s="507"/>
      <c r="R779" s="507"/>
      <c r="S779" s="507"/>
      <c r="T779" s="507"/>
      <c r="U779" s="507"/>
      <c r="V779" s="507"/>
      <c r="W779" s="507"/>
      <c r="X779" s="507"/>
      <c r="Y779" s="507"/>
      <c r="Z779" s="507"/>
    </row>
    <row r="780">
      <c r="A780" s="507"/>
      <c r="B780" s="572"/>
      <c r="C780" s="572"/>
      <c r="D780" s="572"/>
      <c r="E780" s="572"/>
      <c r="F780" s="572"/>
      <c r="G780" s="572"/>
      <c r="H780" s="572"/>
      <c r="I780" s="572"/>
      <c r="J780" s="507"/>
      <c r="K780" s="507"/>
      <c r="L780" s="507"/>
      <c r="M780" s="507"/>
      <c r="N780" s="507"/>
      <c r="O780" s="507"/>
      <c r="P780" s="507"/>
      <c r="Q780" s="507"/>
      <c r="R780" s="507"/>
      <c r="S780" s="507"/>
      <c r="T780" s="507"/>
      <c r="U780" s="507"/>
      <c r="V780" s="507"/>
      <c r="W780" s="507"/>
      <c r="X780" s="507"/>
      <c r="Y780" s="507"/>
      <c r="Z780" s="507"/>
    </row>
    <row r="781">
      <c r="A781" s="507"/>
      <c r="B781" s="572"/>
      <c r="C781" s="572"/>
      <c r="D781" s="572"/>
      <c r="E781" s="572"/>
      <c r="F781" s="572"/>
      <c r="G781" s="572"/>
      <c r="H781" s="572"/>
      <c r="I781" s="572"/>
      <c r="J781" s="507"/>
      <c r="K781" s="507"/>
      <c r="L781" s="507"/>
      <c r="M781" s="507"/>
      <c r="N781" s="507"/>
      <c r="O781" s="507"/>
      <c r="P781" s="507"/>
      <c r="Q781" s="507"/>
      <c r="R781" s="507"/>
      <c r="S781" s="507"/>
      <c r="T781" s="507"/>
      <c r="U781" s="507"/>
      <c r="V781" s="507"/>
      <c r="W781" s="507"/>
      <c r="X781" s="507"/>
      <c r="Y781" s="507"/>
      <c r="Z781" s="507"/>
    </row>
    <row r="782">
      <c r="A782" s="507"/>
      <c r="B782" s="572"/>
      <c r="C782" s="572"/>
      <c r="D782" s="572"/>
      <c r="E782" s="572"/>
      <c r="F782" s="572"/>
      <c r="G782" s="572"/>
      <c r="H782" s="572"/>
      <c r="I782" s="572"/>
      <c r="J782" s="507"/>
      <c r="K782" s="507"/>
      <c r="L782" s="507"/>
      <c r="M782" s="507"/>
      <c r="N782" s="507"/>
      <c r="O782" s="507"/>
      <c r="P782" s="507"/>
      <c r="Q782" s="507"/>
      <c r="R782" s="507"/>
      <c r="S782" s="507"/>
      <c r="T782" s="507"/>
      <c r="U782" s="507"/>
      <c r="V782" s="507"/>
      <c r="W782" s="507"/>
      <c r="X782" s="507"/>
      <c r="Y782" s="507"/>
      <c r="Z782" s="507"/>
    </row>
    <row r="783">
      <c r="A783" s="507"/>
      <c r="B783" s="572"/>
      <c r="C783" s="572"/>
      <c r="D783" s="572"/>
      <c r="E783" s="572"/>
      <c r="F783" s="572"/>
      <c r="G783" s="572"/>
      <c r="H783" s="572"/>
      <c r="I783" s="572"/>
      <c r="J783" s="507"/>
      <c r="K783" s="507"/>
      <c r="L783" s="507"/>
      <c r="M783" s="507"/>
      <c r="N783" s="507"/>
      <c r="O783" s="507"/>
      <c r="P783" s="507"/>
      <c r="Q783" s="507"/>
      <c r="R783" s="507"/>
      <c r="S783" s="507"/>
      <c r="T783" s="507"/>
      <c r="U783" s="507"/>
      <c r="V783" s="507"/>
      <c r="W783" s="507"/>
      <c r="X783" s="507"/>
      <c r="Y783" s="507"/>
      <c r="Z783" s="507"/>
    </row>
    <row r="784">
      <c r="A784" s="507"/>
      <c r="B784" s="572"/>
      <c r="C784" s="572"/>
      <c r="D784" s="572"/>
      <c r="E784" s="572"/>
      <c r="F784" s="572"/>
      <c r="G784" s="572"/>
      <c r="H784" s="572"/>
      <c r="I784" s="572"/>
      <c r="J784" s="507"/>
      <c r="K784" s="507"/>
      <c r="L784" s="507"/>
      <c r="M784" s="507"/>
      <c r="N784" s="507"/>
      <c r="O784" s="507"/>
      <c r="P784" s="507"/>
      <c r="Q784" s="507"/>
      <c r="R784" s="507"/>
      <c r="S784" s="507"/>
      <c r="T784" s="507"/>
      <c r="U784" s="507"/>
      <c r="V784" s="507"/>
      <c r="W784" s="507"/>
      <c r="X784" s="507"/>
      <c r="Y784" s="507"/>
      <c r="Z784" s="507"/>
    </row>
    <row r="785">
      <c r="A785" s="507"/>
      <c r="B785" s="572"/>
      <c r="C785" s="572"/>
      <c r="D785" s="572"/>
      <c r="E785" s="572"/>
      <c r="F785" s="572"/>
      <c r="G785" s="572"/>
      <c r="H785" s="572"/>
      <c r="I785" s="572"/>
      <c r="J785" s="507"/>
      <c r="K785" s="507"/>
      <c r="L785" s="507"/>
      <c r="M785" s="507"/>
      <c r="N785" s="507"/>
      <c r="O785" s="507"/>
      <c r="P785" s="507"/>
      <c r="Q785" s="507"/>
      <c r="R785" s="507"/>
      <c r="S785" s="507"/>
      <c r="T785" s="507"/>
      <c r="U785" s="507"/>
      <c r="V785" s="507"/>
      <c r="W785" s="507"/>
      <c r="X785" s="507"/>
      <c r="Y785" s="507"/>
      <c r="Z785" s="507"/>
    </row>
    <row r="786">
      <c r="A786" s="507"/>
      <c r="B786" s="572"/>
      <c r="C786" s="572"/>
      <c r="D786" s="572"/>
      <c r="E786" s="572"/>
      <c r="F786" s="572"/>
      <c r="G786" s="572"/>
      <c r="H786" s="572"/>
      <c r="I786" s="572"/>
      <c r="J786" s="507"/>
      <c r="K786" s="507"/>
      <c r="L786" s="507"/>
      <c r="M786" s="507"/>
      <c r="N786" s="507"/>
      <c r="O786" s="507"/>
      <c r="P786" s="507"/>
      <c r="Q786" s="507"/>
      <c r="R786" s="507"/>
      <c r="S786" s="507"/>
      <c r="T786" s="507"/>
      <c r="U786" s="507"/>
      <c r="V786" s="507"/>
      <c r="W786" s="507"/>
      <c r="X786" s="507"/>
      <c r="Y786" s="507"/>
      <c r="Z786" s="507"/>
    </row>
    <row r="787">
      <c r="A787" s="507"/>
      <c r="B787" s="572"/>
      <c r="C787" s="572"/>
      <c r="D787" s="572"/>
      <c r="E787" s="572"/>
      <c r="F787" s="572"/>
      <c r="G787" s="572"/>
      <c r="H787" s="572"/>
      <c r="I787" s="572"/>
      <c r="J787" s="507"/>
      <c r="K787" s="507"/>
      <c r="L787" s="507"/>
      <c r="M787" s="507"/>
      <c r="N787" s="507"/>
      <c r="O787" s="507"/>
      <c r="P787" s="507"/>
      <c r="Q787" s="507"/>
      <c r="R787" s="507"/>
      <c r="S787" s="507"/>
      <c r="T787" s="507"/>
      <c r="U787" s="507"/>
      <c r="V787" s="507"/>
      <c r="W787" s="507"/>
      <c r="X787" s="507"/>
      <c r="Y787" s="507"/>
      <c r="Z787" s="507"/>
    </row>
    <row r="788">
      <c r="A788" s="507"/>
      <c r="B788" s="572"/>
      <c r="C788" s="572"/>
      <c r="D788" s="572"/>
      <c r="E788" s="572"/>
      <c r="F788" s="572"/>
      <c r="G788" s="572"/>
      <c r="H788" s="572"/>
      <c r="I788" s="572"/>
      <c r="J788" s="507"/>
      <c r="K788" s="507"/>
      <c r="L788" s="507"/>
      <c r="M788" s="507"/>
      <c r="N788" s="507"/>
      <c r="O788" s="507"/>
      <c r="P788" s="507"/>
      <c r="Q788" s="507"/>
      <c r="R788" s="507"/>
      <c r="S788" s="507"/>
      <c r="T788" s="507"/>
      <c r="U788" s="507"/>
      <c r="V788" s="507"/>
      <c r="W788" s="507"/>
      <c r="X788" s="507"/>
      <c r="Y788" s="507"/>
      <c r="Z788" s="507"/>
    </row>
    <row r="789">
      <c r="A789" s="507"/>
      <c r="B789" s="572"/>
      <c r="C789" s="572"/>
      <c r="D789" s="572"/>
      <c r="E789" s="572"/>
      <c r="F789" s="572"/>
      <c r="G789" s="572"/>
      <c r="H789" s="572"/>
      <c r="I789" s="572"/>
      <c r="J789" s="507"/>
      <c r="K789" s="507"/>
      <c r="L789" s="507"/>
      <c r="M789" s="507"/>
      <c r="N789" s="507"/>
      <c r="O789" s="507"/>
      <c r="P789" s="507"/>
      <c r="Q789" s="507"/>
      <c r="R789" s="507"/>
      <c r="S789" s="507"/>
      <c r="T789" s="507"/>
      <c r="U789" s="507"/>
      <c r="V789" s="507"/>
      <c r="W789" s="507"/>
      <c r="X789" s="507"/>
      <c r="Y789" s="507"/>
      <c r="Z789" s="507"/>
    </row>
    <row r="790">
      <c r="A790" s="507"/>
      <c r="B790" s="572"/>
      <c r="C790" s="572"/>
      <c r="D790" s="572"/>
      <c r="E790" s="572"/>
      <c r="F790" s="572"/>
      <c r="G790" s="572"/>
      <c r="H790" s="572"/>
      <c r="I790" s="572"/>
      <c r="J790" s="507"/>
      <c r="K790" s="507"/>
      <c r="L790" s="507"/>
      <c r="M790" s="507"/>
      <c r="N790" s="507"/>
      <c r="O790" s="507"/>
      <c r="P790" s="507"/>
      <c r="Q790" s="507"/>
      <c r="R790" s="507"/>
      <c r="S790" s="507"/>
      <c r="T790" s="507"/>
      <c r="U790" s="507"/>
      <c r="V790" s="507"/>
      <c r="W790" s="507"/>
      <c r="X790" s="507"/>
      <c r="Y790" s="507"/>
      <c r="Z790" s="507"/>
    </row>
    <row r="791">
      <c r="A791" s="507"/>
      <c r="B791" s="572"/>
      <c r="C791" s="572"/>
      <c r="D791" s="572"/>
      <c r="E791" s="572"/>
      <c r="F791" s="572"/>
      <c r="G791" s="572"/>
      <c r="H791" s="572"/>
      <c r="I791" s="572"/>
      <c r="J791" s="507"/>
      <c r="K791" s="507"/>
      <c r="L791" s="507"/>
      <c r="M791" s="507"/>
      <c r="N791" s="507"/>
      <c r="O791" s="507"/>
      <c r="P791" s="507"/>
      <c r="Q791" s="507"/>
      <c r="R791" s="507"/>
      <c r="S791" s="507"/>
      <c r="T791" s="507"/>
      <c r="U791" s="507"/>
      <c r="V791" s="507"/>
      <c r="W791" s="507"/>
      <c r="X791" s="507"/>
      <c r="Y791" s="507"/>
      <c r="Z791" s="507"/>
    </row>
    <row r="792">
      <c r="A792" s="507"/>
      <c r="B792" s="572"/>
      <c r="C792" s="572"/>
      <c r="D792" s="572"/>
      <c r="E792" s="572"/>
      <c r="F792" s="572"/>
      <c r="G792" s="572"/>
      <c r="H792" s="572"/>
      <c r="I792" s="572"/>
      <c r="J792" s="507"/>
      <c r="K792" s="507"/>
      <c r="L792" s="507"/>
      <c r="M792" s="507"/>
      <c r="N792" s="507"/>
      <c r="O792" s="507"/>
      <c r="P792" s="507"/>
      <c r="Q792" s="507"/>
      <c r="R792" s="507"/>
      <c r="S792" s="507"/>
      <c r="T792" s="507"/>
      <c r="U792" s="507"/>
      <c r="V792" s="507"/>
      <c r="W792" s="507"/>
      <c r="X792" s="507"/>
      <c r="Y792" s="507"/>
      <c r="Z792" s="507"/>
    </row>
    <row r="793">
      <c r="A793" s="507"/>
      <c r="B793" s="572"/>
      <c r="C793" s="572"/>
      <c r="D793" s="572"/>
      <c r="E793" s="572"/>
      <c r="F793" s="572"/>
      <c r="G793" s="572"/>
      <c r="H793" s="572"/>
      <c r="I793" s="572"/>
      <c r="J793" s="507"/>
      <c r="K793" s="507"/>
      <c r="L793" s="507"/>
      <c r="M793" s="507"/>
      <c r="N793" s="507"/>
      <c r="O793" s="507"/>
      <c r="P793" s="507"/>
      <c r="Q793" s="507"/>
      <c r="R793" s="507"/>
      <c r="S793" s="507"/>
      <c r="T793" s="507"/>
      <c r="U793" s="507"/>
      <c r="V793" s="507"/>
      <c r="W793" s="507"/>
      <c r="X793" s="507"/>
      <c r="Y793" s="507"/>
      <c r="Z793" s="507"/>
    </row>
    <row r="794">
      <c r="A794" s="507"/>
      <c r="B794" s="572"/>
      <c r="C794" s="572"/>
      <c r="D794" s="572"/>
      <c r="E794" s="572"/>
      <c r="F794" s="572"/>
      <c r="G794" s="572"/>
      <c r="H794" s="572"/>
      <c r="I794" s="572"/>
      <c r="J794" s="507"/>
      <c r="K794" s="507"/>
      <c r="L794" s="507"/>
      <c r="M794" s="507"/>
      <c r="N794" s="507"/>
      <c r="O794" s="507"/>
      <c r="P794" s="507"/>
      <c r="Q794" s="507"/>
      <c r="R794" s="507"/>
      <c r="S794" s="507"/>
      <c r="T794" s="507"/>
      <c r="U794" s="507"/>
      <c r="V794" s="507"/>
      <c r="W794" s="507"/>
      <c r="X794" s="507"/>
      <c r="Y794" s="507"/>
      <c r="Z794" s="507"/>
    </row>
    <row r="795">
      <c r="A795" s="507"/>
      <c r="B795" s="572"/>
      <c r="C795" s="572"/>
      <c r="D795" s="572"/>
      <c r="E795" s="572"/>
      <c r="F795" s="572"/>
      <c r="G795" s="572"/>
      <c r="H795" s="572"/>
      <c r="I795" s="572"/>
      <c r="J795" s="507"/>
      <c r="K795" s="507"/>
      <c r="L795" s="507"/>
      <c r="M795" s="507"/>
      <c r="N795" s="507"/>
      <c r="O795" s="507"/>
      <c r="P795" s="507"/>
      <c r="Q795" s="507"/>
      <c r="R795" s="507"/>
      <c r="S795" s="507"/>
      <c r="T795" s="507"/>
      <c r="U795" s="507"/>
      <c r="V795" s="507"/>
      <c r="W795" s="507"/>
      <c r="X795" s="507"/>
      <c r="Y795" s="507"/>
      <c r="Z795" s="507"/>
    </row>
    <row r="796">
      <c r="A796" s="507"/>
      <c r="B796" s="572"/>
      <c r="C796" s="572"/>
      <c r="D796" s="572"/>
      <c r="E796" s="572"/>
      <c r="F796" s="572"/>
      <c r="G796" s="572"/>
      <c r="H796" s="572"/>
      <c r="I796" s="572"/>
      <c r="J796" s="507"/>
      <c r="K796" s="507"/>
      <c r="L796" s="507"/>
      <c r="M796" s="507"/>
      <c r="N796" s="507"/>
      <c r="O796" s="507"/>
      <c r="P796" s="507"/>
      <c r="Q796" s="507"/>
      <c r="R796" s="507"/>
      <c r="S796" s="507"/>
      <c r="T796" s="507"/>
      <c r="U796" s="507"/>
      <c r="V796" s="507"/>
      <c r="W796" s="507"/>
      <c r="X796" s="507"/>
      <c r="Y796" s="507"/>
      <c r="Z796" s="507"/>
    </row>
    <row r="797">
      <c r="A797" s="507"/>
      <c r="B797" s="572"/>
      <c r="C797" s="572"/>
      <c r="D797" s="572"/>
      <c r="E797" s="572"/>
      <c r="F797" s="572"/>
      <c r="G797" s="572"/>
      <c r="H797" s="572"/>
      <c r="I797" s="572"/>
      <c r="J797" s="507"/>
      <c r="K797" s="507"/>
      <c r="L797" s="507"/>
      <c r="M797" s="507"/>
      <c r="N797" s="507"/>
      <c r="O797" s="507"/>
      <c r="P797" s="507"/>
      <c r="Q797" s="507"/>
      <c r="R797" s="507"/>
      <c r="S797" s="507"/>
      <c r="T797" s="507"/>
      <c r="U797" s="507"/>
      <c r="V797" s="507"/>
      <c r="W797" s="507"/>
      <c r="X797" s="507"/>
      <c r="Y797" s="507"/>
      <c r="Z797" s="507"/>
    </row>
    <row r="798">
      <c r="A798" s="507"/>
      <c r="B798" s="572"/>
      <c r="C798" s="572"/>
      <c r="D798" s="572"/>
      <c r="E798" s="572"/>
      <c r="F798" s="572"/>
      <c r="G798" s="572"/>
      <c r="H798" s="572"/>
      <c r="I798" s="572"/>
      <c r="J798" s="507"/>
      <c r="K798" s="507"/>
      <c r="L798" s="507"/>
      <c r="M798" s="507"/>
      <c r="N798" s="507"/>
      <c r="O798" s="507"/>
      <c r="P798" s="507"/>
      <c r="Q798" s="507"/>
      <c r="R798" s="507"/>
      <c r="S798" s="507"/>
      <c r="T798" s="507"/>
      <c r="U798" s="507"/>
      <c r="V798" s="507"/>
      <c r="W798" s="507"/>
      <c r="X798" s="507"/>
      <c r="Y798" s="507"/>
      <c r="Z798" s="507"/>
    </row>
    <row r="799">
      <c r="A799" s="507"/>
      <c r="B799" s="572"/>
      <c r="C799" s="572"/>
      <c r="D799" s="572"/>
      <c r="E799" s="572"/>
      <c r="F799" s="572"/>
      <c r="G799" s="572"/>
      <c r="H799" s="572"/>
      <c r="I799" s="572"/>
      <c r="J799" s="507"/>
      <c r="K799" s="507"/>
      <c r="L799" s="507"/>
      <c r="M799" s="507"/>
      <c r="N799" s="507"/>
      <c r="O799" s="507"/>
      <c r="P799" s="507"/>
      <c r="Q799" s="507"/>
      <c r="R799" s="507"/>
      <c r="S799" s="507"/>
      <c r="T799" s="507"/>
      <c r="U799" s="507"/>
      <c r="V799" s="507"/>
      <c r="W799" s="507"/>
      <c r="X799" s="507"/>
      <c r="Y799" s="507"/>
      <c r="Z799" s="507"/>
    </row>
    <row r="800">
      <c r="A800" s="507"/>
      <c r="B800" s="572"/>
      <c r="C800" s="572"/>
      <c r="D800" s="572"/>
      <c r="E800" s="572"/>
      <c r="F800" s="572"/>
      <c r="G800" s="572"/>
      <c r="H800" s="572"/>
      <c r="I800" s="572"/>
      <c r="J800" s="507"/>
      <c r="K800" s="507"/>
      <c r="L800" s="507"/>
      <c r="M800" s="507"/>
      <c r="N800" s="507"/>
      <c r="O800" s="507"/>
      <c r="P800" s="507"/>
      <c r="Q800" s="507"/>
      <c r="R800" s="507"/>
      <c r="S800" s="507"/>
      <c r="T800" s="507"/>
      <c r="U800" s="507"/>
      <c r="V800" s="507"/>
      <c r="W800" s="507"/>
      <c r="X800" s="507"/>
      <c r="Y800" s="507"/>
      <c r="Z800" s="507"/>
    </row>
    <row r="801">
      <c r="A801" s="507"/>
      <c r="B801" s="572"/>
      <c r="C801" s="572"/>
      <c r="D801" s="572"/>
      <c r="E801" s="572"/>
      <c r="F801" s="572"/>
      <c r="G801" s="572"/>
      <c r="H801" s="572"/>
      <c r="I801" s="572"/>
      <c r="J801" s="507"/>
      <c r="K801" s="507"/>
      <c r="L801" s="507"/>
      <c r="M801" s="507"/>
      <c r="N801" s="507"/>
      <c r="O801" s="507"/>
      <c r="P801" s="507"/>
      <c r="Q801" s="507"/>
      <c r="R801" s="507"/>
      <c r="S801" s="507"/>
      <c r="T801" s="507"/>
      <c r="U801" s="507"/>
      <c r="V801" s="507"/>
      <c r="W801" s="507"/>
      <c r="X801" s="507"/>
      <c r="Y801" s="507"/>
      <c r="Z801" s="507"/>
    </row>
    <row r="802">
      <c r="A802" s="507"/>
      <c r="B802" s="572"/>
      <c r="C802" s="572"/>
      <c r="D802" s="572"/>
      <c r="E802" s="572"/>
      <c r="F802" s="572"/>
      <c r="G802" s="572"/>
      <c r="H802" s="572"/>
      <c r="I802" s="572"/>
      <c r="J802" s="507"/>
      <c r="K802" s="507"/>
      <c r="L802" s="507"/>
      <c r="M802" s="507"/>
      <c r="N802" s="507"/>
      <c r="O802" s="507"/>
      <c r="P802" s="507"/>
      <c r="Q802" s="507"/>
      <c r="R802" s="507"/>
      <c r="S802" s="507"/>
      <c r="T802" s="507"/>
      <c r="U802" s="507"/>
      <c r="V802" s="507"/>
      <c r="W802" s="507"/>
      <c r="X802" s="507"/>
      <c r="Y802" s="507"/>
      <c r="Z802" s="507"/>
    </row>
    <row r="803">
      <c r="A803" s="507"/>
      <c r="B803" s="572"/>
      <c r="C803" s="572"/>
      <c r="D803" s="572"/>
      <c r="E803" s="572"/>
      <c r="F803" s="572"/>
      <c r="G803" s="572"/>
      <c r="H803" s="572"/>
      <c r="I803" s="572"/>
      <c r="J803" s="507"/>
      <c r="K803" s="507"/>
      <c r="L803" s="507"/>
      <c r="M803" s="507"/>
      <c r="N803" s="507"/>
      <c r="O803" s="507"/>
      <c r="P803" s="507"/>
      <c r="Q803" s="507"/>
      <c r="R803" s="507"/>
      <c r="S803" s="507"/>
      <c r="T803" s="507"/>
      <c r="U803" s="507"/>
      <c r="V803" s="507"/>
      <c r="W803" s="507"/>
      <c r="X803" s="507"/>
      <c r="Y803" s="507"/>
      <c r="Z803" s="507"/>
    </row>
    <row r="804">
      <c r="A804" s="507"/>
      <c r="B804" s="572"/>
      <c r="C804" s="572"/>
      <c r="D804" s="572"/>
      <c r="E804" s="572"/>
      <c r="F804" s="572"/>
      <c r="G804" s="572"/>
      <c r="H804" s="572"/>
      <c r="I804" s="572"/>
      <c r="J804" s="507"/>
      <c r="K804" s="507"/>
      <c r="L804" s="507"/>
      <c r="M804" s="507"/>
      <c r="N804" s="507"/>
      <c r="O804" s="507"/>
      <c r="P804" s="507"/>
      <c r="Q804" s="507"/>
      <c r="R804" s="507"/>
      <c r="S804" s="507"/>
      <c r="T804" s="507"/>
      <c r="U804" s="507"/>
      <c r="V804" s="507"/>
      <c r="W804" s="507"/>
      <c r="X804" s="507"/>
      <c r="Y804" s="507"/>
      <c r="Z804" s="507"/>
    </row>
    <row r="805">
      <c r="A805" s="507"/>
      <c r="B805" s="572"/>
      <c r="C805" s="572"/>
      <c r="D805" s="572"/>
      <c r="E805" s="572"/>
      <c r="F805" s="572"/>
      <c r="G805" s="572"/>
      <c r="H805" s="572"/>
      <c r="I805" s="572"/>
      <c r="J805" s="507"/>
      <c r="K805" s="507"/>
      <c r="L805" s="507"/>
      <c r="M805" s="507"/>
      <c r="N805" s="507"/>
      <c r="O805" s="507"/>
      <c r="P805" s="507"/>
      <c r="Q805" s="507"/>
      <c r="R805" s="507"/>
      <c r="S805" s="507"/>
      <c r="T805" s="507"/>
      <c r="U805" s="507"/>
      <c r="V805" s="507"/>
      <c r="W805" s="507"/>
      <c r="X805" s="507"/>
      <c r="Y805" s="507"/>
      <c r="Z805" s="507"/>
    </row>
    <row r="806">
      <c r="A806" s="507"/>
      <c r="B806" s="572"/>
      <c r="C806" s="572"/>
      <c r="D806" s="572"/>
      <c r="E806" s="572"/>
      <c r="F806" s="572"/>
      <c r="G806" s="572"/>
      <c r="H806" s="572"/>
      <c r="I806" s="572"/>
      <c r="J806" s="507"/>
      <c r="K806" s="507"/>
      <c r="L806" s="507"/>
      <c r="M806" s="507"/>
      <c r="N806" s="507"/>
      <c r="O806" s="507"/>
      <c r="P806" s="507"/>
      <c r="Q806" s="507"/>
      <c r="R806" s="507"/>
      <c r="S806" s="507"/>
      <c r="T806" s="507"/>
      <c r="U806" s="507"/>
      <c r="V806" s="507"/>
      <c r="W806" s="507"/>
      <c r="X806" s="507"/>
      <c r="Y806" s="507"/>
      <c r="Z806" s="507"/>
    </row>
    <row r="807">
      <c r="A807" s="507"/>
      <c r="B807" s="572"/>
      <c r="C807" s="572"/>
      <c r="D807" s="572"/>
      <c r="E807" s="572"/>
      <c r="F807" s="572"/>
      <c r="G807" s="572"/>
      <c r="H807" s="572"/>
      <c r="I807" s="572"/>
      <c r="J807" s="507"/>
      <c r="K807" s="507"/>
      <c r="L807" s="507"/>
      <c r="M807" s="507"/>
      <c r="N807" s="507"/>
      <c r="O807" s="507"/>
      <c r="P807" s="507"/>
      <c r="Q807" s="507"/>
      <c r="R807" s="507"/>
      <c r="S807" s="507"/>
      <c r="T807" s="507"/>
      <c r="U807" s="507"/>
      <c r="V807" s="507"/>
      <c r="W807" s="507"/>
      <c r="X807" s="507"/>
      <c r="Y807" s="507"/>
      <c r="Z807" s="507"/>
    </row>
    <row r="808">
      <c r="A808" s="507"/>
      <c r="B808" s="572"/>
      <c r="C808" s="572"/>
      <c r="D808" s="572"/>
      <c r="E808" s="572"/>
      <c r="F808" s="572"/>
      <c r="G808" s="572"/>
      <c r="H808" s="572"/>
      <c r="I808" s="572"/>
      <c r="J808" s="507"/>
      <c r="K808" s="507"/>
      <c r="L808" s="507"/>
      <c r="M808" s="507"/>
      <c r="N808" s="507"/>
      <c r="O808" s="507"/>
      <c r="P808" s="507"/>
      <c r="Q808" s="507"/>
      <c r="R808" s="507"/>
      <c r="S808" s="507"/>
      <c r="T808" s="507"/>
      <c r="U808" s="507"/>
      <c r="V808" s="507"/>
      <c r="W808" s="507"/>
      <c r="X808" s="507"/>
      <c r="Y808" s="507"/>
      <c r="Z808" s="507"/>
    </row>
    <row r="809">
      <c r="A809" s="507"/>
      <c r="B809" s="572"/>
      <c r="C809" s="572"/>
      <c r="D809" s="572"/>
      <c r="E809" s="572"/>
      <c r="F809" s="572"/>
      <c r="G809" s="572"/>
      <c r="H809" s="572"/>
      <c r="I809" s="572"/>
      <c r="J809" s="507"/>
      <c r="K809" s="507"/>
      <c r="L809" s="507"/>
      <c r="M809" s="507"/>
      <c r="N809" s="507"/>
      <c r="O809" s="507"/>
      <c r="P809" s="507"/>
      <c r="Q809" s="507"/>
      <c r="R809" s="507"/>
      <c r="S809" s="507"/>
      <c r="T809" s="507"/>
      <c r="U809" s="507"/>
      <c r="V809" s="507"/>
      <c r="W809" s="507"/>
      <c r="X809" s="507"/>
      <c r="Y809" s="507"/>
      <c r="Z809" s="507"/>
    </row>
    <row r="810">
      <c r="A810" s="507"/>
      <c r="B810" s="572"/>
      <c r="C810" s="572"/>
      <c r="D810" s="572"/>
      <c r="E810" s="572"/>
      <c r="F810" s="572"/>
      <c r="G810" s="572"/>
      <c r="H810" s="572"/>
      <c r="I810" s="572"/>
      <c r="J810" s="507"/>
      <c r="K810" s="507"/>
      <c r="L810" s="507"/>
      <c r="M810" s="507"/>
      <c r="N810" s="507"/>
      <c r="O810" s="507"/>
      <c r="P810" s="507"/>
      <c r="Q810" s="507"/>
      <c r="R810" s="507"/>
      <c r="S810" s="507"/>
      <c r="T810" s="507"/>
      <c r="U810" s="507"/>
      <c r="V810" s="507"/>
      <c r="W810" s="507"/>
      <c r="X810" s="507"/>
      <c r="Y810" s="507"/>
      <c r="Z810" s="507"/>
    </row>
    <row r="811">
      <c r="A811" s="507"/>
      <c r="B811" s="572"/>
      <c r="C811" s="572"/>
      <c r="D811" s="572"/>
      <c r="E811" s="572"/>
      <c r="F811" s="572"/>
      <c r="G811" s="572"/>
      <c r="H811" s="572"/>
      <c r="I811" s="572"/>
      <c r="J811" s="507"/>
      <c r="K811" s="507"/>
      <c r="L811" s="507"/>
      <c r="M811" s="507"/>
      <c r="N811" s="507"/>
      <c r="O811" s="507"/>
      <c r="P811" s="507"/>
      <c r="Q811" s="507"/>
      <c r="R811" s="507"/>
      <c r="S811" s="507"/>
      <c r="T811" s="507"/>
      <c r="U811" s="507"/>
      <c r="V811" s="507"/>
      <c r="W811" s="507"/>
      <c r="X811" s="507"/>
      <c r="Y811" s="507"/>
      <c r="Z811" s="507"/>
    </row>
    <row r="812">
      <c r="A812" s="507"/>
      <c r="B812" s="572"/>
      <c r="C812" s="572"/>
      <c r="D812" s="572"/>
      <c r="E812" s="572"/>
      <c r="F812" s="572"/>
      <c r="G812" s="572"/>
      <c r="H812" s="572"/>
      <c r="I812" s="572"/>
      <c r="J812" s="507"/>
      <c r="K812" s="507"/>
      <c r="L812" s="507"/>
      <c r="M812" s="507"/>
      <c r="N812" s="507"/>
      <c r="O812" s="507"/>
      <c r="P812" s="507"/>
      <c r="Q812" s="507"/>
      <c r="R812" s="507"/>
      <c r="S812" s="507"/>
      <c r="T812" s="507"/>
      <c r="U812" s="507"/>
      <c r="V812" s="507"/>
      <c r="W812" s="507"/>
      <c r="X812" s="507"/>
      <c r="Y812" s="507"/>
      <c r="Z812" s="507"/>
    </row>
    <row r="813">
      <c r="A813" s="507"/>
      <c r="B813" s="572"/>
      <c r="C813" s="572"/>
      <c r="D813" s="572"/>
      <c r="E813" s="572"/>
      <c r="F813" s="572"/>
      <c r="G813" s="572"/>
      <c r="H813" s="572"/>
      <c r="I813" s="572"/>
      <c r="J813" s="507"/>
      <c r="K813" s="507"/>
      <c r="L813" s="507"/>
      <c r="M813" s="507"/>
      <c r="N813" s="507"/>
      <c r="O813" s="507"/>
      <c r="P813" s="507"/>
      <c r="Q813" s="507"/>
      <c r="R813" s="507"/>
      <c r="S813" s="507"/>
      <c r="T813" s="507"/>
      <c r="U813" s="507"/>
      <c r="V813" s="507"/>
      <c r="W813" s="507"/>
      <c r="X813" s="507"/>
      <c r="Y813" s="507"/>
      <c r="Z813" s="507"/>
    </row>
    <row r="814">
      <c r="A814" s="507"/>
      <c r="B814" s="572"/>
      <c r="C814" s="572"/>
      <c r="D814" s="572"/>
      <c r="E814" s="572"/>
      <c r="F814" s="572"/>
      <c r="G814" s="572"/>
      <c r="H814" s="572"/>
      <c r="I814" s="572"/>
      <c r="J814" s="507"/>
      <c r="K814" s="507"/>
      <c r="L814" s="507"/>
      <c r="M814" s="507"/>
      <c r="N814" s="507"/>
      <c r="O814" s="507"/>
      <c r="P814" s="507"/>
      <c r="Q814" s="507"/>
      <c r="R814" s="507"/>
      <c r="S814" s="507"/>
      <c r="T814" s="507"/>
      <c r="U814" s="507"/>
      <c r="V814" s="507"/>
      <c r="W814" s="507"/>
      <c r="X814" s="507"/>
      <c r="Y814" s="507"/>
      <c r="Z814" s="507"/>
    </row>
    <row r="815">
      <c r="A815" s="507"/>
      <c r="B815" s="572"/>
      <c r="C815" s="572"/>
      <c r="D815" s="572"/>
      <c r="E815" s="572"/>
      <c r="F815" s="572"/>
      <c r="G815" s="572"/>
      <c r="H815" s="572"/>
      <c r="I815" s="572"/>
      <c r="J815" s="507"/>
      <c r="K815" s="507"/>
      <c r="L815" s="507"/>
      <c r="M815" s="507"/>
      <c r="N815" s="507"/>
      <c r="O815" s="507"/>
      <c r="P815" s="507"/>
      <c r="Q815" s="507"/>
      <c r="R815" s="507"/>
      <c r="S815" s="507"/>
      <c r="T815" s="507"/>
      <c r="U815" s="507"/>
      <c r="V815" s="507"/>
      <c r="W815" s="507"/>
      <c r="X815" s="507"/>
      <c r="Y815" s="507"/>
      <c r="Z815" s="507"/>
    </row>
    <row r="816">
      <c r="A816" s="507"/>
      <c r="B816" s="572"/>
      <c r="C816" s="572"/>
      <c r="D816" s="572"/>
      <c r="E816" s="572"/>
      <c r="F816" s="572"/>
      <c r="G816" s="572"/>
      <c r="H816" s="572"/>
      <c r="I816" s="572"/>
      <c r="J816" s="507"/>
      <c r="K816" s="507"/>
      <c r="L816" s="507"/>
      <c r="M816" s="507"/>
      <c r="N816" s="507"/>
      <c r="O816" s="507"/>
      <c r="P816" s="507"/>
      <c r="Q816" s="507"/>
      <c r="R816" s="507"/>
      <c r="S816" s="507"/>
      <c r="T816" s="507"/>
      <c r="U816" s="507"/>
      <c r="V816" s="507"/>
      <c r="W816" s="507"/>
      <c r="X816" s="507"/>
      <c r="Y816" s="507"/>
      <c r="Z816" s="507"/>
    </row>
    <row r="817">
      <c r="A817" s="507"/>
      <c r="B817" s="572"/>
      <c r="C817" s="572"/>
      <c r="D817" s="572"/>
      <c r="E817" s="572"/>
      <c r="F817" s="572"/>
      <c r="G817" s="572"/>
      <c r="H817" s="572"/>
      <c r="I817" s="572"/>
      <c r="J817" s="507"/>
      <c r="K817" s="507"/>
      <c r="L817" s="507"/>
      <c r="M817" s="507"/>
      <c r="N817" s="507"/>
      <c r="O817" s="507"/>
      <c r="P817" s="507"/>
      <c r="Q817" s="507"/>
      <c r="R817" s="507"/>
      <c r="S817" s="507"/>
      <c r="T817" s="507"/>
      <c r="U817" s="507"/>
      <c r="V817" s="507"/>
      <c r="W817" s="507"/>
      <c r="X817" s="507"/>
      <c r="Y817" s="507"/>
      <c r="Z817" s="507"/>
    </row>
    <row r="818">
      <c r="A818" s="507"/>
      <c r="B818" s="572"/>
      <c r="C818" s="572"/>
      <c r="D818" s="572"/>
      <c r="E818" s="572"/>
      <c r="F818" s="572"/>
      <c r="G818" s="572"/>
      <c r="H818" s="572"/>
      <c r="I818" s="572"/>
      <c r="J818" s="507"/>
      <c r="K818" s="507"/>
      <c r="L818" s="507"/>
      <c r="M818" s="507"/>
      <c r="N818" s="507"/>
      <c r="O818" s="507"/>
      <c r="P818" s="507"/>
      <c r="Q818" s="507"/>
      <c r="R818" s="507"/>
      <c r="S818" s="507"/>
      <c r="T818" s="507"/>
      <c r="U818" s="507"/>
      <c r="V818" s="507"/>
      <c r="W818" s="507"/>
      <c r="X818" s="507"/>
      <c r="Y818" s="507"/>
      <c r="Z818" s="507"/>
    </row>
    <row r="819">
      <c r="A819" s="507"/>
      <c r="B819" s="572"/>
      <c r="C819" s="572"/>
      <c r="D819" s="572"/>
      <c r="E819" s="572"/>
      <c r="F819" s="572"/>
      <c r="G819" s="572"/>
      <c r="H819" s="572"/>
      <c r="I819" s="572"/>
      <c r="J819" s="507"/>
      <c r="K819" s="507"/>
      <c r="L819" s="507"/>
      <c r="M819" s="507"/>
      <c r="N819" s="507"/>
      <c r="O819" s="507"/>
      <c r="P819" s="507"/>
      <c r="Q819" s="507"/>
      <c r="R819" s="507"/>
      <c r="S819" s="507"/>
      <c r="T819" s="507"/>
      <c r="U819" s="507"/>
      <c r="V819" s="507"/>
      <c r="W819" s="507"/>
      <c r="X819" s="507"/>
      <c r="Y819" s="507"/>
      <c r="Z819" s="507"/>
    </row>
    <row r="820">
      <c r="A820" s="507"/>
      <c r="B820" s="572"/>
      <c r="C820" s="572"/>
      <c r="D820" s="572"/>
      <c r="E820" s="572"/>
      <c r="F820" s="572"/>
      <c r="G820" s="572"/>
      <c r="H820" s="572"/>
      <c r="I820" s="572"/>
      <c r="J820" s="507"/>
      <c r="K820" s="507"/>
      <c r="L820" s="507"/>
      <c r="M820" s="507"/>
      <c r="N820" s="507"/>
      <c r="O820" s="507"/>
      <c r="P820" s="507"/>
      <c r="Q820" s="507"/>
      <c r="R820" s="507"/>
      <c r="S820" s="507"/>
      <c r="T820" s="507"/>
      <c r="U820" s="507"/>
      <c r="V820" s="507"/>
      <c r="W820" s="507"/>
      <c r="X820" s="507"/>
      <c r="Y820" s="507"/>
      <c r="Z820" s="507"/>
    </row>
    <row r="821">
      <c r="A821" s="507"/>
      <c r="B821" s="572"/>
      <c r="C821" s="572"/>
      <c r="D821" s="572"/>
      <c r="E821" s="572"/>
      <c r="F821" s="572"/>
      <c r="G821" s="572"/>
      <c r="H821" s="572"/>
      <c r="I821" s="572"/>
      <c r="J821" s="507"/>
      <c r="K821" s="507"/>
      <c r="L821" s="507"/>
      <c r="M821" s="507"/>
      <c r="N821" s="507"/>
      <c r="O821" s="507"/>
      <c r="P821" s="507"/>
      <c r="Q821" s="507"/>
      <c r="R821" s="507"/>
      <c r="S821" s="507"/>
      <c r="T821" s="507"/>
      <c r="U821" s="507"/>
      <c r="V821" s="507"/>
      <c r="W821" s="507"/>
      <c r="X821" s="507"/>
      <c r="Y821" s="507"/>
      <c r="Z821" s="507"/>
    </row>
    <row r="822">
      <c r="A822" s="507"/>
      <c r="B822" s="572"/>
      <c r="C822" s="572"/>
      <c r="D822" s="572"/>
      <c r="E822" s="572"/>
      <c r="F822" s="572"/>
      <c r="G822" s="572"/>
      <c r="H822" s="572"/>
      <c r="I822" s="572"/>
      <c r="J822" s="507"/>
      <c r="K822" s="507"/>
      <c r="L822" s="507"/>
      <c r="M822" s="507"/>
      <c r="N822" s="507"/>
      <c r="O822" s="507"/>
      <c r="P822" s="507"/>
      <c r="Q822" s="507"/>
      <c r="R822" s="507"/>
      <c r="S822" s="507"/>
      <c r="T822" s="507"/>
      <c r="U822" s="507"/>
      <c r="V822" s="507"/>
      <c r="W822" s="507"/>
      <c r="X822" s="507"/>
      <c r="Y822" s="507"/>
      <c r="Z822" s="507"/>
    </row>
    <row r="823">
      <c r="A823" s="507"/>
      <c r="B823" s="572"/>
      <c r="C823" s="572"/>
      <c r="D823" s="572"/>
      <c r="E823" s="572"/>
      <c r="F823" s="572"/>
      <c r="G823" s="572"/>
      <c r="H823" s="572"/>
      <c r="I823" s="572"/>
      <c r="J823" s="507"/>
      <c r="K823" s="507"/>
      <c r="L823" s="507"/>
      <c r="M823" s="507"/>
      <c r="N823" s="507"/>
      <c r="O823" s="507"/>
      <c r="P823" s="507"/>
      <c r="Q823" s="507"/>
      <c r="R823" s="507"/>
      <c r="S823" s="507"/>
      <c r="T823" s="507"/>
      <c r="U823" s="507"/>
      <c r="V823" s="507"/>
      <c r="W823" s="507"/>
      <c r="X823" s="507"/>
      <c r="Y823" s="507"/>
      <c r="Z823" s="507"/>
    </row>
    <row r="824">
      <c r="A824" s="507"/>
      <c r="B824" s="572"/>
      <c r="C824" s="572"/>
      <c r="D824" s="572"/>
      <c r="E824" s="572"/>
      <c r="F824" s="572"/>
      <c r="G824" s="572"/>
      <c r="H824" s="572"/>
      <c r="I824" s="572"/>
      <c r="J824" s="507"/>
      <c r="K824" s="507"/>
      <c r="L824" s="507"/>
      <c r="M824" s="507"/>
      <c r="N824" s="507"/>
      <c r="O824" s="507"/>
      <c r="P824" s="507"/>
      <c r="Q824" s="507"/>
      <c r="R824" s="507"/>
      <c r="S824" s="507"/>
      <c r="T824" s="507"/>
      <c r="U824" s="507"/>
      <c r="V824" s="507"/>
      <c r="W824" s="507"/>
      <c r="X824" s="507"/>
      <c r="Y824" s="507"/>
      <c r="Z824" s="507"/>
    </row>
    <row r="825">
      <c r="A825" s="507"/>
      <c r="B825" s="572"/>
      <c r="C825" s="572"/>
      <c r="D825" s="572"/>
      <c r="E825" s="572"/>
      <c r="F825" s="572"/>
      <c r="G825" s="572"/>
      <c r="H825" s="572"/>
      <c r="I825" s="572"/>
      <c r="J825" s="507"/>
      <c r="K825" s="507"/>
      <c r="L825" s="507"/>
      <c r="M825" s="507"/>
      <c r="N825" s="507"/>
      <c r="O825" s="507"/>
      <c r="P825" s="507"/>
      <c r="Q825" s="507"/>
      <c r="R825" s="507"/>
      <c r="S825" s="507"/>
      <c r="T825" s="507"/>
      <c r="U825" s="507"/>
      <c r="V825" s="507"/>
      <c r="W825" s="507"/>
      <c r="X825" s="507"/>
      <c r="Y825" s="507"/>
      <c r="Z825" s="507"/>
    </row>
    <row r="826">
      <c r="A826" s="507"/>
      <c r="B826" s="572"/>
      <c r="C826" s="572"/>
      <c r="D826" s="572"/>
      <c r="E826" s="572"/>
      <c r="F826" s="572"/>
      <c r="G826" s="572"/>
      <c r="H826" s="572"/>
      <c r="I826" s="572"/>
      <c r="J826" s="507"/>
      <c r="K826" s="507"/>
      <c r="L826" s="507"/>
      <c r="M826" s="507"/>
      <c r="N826" s="507"/>
      <c r="O826" s="507"/>
      <c r="P826" s="507"/>
      <c r="Q826" s="507"/>
      <c r="R826" s="507"/>
      <c r="S826" s="507"/>
      <c r="T826" s="507"/>
      <c r="U826" s="507"/>
      <c r="V826" s="507"/>
      <c r="W826" s="507"/>
      <c r="X826" s="507"/>
      <c r="Y826" s="507"/>
      <c r="Z826" s="507"/>
    </row>
    <row r="827">
      <c r="A827" s="507"/>
      <c r="B827" s="572"/>
      <c r="C827" s="572"/>
      <c r="D827" s="572"/>
      <c r="E827" s="572"/>
      <c r="F827" s="572"/>
      <c r="G827" s="572"/>
      <c r="H827" s="572"/>
      <c r="I827" s="572"/>
      <c r="J827" s="507"/>
      <c r="K827" s="507"/>
      <c r="L827" s="507"/>
      <c r="M827" s="507"/>
      <c r="N827" s="507"/>
      <c r="O827" s="507"/>
      <c r="P827" s="507"/>
      <c r="Q827" s="507"/>
      <c r="R827" s="507"/>
      <c r="S827" s="507"/>
      <c r="T827" s="507"/>
      <c r="U827" s="507"/>
      <c r="V827" s="507"/>
      <c r="W827" s="507"/>
      <c r="X827" s="507"/>
      <c r="Y827" s="507"/>
      <c r="Z827" s="507"/>
    </row>
    <row r="828">
      <c r="A828" s="507"/>
      <c r="B828" s="572"/>
      <c r="C828" s="572"/>
      <c r="D828" s="572"/>
      <c r="E828" s="572"/>
      <c r="F828" s="572"/>
      <c r="G828" s="572"/>
      <c r="H828" s="572"/>
      <c r="I828" s="572"/>
      <c r="J828" s="507"/>
      <c r="K828" s="507"/>
      <c r="L828" s="507"/>
      <c r="M828" s="507"/>
      <c r="N828" s="507"/>
      <c r="O828" s="507"/>
      <c r="P828" s="507"/>
      <c r="Q828" s="507"/>
      <c r="R828" s="507"/>
      <c r="S828" s="507"/>
      <c r="T828" s="507"/>
      <c r="U828" s="507"/>
      <c r="V828" s="507"/>
      <c r="W828" s="507"/>
      <c r="X828" s="507"/>
      <c r="Y828" s="507"/>
      <c r="Z828" s="507"/>
    </row>
    <row r="829">
      <c r="A829" s="507"/>
      <c r="B829" s="572"/>
      <c r="C829" s="572"/>
      <c r="D829" s="572"/>
      <c r="E829" s="572"/>
      <c r="F829" s="572"/>
      <c r="G829" s="572"/>
      <c r="H829" s="572"/>
      <c r="I829" s="572"/>
      <c r="J829" s="507"/>
      <c r="K829" s="507"/>
      <c r="L829" s="507"/>
      <c r="M829" s="507"/>
      <c r="N829" s="507"/>
      <c r="O829" s="507"/>
      <c r="P829" s="507"/>
      <c r="Q829" s="507"/>
      <c r="R829" s="507"/>
      <c r="S829" s="507"/>
      <c r="T829" s="507"/>
      <c r="U829" s="507"/>
      <c r="V829" s="507"/>
      <c r="W829" s="507"/>
      <c r="X829" s="507"/>
      <c r="Y829" s="507"/>
      <c r="Z829" s="507"/>
    </row>
    <row r="830">
      <c r="A830" s="507"/>
      <c r="B830" s="572"/>
      <c r="C830" s="572"/>
      <c r="D830" s="572"/>
      <c r="E830" s="572"/>
      <c r="F830" s="572"/>
      <c r="G830" s="572"/>
      <c r="H830" s="572"/>
      <c r="I830" s="572"/>
      <c r="J830" s="507"/>
      <c r="K830" s="507"/>
      <c r="L830" s="507"/>
      <c r="M830" s="507"/>
      <c r="N830" s="507"/>
      <c r="O830" s="507"/>
      <c r="P830" s="507"/>
      <c r="Q830" s="507"/>
      <c r="R830" s="507"/>
      <c r="S830" s="507"/>
      <c r="T830" s="507"/>
      <c r="U830" s="507"/>
      <c r="V830" s="507"/>
      <c r="W830" s="507"/>
      <c r="X830" s="507"/>
      <c r="Y830" s="507"/>
      <c r="Z830" s="507"/>
    </row>
    <row r="831">
      <c r="A831" s="507"/>
      <c r="B831" s="572"/>
      <c r="C831" s="572"/>
      <c r="D831" s="572"/>
      <c r="E831" s="572"/>
      <c r="F831" s="572"/>
      <c r="G831" s="572"/>
      <c r="H831" s="572"/>
      <c r="I831" s="572"/>
      <c r="J831" s="507"/>
      <c r="K831" s="507"/>
      <c r="L831" s="507"/>
      <c r="M831" s="507"/>
      <c r="N831" s="507"/>
      <c r="O831" s="507"/>
      <c r="P831" s="507"/>
      <c r="Q831" s="507"/>
      <c r="R831" s="507"/>
      <c r="S831" s="507"/>
      <c r="T831" s="507"/>
      <c r="U831" s="507"/>
      <c r="V831" s="507"/>
      <c r="W831" s="507"/>
      <c r="X831" s="507"/>
      <c r="Y831" s="507"/>
      <c r="Z831" s="507"/>
    </row>
    <row r="832">
      <c r="A832" s="507"/>
      <c r="B832" s="572"/>
      <c r="C832" s="572"/>
      <c r="D832" s="572"/>
      <c r="E832" s="572"/>
      <c r="F832" s="572"/>
      <c r="G832" s="572"/>
      <c r="H832" s="572"/>
      <c r="I832" s="572"/>
      <c r="J832" s="507"/>
      <c r="K832" s="507"/>
      <c r="L832" s="507"/>
      <c r="M832" s="507"/>
      <c r="N832" s="507"/>
      <c r="O832" s="507"/>
      <c r="P832" s="507"/>
      <c r="Q832" s="507"/>
      <c r="R832" s="507"/>
      <c r="S832" s="507"/>
      <c r="T832" s="507"/>
      <c r="U832" s="507"/>
      <c r="V832" s="507"/>
      <c r="W832" s="507"/>
      <c r="X832" s="507"/>
      <c r="Y832" s="507"/>
      <c r="Z832" s="507"/>
    </row>
    <row r="833">
      <c r="A833" s="507"/>
      <c r="B833" s="572"/>
      <c r="C833" s="572"/>
      <c r="D833" s="572"/>
      <c r="E833" s="572"/>
      <c r="F833" s="572"/>
      <c r="G833" s="572"/>
      <c r="H833" s="572"/>
      <c r="I833" s="572"/>
      <c r="J833" s="507"/>
      <c r="K833" s="507"/>
      <c r="L833" s="507"/>
      <c r="M833" s="507"/>
      <c r="N833" s="507"/>
      <c r="O833" s="507"/>
      <c r="P833" s="507"/>
      <c r="Q833" s="507"/>
      <c r="R833" s="507"/>
      <c r="S833" s="507"/>
      <c r="T833" s="507"/>
      <c r="U833" s="507"/>
      <c r="V833" s="507"/>
      <c r="W833" s="507"/>
      <c r="X833" s="507"/>
      <c r="Y833" s="507"/>
      <c r="Z833" s="507"/>
    </row>
    <row r="834">
      <c r="A834" s="507"/>
      <c r="B834" s="572"/>
      <c r="C834" s="572"/>
      <c r="D834" s="572"/>
      <c r="E834" s="572"/>
      <c r="F834" s="572"/>
      <c r="G834" s="572"/>
      <c r="H834" s="572"/>
      <c r="I834" s="572"/>
      <c r="J834" s="507"/>
      <c r="K834" s="507"/>
      <c r="L834" s="507"/>
      <c r="M834" s="507"/>
      <c r="N834" s="507"/>
      <c r="O834" s="507"/>
      <c r="P834" s="507"/>
      <c r="Q834" s="507"/>
      <c r="R834" s="507"/>
      <c r="S834" s="507"/>
      <c r="T834" s="507"/>
      <c r="U834" s="507"/>
      <c r="V834" s="507"/>
      <c r="W834" s="507"/>
      <c r="X834" s="507"/>
      <c r="Y834" s="507"/>
      <c r="Z834" s="507"/>
    </row>
    <row r="835">
      <c r="A835" s="507"/>
      <c r="B835" s="572"/>
      <c r="C835" s="572"/>
      <c r="D835" s="572"/>
      <c r="E835" s="572"/>
      <c r="F835" s="572"/>
      <c r="G835" s="572"/>
      <c r="H835" s="572"/>
      <c r="I835" s="572"/>
      <c r="J835" s="507"/>
      <c r="K835" s="507"/>
      <c r="L835" s="507"/>
      <c r="M835" s="507"/>
      <c r="N835" s="507"/>
      <c r="O835" s="507"/>
      <c r="P835" s="507"/>
      <c r="Q835" s="507"/>
      <c r="R835" s="507"/>
      <c r="S835" s="507"/>
      <c r="T835" s="507"/>
      <c r="U835" s="507"/>
      <c r="V835" s="507"/>
      <c r="W835" s="507"/>
      <c r="X835" s="507"/>
      <c r="Y835" s="507"/>
      <c r="Z835" s="507"/>
    </row>
    <row r="836">
      <c r="A836" s="507"/>
      <c r="B836" s="572"/>
      <c r="C836" s="572"/>
      <c r="D836" s="572"/>
      <c r="E836" s="572"/>
      <c r="F836" s="572"/>
      <c r="G836" s="572"/>
      <c r="H836" s="572"/>
      <c r="I836" s="572"/>
      <c r="J836" s="507"/>
      <c r="K836" s="507"/>
      <c r="L836" s="507"/>
      <c r="M836" s="507"/>
      <c r="N836" s="507"/>
      <c r="O836" s="507"/>
      <c r="P836" s="507"/>
      <c r="Q836" s="507"/>
      <c r="R836" s="507"/>
      <c r="S836" s="507"/>
      <c r="T836" s="507"/>
      <c r="U836" s="507"/>
      <c r="V836" s="507"/>
      <c r="W836" s="507"/>
      <c r="X836" s="507"/>
      <c r="Y836" s="507"/>
      <c r="Z836" s="507"/>
    </row>
    <row r="837">
      <c r="A837" s="507"/>
      <c r="B837" s="572"/>
      <c r="C837" s="572"/>
      <c r="D837" s="572"/>
      <c r="E837" s="572"/>
      <c r="F837" s="572"/>
      <c r="G837" s="572"/>
      <c r="H837" s="572"/>
      <c r="I837" s="572"/>
      <c r="J837" s="507"/>
      <c r="K837" s="507"/>
      <c r="L837" s="507"/>
      <c r="M837" s="507"/>
      <c r="N837" s="507"/>
      <c r="O837" s="507"/>
      <c r="P837" s="507"/>
      <c r="Q837" s="507"/>
      <c r="R837" s="507"/>
      <c r="S837" s="507"/>
      <c r="T837" s="507"/>
      <c r="U837" s="507"/>
      <c r="V837" s="507"/>
      <c r="W837" s="507"/>
      <c r="X837" s="507"/>
      <c r="Y837" s="507"/>
      <c r="Z837" s="507"/>
    </row>
    <row r="838">
      <c r="A838" s="507"/>
      <c r="B838" s="572"/>
      <c r="C838" s="572"/>
      <c r="D838" s="572"/>
      <c r="E838" s="572"/>
      <c r="F838" s="572"/>
      <c r="G838" s="572"/>
      <c r="H838" s="572"/>
      <c r="I838" s="572"/>
      <c r="J838" s="507"/>
      <c r="K838" s="507"/>
      <c r="L838" s="507"/>
      <c r="M838" s="507"/>
      <c r="N838" s="507"/>
      <c r="O838" s="507"/>
      <c r="P838" s="507"/>
      <c r="Q838" s="507"/>
      <c r="R838" s="507"/>
      <c r="S838" s="507"/>
      <c r="T838" s="507"/>
      <c r="U838" s="507"/>
      <c r="V838" s="507"/>
      <c r="W838" s="507"/>
      <c r="X838" s="507"/>
      <c r="Y838" s="507"/>
      <c r="Z838" s="507"/>
    </row>
    <row r="839">
      <c r="A839" s="507"/>
      <c r="B839" s="572"/>
      <c r="C839" s="572"/>
      <c r="D839" s="572"/>
      <c r="E839" s="572"/>
      <c r="F839" s="572"/>
      <c r="G839" s="572"/>
      <c r="H839" s="572"/>
      <c r="I839" s="572"/>
      <c r="J839" s="507"/>
      <c r="K839" s="507"/>
      <c r="L839" s="507"/>
      <c r="M839" s="507"/>
      <c r="N839" s="507"/>
      <c r="O839" s="507"/>
      <c r="P839" s="507"/>
      <c r="Q839" s="507"/>
      <c r="R839" s="507"/>
      <c r="S839" s="507"/>
      <c r="T839" s="507"/>
      <c r="U839" s="507"/>
      <c r="V839" s="507"/>
      <c r="W839" s="507"/>
      <c r="X839" s="507"/>
      <c r="Y839" s="507"/>
      <c r="Z839" s="507"/>
    </row>
    <row r="840">
      <c r="A840" s="507"/>
      <c r="B840" s="572"/>
      <c r="C840" s="572"/>
      <c r="D840" s="572"/>
      <c r="E840" s="572"/>
      <c r="F840" s="572"/>
      <c r="G840" s="572"/>
      <c r="H840" s="572"/>
      <c r="I840" s="572"/>
      <c r="J840" s="507"/>
      <c r="K840" s="507"/>
      <c r="L840" s="507"/>
      <c r="M840" s="507"/>
      <c r="N840" s="507"/>
      <c r="O840" s="507"/>
      <c r="P840" s="507"/>
      <c r="Q840" s="507"/>
      <c r="R840" s="507"/>
      <c r="S840" s="507"/>
      <c r="T840" s="507"/>
      <c r="U840" s="507"/>
      <c r="V840" s="507"/>
      <c r="W840" s="507"/>
      <c r="X840" s="507"/>
      <c r="Y840" s="507"/>
      <c r="Z840" s="507"/>
    </row>
    <row r="841">
      <c r="A841" s="507"/>
      <c r="B841" s="572"/>
      <c r="C841" s="572"/>
      <c r="D841" s="572"/>
      <c r="E841" s="572"/>
      <c r="F841" s="572"/>
      <c r="G841" s="572"/>
      <c r="H841" s="572"/>
      <c r="I841" s="572"/>
      <c r="J841" s="507"/>
      <c r="K841" s="507"/>
      <c r="L841" s="507"/>
      <c r="M841" s="507"/>
      <c r="N841" s="507"/>
      <c r="O841" s="507"/>
      <c r="P841" s="507"/>
      <c r="Q841" s="507"/>
      <c r="R841" s="507"/>
      <c r="S841" s="507"/>
      <c r="T841" s="507"/>
      <c r="U841" s="507"/>
      <c r="V841" s="507"/>
      <c r="W841" s="507"/>
      <c r="X841" s="507"/>
      <c r="Y841" s="507"/>
      <c r="Z841" s="507"/>
    </row>
    <row r="842">
      <c r="A842" s="507"/>
      <c r="B842" s="572"/>
      <c r="C842" s="572"/>
      <c r="D842" s="572"/>
      <c r="E842" s="572"/>
      <c r="F842" s="572"/>
      <c r="G842" s="572"/>
      <c r="H842" s="572"/>
      <c r="I842" s="572"/>
      <c r="J842" s="507"/>
      <c r="K842" s="507"/>
      <c r="L842" s="507"/>
      <c r="M842" s="507"/>
      <c r="N842" s="507"/>
      <c r="O842" s="507"/>
      <c r="P842" s="507"/>
      <c r="Q842" s="507"/>
      <c r="R842" s="507"/>
      <c r="S842" s="507"/>
      <c r="T842" s="507"/>
      <c r="U842" s="507"/>
      <c r="V842" s="507"/>
      <c r="W842" s="507"/>
      <c r="X842" s="507"/>
      <c r="Y842" s="507"/>
      <c r="Z842" s="507"/>
    </row>
    <row r="843">
      <c r="A843" s="507"/>
      <c r="B843" s="572"/>
      <c r="C843" s="572"/>
      <c r="D843" s="572"/>
      <c r="E843" s="572"/>
      <c r="F843" s="572"/>
      <c r="G843" s="572"/>
      <c r="H843" s="572"/>
      <c r="I843" s="572"/>
      <c r="J843" s="507"/>
      <c r="K843" s="507"/>
      <c r="L843" s="507"/>
      <c r="M843" s="507"/>
      <c r="N843" s="507"/>
      <c r="O843" s="507"/>
      <c r="P843" s="507"/>
      <c r="Q843" s="507"/>
      <c r="R843" s="507"/>
      <c r="S843" s="507"/>
      <c r="T843" s="507"/>
      <c r="U843" s="507"/>
      <c r="V843" s="507"/>
      <c r="W843" s="507"/>
      <c r="X843" s="507"/>
      <c r="Y843" s="507"/>
      <c r="Z843" s="507"/>
    </row>
    <row r="844">
      <c r="A844" s="507"/>
      <c r="B844" s="572"/>
      <c r="C844" s="572"/>
      <c r="D844" s="572"/>
      <c r="E844" s="572"/>
      <c r="F844" s="572"/>
      <c r="G844" s="572"/>
      <c r="H844" s="572"/>
      <c r="I844" s="572"/>
      <c r="J844" s="507"/>
      <c r="K844" s="507"/>
      <c r="L844" s="507"/>
      <c r="M844" s="507"/>
      <c r="N844" s="507"/>
      <c r="O844" s="507"/>
      <c r="P844" s="507"/>
      <c r="Q844" s="507"/>
      <c r="R844" s="507"/>
      <c r="S844" s="507"/>
      <c r="T844" s="507"/>
      <c r="U844" s="507"/>
      <c r="V844" s="507"/>
      <c r="W844" s="507"/>
      <c r="X844" s="507"/>
      <c r="Y844" s="507"/>
      <c r="Z844" s="507"/>
    </row>
    <row r="845">
      <c r="A845" s="507"/>
      <c r="B845" s="572"/>
      <c r="C845" s="572"/>
      <c r="D845" s="572"/>
      <c r="E845" s="572"/>
      <c r="F845" s="572"/>
      <c r="G845" s="572"/>
      <c r="H845" s="572"/>
      <c r="I845" s="572"/>
      <c r="J845" s="507"/>
      <c r="K845" s="507"/>
      <c r="L845" s="507"/>
      <c r="M845" s="507"/>
      <c r="N845" s="507"/>
      <c r="O845" s="507"/>
      <c r="P845" s="507"/>
      <c r="Q845" s="507"/>
      <c r="R845" s="507"/>
      <c r="S845" s="507"/>
      <c r="T845" s="507"/>
      <c r="U845" s="507"/>
      <c r="V845" s="507"/>
      <c r="W845" s="507"/>
      <c r="X845" s="507"/>
      <c r="Y845" s="507"/>
      <c r="Z845" s="507"/>
    </row>
    <row r="846">
      <c r="A846" s="507"/>
      <c r="B846" s="572"/>
      <c r="C846" s="572"/>
      <c r="D846" s="572"/>
      <c r="E846" s="572"/>
      <c r="F846" s="572"/>
      <c r="G846" s="572"/>
      <c r="H846" s="572"/>
      <c r="I846" s="572"/>
      <c r="J846" s="507"/>
      <c r="K846" s="507"/>
      <c r="L846" s="507"/>
      <c r="M846" s="507"/>
      <c r="N846" s="507"/>
      <c r="O846" s="507"/>
      <c r="P846" s="507"/>
      <c r="Q846" s="507"/>
      <c r="R846" s="507"/>
      <c r="S846" s="507"/>
      <c r="T846" s="507"/>
      <c r="U846" s="507"/>
      <c r="V846" s="507"/>
      <c r="W846" s="507"/>
      <c r="X846" s="507"/>
      <c r="Y846" s="507"/>
      <c r="Z846" s="507"/>
    </row>
    <row r="847">
      <c r="A847" s="507"/>
      <c r="B847" s="572"/>
      <c r="C847" s="572"/>
      <c r="D847" s="572"/>
      <c r="E847" s="572"/>
      <c r="F847" s="572"/>
      <c r="G847" s="572"/>
      <c r="H847" s="572"/>
      <c r="I847" s="572"/>
      <c r="J847" s="507"/>
      <c r="K847" s="507"/>
      <c r="L847" s="507"/>
      <c r="M847" s="507"/>
      <c r="N847" s="507"/>
      <c r="O847" s="507"/>
      <c r="P847" s="507"/>
      <c r="Q847" s="507"/>
      <c r="R847" s="507"/>
      <c r="S847" s="507"/>
      <c r="T847" s="507"/>
      <c r="U847" s="507"/>
      <c r="V847" s="507"/>
      <c r="W847" s="507"/>
      <c r="X847" s="507"/>
      <c r="Y847" s="507"/>
      <c r="Z847" s="507"/>
    </row>
    <row r="848">
      <c r="A848" s="507"/>
      <c r="B848" s="572"/>
      <c r="C848" s="572"/>
      <c r="D848" s="572"/>
      <c r="E848" s="572"/>
      <c r="F848" s="572"/>
      <c r="G848" s="572"/>
      <c r="H848" s="572"/>
      <c r="I848" s="572"/>
      <c r="J848" s="507"/>
      <c r="K848" s="507"/>
      <c r="L848" s="507"/>
      <c r="M848" s="507"/>
      <c r="N848" s="507"/>
      <c r="O848" s="507"/>
      <c r="P848" s="507"/>
      <c r="Q848" s="507"/>
      <c r="R848" s="507"/>
      <c r="S848" s="507"/>
      <c r="T848" s="507"/>
      <c r="U848" s="507"/>
      <c r="V848" s="507"/>
      <c r="W848" s="507"/>
      <c r="X848" s="507"/>
      <c r="Y848" s="507"/>
      <c r="Z848" s="507"/>
    </row>
    <row r="849">
      <c r="A849" s="507"/>
      <c r="B849" s="572"/>
      <c r="C849" s="572"/>
      <c r="D849" s="572"/>
      <c r="E849" s="572"/>
      <c r="F849" s="572"/>
      <c r="G849" s="572"/>
      <c r="H849" s="572"/>
      <c r="I849" s="572"/>
      <c r="J849" s="507"/>
      <c r="K849" s="507"/>
      <c r="L849" s="507"/>
      <c r="M849" s="507"/>
      <c r="N849" s="507"/>
      <c r="O849" s="507"/>
      <c r="P849" s="507"/>
      <c r="Q849" s="507"/>
      <c r="R849" s="507"/>
      <c r="S849" s="507"/>
      <c r="T849" s="507"/>
      <c r="U849" s="507"/>
      <c r="V849" s="507"/>
      <c r="W849" s="507"/>
      <c r="X849" s="507"/>
      <c r="Y849" s="507"/>
      <c r="Z849" s="507"/>
    </row>
    <row r="850">
      <c r="A850" s="507"/>
      <c r="B850" s="572"/>
      <c r="C850" s="572"/>
      <c r="D850" s="572"/>
      <c r="E850" s="572"/>
      <c r="F850" s="572"/>
      <c r="G850" s="572"/>
      <c r="H850" s="572"/>
      <c r="I850" s="572"/>
      <c r="J850" s="507"/>
      <c r="K850" s="507"/>
      <c r="L850" s="507"/>
      <c r="M850" s="507"/>
      <c r="N850" s="507"/>
      <c r="O850" s="507"/>
      <c r="P850" s="507"/>
      <c r="Q850" s="507"/>
      <c r="R850" s="507"/>
      <c r="S850" s="507"/>
      <c r="T850" s="507"/>
      <c r="U850" s="507"/>
      <c r="V850" s="507"/>
      <c r="W850" s="507"/>
      <c r="X850" s="507"/>
      <c r="Y850" s="507"/>
      <c r="Z850" s="507"/>
    </row>
    <row r="851">
      <c r="A851" s="507"/>
      <c r="B851" s="572"/>
      <c r="C851" s="572"/>
      <c r="D851" s="572"/>
      <c r="E851" s="572"/>
      <c r="F851" s="572"/>
      <c r="G851" s="572"/>
      <c r="H851" s="572"/>
      <c r="I851" s="572"/>
      <c r="J851" s="507"/>
      <c r="K851" s="507"/>
      <c r="L851" s="507"/>
      <c r="M851" s="507"/>
      <c r="N851" s="507"/>
      <c r="O851" s="507"/>
      <c r="P851" s="507"/>
      <c r="Q851" s="507"/>
      <c r="R851" s="507"/>
      <c r="S851" s="507"/>
      <c r="T851" s="507"/>
      <c r="U851" s="507"/>
      <c r="V851" s="507"/>
      <c r="W851" s="507"/>
      <c r="X851" s="507"/>
      <c r="Y851" s="507"/>
      <c r="Z851" s="507"/>
    </row>
    <row r="852">
      <c r="A852" s="507"/>
      <c r="B852" s="572"/>
      <c r="C852" s="572"/>
      <c r="D852" s="572"/>
      <c r="E852" s="572"/>
      <c r="F852" s="572"/>
      <c r="G852" s="572"/>
      <c r="H852" s="572"/>
      <c r="I852" s="572"/>
      <c r="J852" s="507"/>
      <c r="K852" s="507"/>
      <c r="L852" s="507"/>
      <c r="M852" s="507"/>
      <c r="N852" s="507"/>
      <c r="O852" s="507"/>
      <c r="P852" s="507"/>
      <c r="Q852" s="507"/>
      <c r="R852" s="507"/>
      <c r="S852" s="507"/>
      <c r="T852" s="507"/>
      <c r="U852" s="507"/>
      <c r="V852" s="507"/>
      <c r="W852" s="507"/>
      <c r="X852" s="507"/>
      <c r="Y852" s="507"/>
      <c r="Z852" s="507"/>
    </row>
    <row r="853">
      <c r="A853" s="507"/>
      <c r="B853" s="572"/>
      <c r="C853" s="572"/>
      <c r="D853" s="572"/>
      <c r="E853" s="572"/>
      <c r="F853" s="572"/>
      <c r="G853" s="572"/>
      <c r="H853" s="572"/>
      <c r="I853" s="572"/>
      <c r="J853" s="507"/>
      <c r="K853" s="507"/>
      <c r="L853" s="507"/>
      <c r="M853" s="507"/>
      <c r="N853" s="507"/>
      <c r="O853" s="507"/>
      <c r="P853" s="507"/>
      <c r="Q853" s="507"/>
      <c r="R853" s="507"/>
      <c r="S853" s="507"/>
      <c r="T853" s="507"/>
      <c r="U853" s="507"/>
      <c r="V853" s="507"/>
      <c r="W853" s="507"/>
      <c r="X853" s="507"/>
      <c r="Y853" s="507"/>
      <c r="Z853" s="507"/>
    </row>
    <row r="854">
      <c r="A854" s="507"/>
      <c r="B854" s="572"/>
      <c r="C854" s="572"/>
      <c r="D854" s="572"/>
      <c r="E854" s="572"/>
      <c r="F854" s="572"/>
      <c r="G854" s="572"/>
      <c r="H854" s="572"/>
      <c r="I854" s="572"/>
      <c r="J854" s="507"/>
      <c r="K854" s="507"/>
      <c r="L854" s="507"/>
      <c r="M854" s="507"/>
      <c r="N854" s="507"/>
      <c r="O854" s="507"/>
      <c r="P854" s="507"/>
      <c r="Q854" s="507"/>
      <c r="R854" s="507"/>
      <c r="S854" s="507"/>
      <c r="T854" s="507"/>
      <c r="U854" s="507"/>
      <c r="V854" s="507"/>
      <c r="W854" s="507"/>
      <c r="X854" s="507"/>
      <c r="Y854" s="507"/>
      <c r="Z854" s="507"/>
    </row>
    <row r="855">
      <c r="A855" s="507"/>
      <c r="B855" s="572"/>
      <c r="C855" s="572"/>
      <c r="D855" s="572"/>
      <c r="E855" s="572"/>
      <c r="F855" s="572"/>
      <c r="G855" s="572"/>
      <c r="H855" s="572"/>
      <c r="I855" s="572"/>
      <c r="J855" s="507"/>
      <c r="K855" s="507"/>
      <c r="L855" s="507"/>
      <c r="M855" s="507"/>
      <c r="N855" s="507"/>
      <c r="O855" s="507"/>
      <c r="P855" s="507"/>
      <c r="Q855" s="507"/>
      <c r="R855" s="507"/>
      <c r="S855" s="507"/>
      <c r="T855" s="507"/>
      <c r="U855" s="507"/>
      <c r="V855" s="507"/>
      <c r="W855" s="507"/>
      <c r="X855" s="507"/>
      <c r="Y855" s="507"/>
      <c r="Z855" s="507"/>
    </row>
    <row r="856">
      <c r="A856" s="507"/>
      <c r="B856" s="572"/>
      <c r="C856" s="572"/>
      <c r="D856" s="572"/>
      <c r="E856" s="572"/>
      <c r="F856" s="572"/>
      <c r="G856" s="572"/>
      <c r="H856" s="572"/>
      <c r="I856" s="572"/>
      <c r="J856" s="507"/>
      <c r="K856" s="507"/>
      <c r="L856" s="507"/>
      <c r="M856" s="507"/>
      <c r="N856" s="507"/>
      <c r="O856" s="507"/>
      <c r="P856" s="507"/>
      <c r="Q856" s="507"/>
      <c r="R856" s="507"/>
      <c r="S856" s="507"/>
      <c r="T856" s="507"/>
      <c r="U856" s="507"/>
      <c r="V856" s="507"/>
      <c r="W856" s="507"/>
      <c r="X856" s="507"/>
      <c r="Y856" s="507"/>
      <c r="Z856" s="507"/>
    </row>
    <row r="857">
      <c r="A857" s="507"/>
      <c r="B857" s="572"/>
      <c r="C857" s="572"/>
      <c r="D857" s="572"/>
      <c r="E857" s="572"/>
      <c r="F857" s="572"/>
      <c r="G857" s="572"/>
      <c r="H857" s="572"/>
      <c r="I857" s="572"/>
      <c r="J857" s="507"/>
      <c r="K857" s="507"/>
      <c r="L857" s="507"/>
      <c r="M857" s="507"/>
      <c r="N857" s="507"/>
      <c r="O857" s="507"/>
      <c r="P857" s="507"/>
      <c r="Q857" s="507"/>
      <c r="R857" s="507"/>
      <c r="S857" s="507"/>
      <c r="T857" s="507"/>
      <c r="U857" s="507"/>
      <c r="V857" s="507"/>
      <c r="W857" s="507"/>
      <c r="X857" s="507"/>
      <c r="Y857" s="507"/>
      <c r="Z857" s="507"/>
    </row>
    <row r="858">
      <c r="A858" s="507"/>
      <c r="B858" s="572"/>
      <c r="C858" s="572"/>
      <c r="D858" s="572"/>
      <c r="E858" s="572"/>
      <c r="F858" s="572"/>
      <c r="G858" s="572"/>
      <c r="H858" s="572"/>
      <c r="I858" s="572"/>
      <c r="J858" s="507"/>
      <c r="K858" s="507"/>
      <c r="L858" s="507"/>
      <c r="M858" s="507"/>
      <c r="N858" s="507"/>
      <c r="O858" s="507"/>
      <c r="P858" s="507"/>
      <c r="Q858" s="507"/>
      <c r="R858" s="507"/>
      <c r="S858" s="507"/>
      <c r="T858" s="507"/>
      <c r="U858" s="507"/>
      <c r="V858" s="507"/>
      <c r="W858" s="507"/>
      <c r="X858" s="507"/>
      <c r="Y858" s="507"/>
      <c r="Z858" s="507"/>
    </row>
    <row r="859">
      <c r="A859" s="507"/>
      <c r="B859" s="572"/>
      <c r="C859" s="572"/>
      <c r="D859" s="572"/>
      <c r="E859" s="572"/>
      <c r="F859" s="572"/>
      <c r="G859" s="572"/>
      <c r="H859" s="572"/>
      <c r="I859" s="572"/>
      <c r="J859" s="507"/>
      <c r="K859" s="507"/>
      <c r="L859" s="507"/>
      <c r="M859" s="507"/>
      <c r="N859" s="507"/>
      <c r="O859" s="507"/>
      <c r="P859" s="507"/>
      <c r="Q859" s="507"/>
      <c r="R859" s="507"/>
      <c r="S859" s="507"/>
      <c r="T859" s="507"/>
      <c r="U859" s="507"/>
      <c r="V859" s="507"/>
      <c r="W859" s="507"/>
      <c r="X859" s="507"/>
      <c r="Y859" s="507"/>
      <c r="Z859" s="507"/>
    </row>
    <row r="860">
      <c r="A860" s="507"/>
      <c r="B860" s="572"/>
      <c r="C860" s="572"/>
      <c r="D860" s="572"/>
      <c r="E860" s="572"/>
      <c r="F860" s="572"/>
      <c r="G860" s="572"/>
      <c r="H860" s="572"/>
      <c r="I860" s="572"/>
      <c r="J860" s="507"/>
      <c r="K860" s="507"/>
      <c r="L860" s="507"/>
      <c r="M860" s="507"/>
      <c r="N860" s="507"/>
      <c r="O860" s="507"/>
      <c r="P860" s="507"/>
      <c r="Q860" s="507"/>
      <c r="R860" s="507"/>
      <c r="S860" s="507"/>
      <c r="T860" s="507"/>
      <c r="U860" s="507"/>
      <c r="V860" s="507"/>
      <c r="W860" s="507"/>
      <c r="X860" s="507"/>
      <c r="Y860" s="507"/>
      <c r="Z860" s="507"/>
    </row>
    <row r="861">
      <c r="A861" s="507"/>
      <c r="B861" s="572"/>
      <c r="C861" s="572"/>
      <c r="D861" s="572"/>
      <c r="E861" s="572"/>
      <c r="F861" s="572"/>
      <c r="G861" s="572"/>
      <c r="H861" s="572"/>
      <c r="I861" s="572"/>
      <c r="J861" s="507"/>
      <c r="K861" s="507"/>
      <c r="L861" s="507"/>
      <c r="M861" s="507"/>
      <c r="N861" s="507"/>
      <c r="O861" s="507"/>
      <c r="P861" s="507"/>
      <c r="Q861" s="507"/>
      <c r="R861" s="507"/>
      <c r="S861" s="507"/>
      <c r="T861" s="507"/>
      <c r="U861" s="507"/>
      <c r="V861" s="507"/>
      <c r="W861" s="507"/>
      <c r="X861" s="507"/>
      <c r="Y861" s="507"/>
      <c r="Z861" s="507"/>
    </row>
    <row r="862">
      <c r="A862" s="507"/>
      <c r="B862" s="572"/>
      <c r="C862" s="572"/>
      <c r="D862" s="572"/>
      <c r="E862" s="572"/>
      <c r="F862" s="572"/>
      <c r="G862" s="572"/>
      <c r="H862" s="572"/>
      <c r="I862" s="572"/>
      <c r="J862" s="507"/>
      <c r="K862" s="507"/>
      <c r="L862" s="507"/>
      <c r="M862" s="507"/>
      <c r="N862" s="507"/>
      <c r="O862" s="507"/>
      <c r="P862" s="507"/>
      <c r="Q862" s="507"/>
      <c r="R862" s="507"/>
      <c r="S862" s="507"/>
      <c r="T862" s="507"/>
      <c r="U862" s="507"/>
      <c r="V862" s="507"/>
      <c r="W862" s="507"/>
      <c r="X862" s="507"/>
      <c r="Y862" s="507"/>
      <c r="Z862" s="507"/>
    </row>
    <row r="863">
      <c r="A863" s="507"/>
      <c r="B863" s="572"/>
      <c r="C863" s="572"/>
      <c r="D863" s="572"/>
      <c r="E863" s="572"/>
      <c r="F863" s="572"/>
      <c r="G863" s="572"/>
      <c r="H863" s="572"/>
      <c r="I863" s="572"/>
      <c r="J863" s="507"/>
      <c r="K863" s="507"/>
      <c r="L863" s="507"/>
      <c r="M863" s="507"/>
      <c r="N863" s="507"/>
      <c r="O863" s="507"/>
      <c r="P863" s="507"/>
      <c r="Q863" s="507"/>
      <c r="R863" s="507"/>
      <c r="S863" s="507"/>
      <c r="T863" s="507"/>
      <c r="U863" s="507"/>
      <c r="V863" s="507"/>
      <c r="W863" s="507"/>
      <c r="X863" s="507"/>
      <c r="Y863" s="507"/>
      <c r="Z863" s="507"/>
    </row>
    <row r="864">
      <c r="A864" s="507"/>
      <c r="B864" s="572"/>
      <c r="C864" s="572"/>
      <c r="D864" s="572"/>
      <c r="E864" s="572"/>
      <c r="F864" s="572"/>
      <c r="G864" s="572"/>
      <c r="H864" s="572"/>
      <c r="I864" s="572"/>
      <c r="J864" s="507"/>
      <c r="K864" s="507"/>
      <c r="L864" s="507"/>
      <c r="M864" s="507"/>
      <c r="N864" s="507"/>
      <c r="O864" s="507"/>
      <c r="P864" s="507"/>
      <c r="Q864" s="507"/>
      <c r="R864" s="507"/>
      <c r="S864" s="507"/>
      <c r="T864" s="507"/>
      <c r="U864" s="507"/>
      <c r="V864" s="507"/>
      <c r="W864" s="507"/>
      <c r="X864" s="507"/>
      <c r="Y864" s="507"/>
      <c r="Z864" s="507"/>
    </row>
    <row r="865">
      <c r="A865" s="507"/>
      <c r="B865" s="572"/>
      <c r="C865" s="572"/>
      <c r="D865" s="572"/>
      <c r="E865" s="572"/>
      <c r="F865" s="572"/>
      <c r="G865" s="572"/>
      <c r="H865" s="572"/>
      <c r="I865" s="572"/>
      <c r="J865" s="507"/>
      <c r="K865" s="507"/>
      <c r="L865" s="507"/>
      <c r="M865" s="507"/>
      <c r="N865" s="507"/>
      <c r="O865" s="507"/>
      <c r="P865" s="507"/>
      <c r="Q865" s="507"/>
      <c r="R865" s="507"/>
      <c r="S865" s="507"/>
      <c r="T865" s="507"/>
      <c r="U865" s="507"/>
      <c r="V865" s="507"/>
      <c r="W865" s="507"/>
      <c r="X865" s="507"/>
      <c r="Y865" s="507"/>
      <c r="Z865" s="507"/>
    </row>
    <row r="866">
      <c r="A866" s="507"/>
      <c r="B866" s="572"/>
      <c r="C866" s="572"/>
      <c r="D866" s="572"/>
      <c r="E866" s="572"/>
      <c r="F866" s="572"/>
      <c r="G866" s="572"/>
      <c r="H866" s="572"/>
      <c r="I866" s="572"/>
      <c r="J866" s="507"/>
      <c r="K866" s="507"/>
      <c r="L866" s="507"/>
      <c r="M866" s="507"/>
      <c r="N866" s="507"/>
      <c r="O866" s="507"/>
      <c r="P866" s="507"/>
      <c r="Q866" s="507"/>
      <c r="R866" s="507"/>
      <c r="S866" s="507"/>
      <c r="T866" s="507"/>
      <c r="U866" s="507"/>
      <c r="V866" s="507"/>
      <c r="W866" s="507"/>
      <c r="X866" s="507"/>
      <c r="Y866" s="507"/>
      <c r="Z866" s="507"/>
    </row>
    <row r="867">
      <c r="A867" s="507"/>
      <c r="B867" s="572"/>
      <c r="C867" s="572"/>
      <c r="D867" s="572"/>
      <c r="E867" s="572"/>
      <c r="F867" s="572"/>
      <c r="G867" s="572"/>
      <c r="H867" s="572"/>
      <c r="I867" s="572"/>
      <c r="J867" s="507"/>
      <c r="K867" s="507"/>
      <c r="L867" s="507"/>
      <c r="M867" s="507"/>
      <c r="N867" s="507"/>
      <c r="O867" s="507"/>
      <c r="P867" s="507"/>
      <c r="Q867" s="507"/>
      <c r="R867" s="507"/>
      <c r="S867" s="507"/>
      <c r="T867" s="507"/>
      <c r="U867" s="507"/>
      <c r="V867" s="507"/>
      <c r="W867" s="507"/>
      <c r="X867" s="507"/>
      <c r="Y867" s="507"/>
      <c r="Z867" s="507"/>
    </row>
    <row r="868">
      <c r="A868" s="507"/>
      <c r="B868" s="572"/>
      <c r="C868" s="572"/>
      <c r="D868" s="572"/>
      <c r="E868" s="572"/>
      <c r="F868" s="572"/>
      <c r="G868" s="572"/>
      <c r="H868" s="572"/>
      <c r="I868" s="572"/>
      <c r="J868" s="507"/>
      <c r="K868" s="507"/>
      <c r="L868" s="507"/>
      <c r="M868" s="507"/>
      <c r="N868" s="507"/>
      <c r="O868" s="507"/>
      <c r="P868" s="507"/>
      <c r="Q868" s="507"/>
      <c r="R868" s="507"/>
      <c r="S868" s="507"/>
      <c r="T868" s="507"/>
      <c r="U868" s="507"/>
      <c r="V868" s="507"/>
      <c r="W868" s="507"/>
      <c r="X868" s="507"/>
      <c r="Y868" s="507"/>
      <c r="Z868" s="507"/>
    </row>
    <row r="869">
      <c r="A869" s="507"/>
      <c r="B869" s="572"/>
      <c r="C869" s="572"/>
      <c r="D869" s="572"/>
      <c r="E869" s="572"/>
      <c r="F869" s="572"/>
      <c r="G869" s="572"/>
      <c r="H869" s="572"/>
      <c r="I869" s="572"/>
      <c r="J869" s="507"/>
      <c r="K869" s="507"/>
      <c r="L869" s="507"/>
      <c r="M869" s="507"/>
      <c r="N869" s="507"/>
      <c r="O869" s="507"/>
      <c r="P869" s="507"/>
      <c r="Q869" s="507"/>
      <c r="R869" s="507"/>
      <c r="S869" s="507"/>
      <c r="T869" s="507"/>
      <c r="U869" s="507"/>
      <c r="V869" s="507"/>
      <c r="W869" s="507"/>
      <c r="X869" s="507"/>
      <c r="Y869" s="507"/>
      <c r="Z869" s="507"/>
    </row>
    <row r="870">
      <c r="A870" s="507"/>
      <c r="B870" s="572"/>
      <c r="C870" s="572"/>
      <c r="D870" s="572"/>
      <c r="E870" s="572"/>
      <c r="F870" s="572"/>
      <c r="G870" s="572"/>
      <c r="H870" s="572"/>
      <c r="I870" s="572"/>
      <c r="J870" s="507"/>
      <c r="K870" s="507"/>
      <c r="L870" s="507"/>
      <c r="M870" s="507"/>
      <c r="N870" s="507"/>
      <c r="O870" s="507"/>
      <c r="P870" s="507"/>
      <c r="Q870" s="507"/>
      <c r="R870" s="507"/>
      <c r="S870" s="507"/>
      <c r="T870" s="507"/>
      <c r="U870" s="507"/>
      <c r="V870" s="507"/>
      <c r="W870" s="507"/>
      <c r="X870" s="507"/>
      <c r="Y870" s="507"/>
      <c r="Z870" s="507"/>
    </row>
    <row r="871">
      <c r="A871" s="507"/>
      <c r="B871" s="572"/>
      <c r="C871" s="572"/>
      <c r="D871" s="572"/>
      <c r="E871" s="572"/>
      <c r="F871" s="572"/>
      <c r="G871" s="572"/>
      <c r="H871" s="572"/>
      <c r="I871" s="572"/>
      <c r="J871" s="507"/>
      <c r="K871" s="507"/>
      <c r="L871" s="507"/>
      <c r="M871" s="507"/>
      <c r="N871" s="507"/>
      <c r="O871" s="507"/>
      <c r="P871" s="507"/>
      <c r="Q871" s="507"/>
      <c r="R871" s="507"/>
      <c r="S871" s="507"/>
      <c r="T871" s="507"/>
      <c r="U871" s="507"/>
      <c r="V871" s="507"/>
      <c r="W871" s="507"/>
      <c r="X871" s="507"/>
      <c r="Y871" s="507"/>
      <c r="Z871" s="507"/>
    </row>
    <row r="872">
      <c r="A872" s="507"/>
      <c r="B872" s="572"/>
      <c r="C872" s="572"/>
      <c r="D872" s="572"/>
      <c r="E872" s="572"/>
      <c r="F872" s="572"/>
      <c r="G872" s="572"/>
      <c r="H872" s="572"/>
      <c r="I872" s="572"/>
      <c r="J872" s="507"/>
      <c r="K872" s="507"/>
      <c r="L872" s="507"/>
      <c r="M872" s="507"/>
      <c r="N872" s="507"/>
      <c r="O872" s="507"/>
      <c r="P872" s="507"/>
      <c r="Q872" s="507"/>
      <c r="R872" s="507"/>
      <c r="S872" s="507"/>
      <c r="T872" s="507"/>
      <c r="U872" s="507"/>
      <c r="V872" s="507"/>
      <c r="W872" s="507"/>
      <c r="X872" s="507"/>
      <c r="Y872" s="507"/>
      <c r="Z872" s="507"/>
    </row>
    <row r="873">
      <c r="A873" s="507"/>
      <c r="B873" s="572"/>
      <c r="C873" s="572"/>
      <c r="D873" s="572"/>
      <c r="E873" s="572"/>
      <c r="F873" s="572"/>
      <c r="G873" s="572"/>
      <c r="H873" s="572"/>
      <c r="I873" s="572"/>
      <c r="J873" s="507"/>
      <c r="K873" s="507"/>
      <c r="L873" s="507"/>
      <c r="M873" s="507"/>
      <c r="N873" s="507"/>
      <c r="O873" s="507"/>
      <c r="P873" s="507"/>
      <c r="Q873" s="507"/>
      <c r="R873" s="507"/>
      <c r="S873" s="507"/>
      <c r="T873" s="507"/>
      <c r="U873" s="507"/>
      <c r="V873" s="507"/>
      <c r="W873" s="507"/>
      <c r="X873" s="507"/>
      <c r="Y873" s="507"/>
      <c r="Z873" s="507"/>
    </row>
    <row r="874">
      <c r="A874" s="507"/>
      <c r="B874" s="572"/>
      <c r="C874" s="572"/>
      <c r="D874" s="572"/>
      <c r="E874" s="572"/>
      <c r="F874" s="572"/>
      <c r="G874" s="572"/>
      <c r="H874" s="572"/>
      <c r="I874" s="572"/>
      <c r="J874" s="507"/>
      <c r="K874" s="507"/>
      <c r="L874" s="507"/>
      <c r="M874" s="507"/>
      <c r="N874" s="507"/>
      <c r="O874" s="507"/>
      <c r="P874" s="507"/>
      <c r="Q874" s="507"/>
      <c r="R874" s="507"/>
      <c r="S874" s="507"/>
      <c r="T874" s="507"/>
      <c r="U874" s="507"/>
      <c r="V874" s="507"/>
      <c r="W874" s="507"/>
      <c r="X874" s="507"/>
      <c r="Y874" s="507"/>
      <c r="Z874" s="507"/>
    </row>
    <row r="875">
      <c r="A875" s="507"/>
      <c r="B875" s="572"/>
      <c r="C875" s="572"/>
      <c r="D875" s="572"/>
      <c r="E875" s="572"/>
      <c r="F875" s="572"/>
      <c r="G875" s="572"/>
      <c r="H875" s="572"/>
      <c r="I875" s="572"/>
      <c r="J875" s="507"/>
      <c r="K875" s="507"/>
      <c r="L875" s="507"/>
      <c r="M875" s="507"/>
      <c r="N875" s="507"/>
      <c r="O875" s="507"/>
      <c r="P875" s="507"/>
      <c r="Q875" s="507"/>
      <c r="R875" s="507"/>
      <c r="S875" s="507"/>
      <c r="T875" s="507"/>
      <c r="U875" s="507"/>
      <c r="V875" s="507"/>
      <c r="W875" s="507"/>
      <c r="X875" s="507"/>
      <c r="Y875" s="507"/>
      <c r="Z875" s="507"/>
    </row>
    <row r="876">
      <c r="A876" s="507"/>
      <c r="B876" s="572"/>
      <c r="C876" s="572"/>
      <c r="D876" s="572"/>
      <c r="E876" s="572"/>
      <c r="F876" s="572"/>
      <c r="G876" s="572"/>
      <c r="H876" s="572"/>
      <c r="I876" s="572"/>
      <c r="J876" s="507"/>
      <c r="K876" s="507"/>
      <c r="L876" s="507"/>
      <c r="M876" s="507"/>
      <c r="N876" s="507"/>
      <c r="O876" s="507"/>
      <c r="P876" s="507"/>
      <c r="Q876" s="507"/>
      <c r="R876" s="507"/>
      <c r="S876" s="507"/>
      <c r="T876" s="507"/>
      <c r="U876" s="507"/>
      <c r="V876" s="507"/>
      <c r="W876" s="507"/>
      <c r="X876" s="507"/>
      <c r="Y876" s="507"/>
      <c r="Z876" s="507"/>
    </row>
    <row r="877">
      <c r="A877" s="507"/>
      <c r="B877" s="572"/>
      <c r="C877" s="572"/>
      <c r="D877" s="572"/>
      <c r="E877" s="572"/>
      <c r="F877" s="572"/>
      <c r="G877" s="572"/>
      <c r="H877" s="572"/>
      <c r="I877" s="572"/>
      <c r="J877" s="507"/>
      <c r="K877" s="507"/>
      <c r="L877" s="507"/>
      <c r="M877" s="507"/>
      <c r="N877" s="507"/>
      <c r="O877" s="507"/>
      <c r="P877" s="507"/>
      <c r="Q877" s="507"/>
      <c r="R877" s="507"/>
      <c r="S877" s="507"/>
      <c r="T877" s="507"/>
      <c r="U877" s="507"/>
      <c r="V877" s="507"/>
      <c r="W877" s="507"/>
      <c r="X877" s="507"/>
      <c r="Y877" s="507"/>
      <c r="Z877" s="507"/>
    </row>
    <row r="878">
      <c r="A878" s="507"/>
      <c r="B878" s="572"/>
      <c r="C878" s="572"/>
      <c r="D878" s="572"/>
      <c r="E878" s="572"/>
      <c r="F878" s="572"/>
      <c r="G878" s="572"/>
      <c r="H878" s="572"/>
      <c r="I878" s="572"/>
      <c r="J878" s="507"/>
      <c r="K878" s="507"/>
      <c r="L878" s="507"/>
      <c r="M878" s="507"/>
      <c r="N878" s="507"/>
      <c r="O878" s="507"/>
      <c r="P878" s="507"/>
      <c r="Q878" s="507"/>
      <c r="R878" s="507"/>
      <c r="S878" s="507"/>
      <c r="T878" s="507"/>
      <c r="U878" s="507"/>
      <c r="V878" s="507"/>
      <c r="W878" s="507"/>
      <c r="X878" s="507"/>
      <c r="Y878" s="507"/>
      <c r="Z878" s="507"/>
    </row>
    <row r="879">
      <c r="A879" s="507"/>
      <c r="B879" s="572"/>
      <c r="C879" s="572"/>
      <c r="D879" s="572"/>
      <c r="E879" s="572"/>
      <c r="F879" s="572"/>
      <c r="G879" s="572"/>
      <c r="H879" s="572"/>
      <c r="I879" s="572"/>
      <c r="J879" s="507"/>
      <c r="K879" s="507"/>
      <c r="L879" s="507"/>
      <c r="M879" s="507"/>
      <c r="N879" s="507"/>
      <c r="O879" s="507"/>
      <c r="P879" s="507"/>
      <c r="Q879" s="507"/>
      <c r="R879" s="507"/>
      <c r="S879" s="507"/>
      <c r="T879" s="507"/>
      <c r="U879" s="507"/>
      <c r="V879" s="507"/>
      <c r="W879" s="507"/>
      <c r="X879" s="507"/>
      <c r="Y879" s="507"/>
      <c r="Z879" s="507"/>
    </row>
    <row r="880">
      <c r="A880" s="507"/>
      <c r="B880" s="572"/>
      <c r="C880" s="572"/>
      <c r="D880" s="572"/>
      <c r="E880" s="572"/>
      <c r="F880" s="572"/>
      <c r="G880" s="572"/>
      <c r="H880" s="572"/>
      <c r="I880" s="572"/>
      <c r="J880" s="507"/>
      <c r="K880" s="507"/>
      <c r="L880" s="507"/>
      <c r="M880" s="507"/>
      <c r="N880" s="507"/>
      <c r="O880" s="507"/>
      <c r="P880" s="507"/>
      <c r="Q880" s="507"/>
      <c r="R880" s="507"/>
      <c r="S880" s="507"/>
      <c r="T880" s="507"/>
      <c r="U880" s="507"/>
      <c r="V880" s="507"/>
      <c r="W880" s="507"/>
      <c r="X880" s="507"/>
      <c r="Y880" s="507"/>
      <c r="Z880" s="507"/>
    </row>
    <row r="881">
      <c r="A881" s="507"/>
      <c r="B881" s="572"/>
      <c r="C881" s="572"/>
      <c r="D881" s="572"/>
      <c r="E881" s="572"/>
      <c r="F881" s="572"/>
      <c r="G881" s="572"/>
      <c r="H881" s="572"/>
      <c r="I881" s="572"/>
      <c r="J881" s="507"/>
      <c r="K881" s="507"/>
      <c r="L881" s="507"/>
      <c r="M881" s="507"/>
      <c r="N881" s="507"/>
      <c r="O881" s="507"/>
      <c r="P881" s="507"/>
      <c r="Q881" s="507"/>
      <c r="R881" s="507"/>
      <c r="S881" s="507"/>
      <c r="T881" s="507"/>
      <c r="U881" s="507"/>
      <c r="V881" s="507"/>
      <c r="W881" s="507"/>
      <c r="X881" s="507"/>
      <c r="Y881" s="507"/>
      <c r="Z881" s="507"/>
    </row>
    <row r="882">
      <c r="A882" s="507"/>
      <c r="B882" s="572"/>
      <c r="C882" s="572"/>
      <c r="D882" s="572"/>
      <c r="E882" s="572"/>
      <c r="F882" s="572"/>
      <c r="G882" s="572"/>
      <c r="H882" s="572"/>
      <c r="I882" s="572"/>
      <c r="J882" s="507"/>
      <c r="K882" s="507"/>
      <c r="L882" s="507"/>
      <c r="M882" s="507"/>
      <c r="N882" s="507"/>
      <c r="O882" s="507"/>
      <c r="P882" s="507"/>
      <c r="Q882" s="507"/>
      <c r="R882" s="507"/>
      <c r="S882" s="507"/>
      <c r="T882" s="507"/>
      <c r="U882" s="507"/>
      <c r="V882" s="507"/>
      <c r="W882" s="507"/>
      <c r="X882" s="507"/>
      <c r="Y882" s="507"/>
      <c r="Z882" s="507"/>
    </row>
    <row r="883">
      <c r="A883" s="507"/>
      <c r="B883" s="572"/>
      <c r="C883" s="572"/>
      <c r="D883" s="572"/>
      <c r="E883" s="572"/>
      <c r="F883" s="572"/>
      <c r="G883" s="572"/>
      <c r="H883" s="572"/>
      <c r="I883" s="572"/>
      <c r="J883" s="507"/>
      <c r="K883" s="507"/>
      <c r="L883" s="507"/>
      <c r="M883" s="507"/>
      <c r="N883" s="507"/>
      <c r="O883" s="507"/>
      <c r="P883" s="507"/>
      <c r="Q883" s="507"/>
      <c r="R883" s="507"/>
      <c r="S883" s="507"/>
      <c r="T883" s="507"/>
      <c r="U883" s="507"/>
      <c r="V883" s="507"/>
      <c r="W883" s="507"/>
      <c r="X883" s="507"/>
      <c r="Y883" s="507"/>
      <c r="Z883" s="507"/>
    </row>
    <row r="884">
      <c r="A884" s="507"/>
      <c r="B884" s="572"/>
      <c r="C884" s="572"/>
      <c r="D884" s="572"/>
      <c r="E884" s="572"/>
      <c r="F884" s="572"/>
      <c r="G884" s="572"/>
      <c r="H884" s="572"/>
      <c r="I884" s="572"/>
      <c r="J884" s="507"/>
      <c r="K884" s="507"/>
      <c r="L884" s="507"/>
      <c r="M884" s="507"/>
      <c r="N884" s="507"/>
      <c r="O884" s="507"/>
      <c r="P884" s="507"/>
      <c r="Q884" s="507"/>
      <c r="R884" s="507"/>
      <c r="S884" s="507"/>
      <c r="T884" s="507"/>
      <c r="U884" s="507"/>
      <c r="V884" s="507"/>
      <c r="W884" s="507"/>
      <c r="X884" s="507"/>
      <c r="Y884" s="507"/>
      <c r="Z884" s="507"/>
    </row>
    <row r="885">
      <c r="A885" s="507"/>
      <c r="B885" s="572"/>
      <c r="C885" s="572"/>
      <c r="D885" s="572"/>
      <c r="E885" s="572"/>
      <c r="F885" s="572"/>
      <c r="G885" s="572"/>
      <c r="H885" s="572"/>
      <c r="I885" s="572"/>
      <c r="J885" s="507"/>
      <c r="K885" s="507"/>
      <c r="L885" s="507"/>
      <c r="M885" s="507"/>
      <c r="N885" s="507"/>
      <c r="O885" s="507"/>
      <c r="P885" s="507"/>
      <c r="Q885" s="507"/>
      <c r="R885" s="507"/>
      <c r="S885" s="507"/>
      <c r="T885" s="507"/>
      <c r="U885" s="507"/>
      <c r="V885" s="507"/>
      <c r="W885" s="507"/>
      <c r="X885" s="507"/>
      <c r="Y885" s="507"/>
      <c r="Z885" s="507"/>
    </row>
    <row r="886">
      <c r="A886" s="507"/>
      <c r="B886" s="572"/>
      <c r="C886" s="572"/>
      <c r="D886" s="572"/>
      <c r="E886" s="572"/>
      <c r="F886" s="572"/>
      <c r="G886" s="572"/>
      <c r="H886" s="572"/>
      <c r="I886" s="572"/>
      <c r="J886" s="507"/>
      <c r="K886" s="507"/>
      <c r="L886" s="507"/>
      <c r="M886" s="507"/>
      <c r="N886" s="507"/>
      <c r="O886" s="507"/>
      <c r="P886" s="507"/>
      <c r="Q886" s="507"/>
      <c r="R886" s="507"/>
      <c r="S886" s="507"/>
      <c r="T886" s="507"/>
      <c r="U886" s="507"/>
      <c r="V886" s="507"/>
      <c r="W886" s="507"/>
      <c r="X886" s="507"/>
      <c r="Y886" s="507"/>
      <c r="Z886" s="507"/>
    </row>
    <row r="887">
      <c r="A887" s="507"/>
      <c r="B887" s="572"/>
      <c r="C887" s="572"/>
      <c r="D887" s="572"/>
      <c r="E887" s="572"/>
      <c r="F887" s="572"/>
      <c r="G887" s="572"/>
      <c r="H887" s="572"/>
      <c r="I887" s="572"/>
      <c r="J887" s="507"/>
      <c r="K887" s="507"/>
      <c r="L887" s="507"/>
      <c r="M887" s="507"/>
      <c r="N887" s="507"/>
      <c r="O887" s="507"/>
      <c r="P887" s="507"/>
      <c r="Q887" s="507"/>
      <c r="R887" s="507"/>
      <c r="S887" s="507"/>
      <c r="T887" s="507"/>
      <c r="U887" s="507"/>
      <c r="V887" s="507"/>
      <c r="W887" s="507"/>
      <c r="X887" s="507"/>
      <c r="Y887" s="507"/>
      <c r="Z887" s="507"/>
    </row>
    <row r="888">
      <c r="A888" s="507"/>
      <c r="B888" s="572"/>
      <c r="C888" s="572"/>
      <c r="D888" s="572"/>
      <c r="E888" s="572"/>
      <c r="F888" s="572"/>
      <c r="G888" s="572"/>
      <c r="H888" s="572"/>
      <c r="I888" s="572"/>
      <c r="J888" s="507"/>
      <c r="K888" s="507"/>
      <c r="L888" s="507"/>
      <c r="M888" s="507"/>
      <c r="N888" s="507"/>
      <c r="O888" s="507"/>
      <c r="P888" s="507"/>
      <c r="Q888" s="507"/>
      <c r="R888" s="507"/>
      <c r="S888" s="507"/>
      <c r="T888" s="507"/>
      <c r="U888" s="507"/>
      <c r="V888" s="507"/>
      <c r="W888" s="507"/>
      <c r="X888" s="507"/>
      <c r="Y888" s="507"/>
      <c r="Z888" s="507"/>
    </row>
    <row r="889">
      <c r="A889" s="507"/>
      <c r="B889" s="572"/>
      <c r="C889" s="572"/>
      <c r="D889" s="572"/>
      <c r="E889" s="572"/>
      <c r="F889" s="572"/>
      <c r="G889" s="572"/>
      <c r="H889" s="572"/>
      <c r="I889" s="572"/>
      <c r="J889" s="507"/>
      <c r="K889" s="507"/>
      <c r="L889" s="507"/>
      <c r="M889" s="507"/>
      <c r="N889" s="507"/>
      <c r="O889" s="507"/>
      <c r="P889" s="507"/>
      <c r="Q889" s="507"/>
      <c r="R889" s="507"/>
      <c r="S889" s="507"/>
      <c r="T889" s="507"/>
      <c r="U889" s="507"/>
      <c r="V889" s="507"/>
      <c r="W889" s="507"/>
      <c r="X889" s="507"/>
      <c r="Y889" s="507"/>
      <c r="Z889" s="507"/>
    </row>
    <row r="890">
      <c r="A890" s="507"/>
      <c r="B890" s="572"/>
      <c r="C890" s="572"/>
      <c r="D890" s="572"/>
      <c r="E890" s="572"/>
      <c r="F890" s="572"/>
      <c r="G890" s="572"/>
      <c r="H890" s="572"/>
      <c r="I890" s="572"/>
      <c r="J890" s="507"/>
      <c r="K890" s="507"/>
      <c r="L890" s="507"/>
      <c r="M890" s="507"/>
      <c r="N890" s="507"/>
      <c r="O890" s="507"/>
      <c r="P890" s="507"/>
      <c r="Q890" s="507"/>
      <c r="R890" s="507"/>
      <c r="S890" s="507"/>
      <c r="T890" s="507"/>
      <c r="U890" s="507"/>
      <c r="V890" s="507"/>
      <c r="W890" s="507"/>
      <c r="X890" s="507"/>
      <c r="Y890" s="507"/>
      <c r="Z890" s="507"/>
    </row>
    <row r="891">
      <c r="A891" s="507"/>
      <c r="B891" s="572"/>
      <c r="C891" s="572"/>
      <c r="D891" s="572"/>
      <c r="E891" s="572"/>
      <c r="F891" s="572"/>
      <c r="G891" s="572"/>
      <c r="H891" s="572"/>
      <c r="I891" s="572"/>
      <c r="J891" s="507"/>
      <c r="K891" s="507"/>
      <c r="L891" s="507"/>
      <c r="M891" s="507"/>
      <c r="N891" s="507"/>
      <c r="O891" s="507"/>
      <c r="P891" s="507"/>
      <c r="Q891" s="507"/>
      <c r="R891" s="507"/>
      <c r="S891" s="507"/>
      <c r="T891" s="507"/>
      <c r="U891" s="507"/>
      <c r="V891" s="507"/>
      <c r="W891" s="507"/>
      <c r="X891" s="507"/>
      <c r="Y891" s="507"/>
      <c r="Z891" s="507"/>
    </row>
    <row r="892">
      <c r="A892" s="507"/>
      <c r="B892" s="572"/>
      <c r="C892" s="572"/>
      <c r="D892" s="572"/>
      <c r="E892" s="572"/>
      <c r="F892" s="572"/>
      <c r="G892" s="572"/>
      <c r="H892" s="572"/>
      <c r="I892" s="572"/>
      <c r="J892" s="507"/>
      <c r="K892" s="507"/>
      <c r="L892" s="507"/>
      <c r="M892" s="507"/>
      <c r="N892" s="507"/>
      <c r="O892" s="507"/>
      <c r="P892" s="507"/>
      <c r="Q892" s="507"/>
      <c r="R892" s="507"/>
      <c r="S892" s="507"/>
      <c r="T892" s="507"/>
      <c r="U892" s="507"/>
      <c r="V892" s="507"/>
      <c r="W892" s="507"/>
      <c r="X892" s="507"/>
      <c r="Y892" s="507"/>
      <c r="Z892" s="507"/>
    </row>
    <row r="893">
      <c r="A893" s="507"/>
      <c r="B893" s="572"/>
      <c r="C893" s="572"/>
      <c r="D893" s="572"/>
      <c r="E893" s="572"/>
      <c r="F893" s="572"/>
      <c r="G893" s="572"/>
      <c r="H893" s="572"/>
      <c r="I893" s="572"/>
      <c r="J893" s="507"/>
      <c r="K893" s="507"/>
      <c r="L893" s="507"/>
      <c r="M893" s="507"/>
      <c r="N893" s="507"/>
      <c r="O893" s="507"/>
      <c r="P893" s="507"/>
      <c r="Q893" s="507"/>
      <c r="R893" s="507"/>
      <c r="S893" s="507"/>
      <c r="T893" s="507"/>
      <c r="U893" s="507"/>
      <c r="V893" s="507"/>
      <c r="W893" s="507"/>
      <c r="X893" s="507"/>
      <c r="Y893" s="507"/>
      <c r="Z893" s="507"/>
    </row>
    <row r="894">
      <c r="A894" s="507"/>
      <c r="B894" s="572"/>
      <c r="C894" s="572"/>
      <c r="D894" s="572"/>
      <c r="E894" s="572"/>
      <c r="F894" s="572"/>
      <c r="G894" s="572"/>
      <c r="H894" s="572"/>
      <c r="I894" s="572"/>
      <c r="J894" s="507"/>
      <c r="K894" s="507"/>
      <c r="L894" s="507"/>
      <c r="M894" s="507"/>
      <c r="N894" s="507"/>
      <c r="O894" s="507"/>
      <c r="P894" s="507"/>
      <c r="Q894" s="507"/>
      <c r="R894" s="507"/>
      <c r="S894" s="507"/>
      <c r="T894" s="507"/>
      <c r="U894" s="507"/>
      <c r="V894" s="507"/>
      <c r="W894" s="507"/>
      <c r="X894" s="507"/>
      <c r="Y894" s="507"/>
      <c r="Z894" s="507"/>
    </row>
    <row r="895">
      <c r="A895" s="507"/>
      <c r="B895" s="572"/>
      <c r="C895" s="572"/>
      <c r="D895" s="572"/>
      <c r="E895" s="572"/>
      <c r="F895" s="572"/>
      <c r="G895" s="572"/>
      <c r="H895" s="572"/>
      <c r="I895" s="572"/>
      <c r="J895" s="507"/>
      <c r="K895" s="507"/>
      <c r="L895" s="507"/>
      <c r="M895" s="507"/>
      <c r="N895" s="507"/>
      <c r="O895" s="507"/>
      <c r="P895" s="507"/>
      <c r="Q895" s="507"/>
      <c r="R895" s="507"/>
      <c r="S895" s="507"/>
      <c r="T895" s="507"/>
      <c r="U895" s="507"/>
      <c r="V895" s="507"/>
      <c r="W895" s="507"/>
      <c r="X895" s="507"/>
      <c r="Y895" s="507"/>
      <c r="Z895" s="507"/>
    </row>
    <row r="896">
      <c r="A896" s="507"/>
      <c r="B896" s="572"/>
      <c r="C896" s="572"/>
      <c r="D896" s="572"/>
      <c r="E896" s="572"/>
      <c r="F896" s="572"/>
      <c r="G896" s="572"/>
      <c r="H896" s="572"/>
      <c r="I896" s="572"/>
      <c r="J896" s="507"/>
      <c r="K896" s="507"/>
      <c r="L896" s="507"/>
      <c r="M896" s="507"/>
      <c r="N896" s="507"/>
      <c r="O896" s="507"/>
      <c r="P896" s="507"/>
      <c r="Q896" s="507"/>
      <c r="R896" s="507"/>
      <c r="S896" s="507"/>
      <c r="T896" s="507"/>
      <c r="U896" s="507"/>
      <c r="V896" s="507"/>
      <c r="W896" s="507"/>
      <c r="X896" s="507"/>
      <c r="Y896" s="507"/>
      <c r="Z896" s="507"/>
    </row>
    <row r="897">
      <c r="A897" s="507"/>
      <c r="B897" s="572"/>
      <c r="C897" s="572"/>
      <c r="D897" s="572"/>
      <c r="E897" s="572"/>
      <c r="F897" s="572"/>
      <c r="G897" s="572"/>
      <c r="H897" s="572"/>
      <c r="I897" s="572"/>
      <c r="J897" s="507"/>
      <c r="K897" s="507"/>
      <c r="L897" s="507"/>
      <c r="M897" s="507"/>
      <c r="N897" s="507"/>
      <c r="O897" s="507"/>
      <c r="P897" s="507"/>
      <c r="Q897" s="507"/>
      <c r="R897" s="507"/>
      <c r="S897" s="507"/>
      <c r="T897" s="507"/>
      <c r="U897" s="507"/>
      <c r="V897" s="507"/>
      <c r="W897" s="507"/>
      <c r="X897" s="507"/>
      <c r="Y897" s="507"/>
      <c r="Z897" s="507"/>
    </row>
    <row r="898">
      <c r="A898" s="507"/>
      <c r="B898" s="572"/>
      <c r="C898" s="572"/>
      <c r="D898" s="572"/>
      <c r="E898" s="572"/>
      <c r="F898" s="572"/>
      <c r="G898" s="572"/>
      <c r="H898" s="572"/>
      <c r="I898" s="572"/>
      <c r="J898" s="507"/>
      <c r="K898" s="507"/>
      <c r="L898" s="507"/>
      <c r="M898" s="507"/>
      <c r="N898" s="507"/>
      <c r="O898" s="507"/>
      <c r="P898" s="507"/>
      <c r="Q898" s="507"/>
      <c r="R898" s="507"/>
      <c r="S898" s="507"/>
      <c r="T898" s="507"/>
      <c r="U898" s="507"/>
      <c r="V898" s="507"/>
      <c r="W898" s="507"/>
      <c r="X898" s="507"/>
      <c r="Y898" s="507"/>
      <c r="Z898" s="507"/>
    </row>
    <row r="899">
      <c r="A899" s="507"/>
      <c r="B899" s="572"/>
      <c r="C899" s="572"/>
      <c r="D899" s="572"/>
      <c r="E899" s="572"/>
      <c r="F899" s="572"/>
      <c r="G899" s="572"/>
      <c r="H899" s="572"/>
      <c r="I899" s="572"/>
      <c r="J899" s="507"/>
      <c r="K899" s="507"/>
      <c r="L899" s="507"/>
      <c r="M899" s="507"/>
      <c r="N899" s="507"/>
      <c r="O899" s="507"/>
      <c r="P899" s="507"/>
      <c r="Q899" s="507"/>
      <c r="R899" s="507"/>
      <c r="S899" s="507"/>
      <c r="T899" s="507"/>
      <c r="U899" s="507"/>
      <c r="V899" s="507"/>
      <c r="W899" s="507"/>
      <c r="X899" s="507"/>
      <c r="Y899" s="507"/>
      <c r="Z899" s="507"/>
    </row>
    <row r="900">
      <c r="A900" s="507"/>
      <c r="B900" s="572"/>
      <c r="C900" s="572"/>
      <c r="D900" s="572"/>
      <c r="E900" s="572"/>
      <c r="F900" s="572"/>
      <c r="G900" s="572"/>
      <c r="H900" s="572"/>
      <c r="I900" s="572"/>
      <c r="J900" s="507"/>
      <c r="K900" s="507"/>
      <c r="L900" s="507"/>
      <c r="M900" s="507"/>
      <c r="N900" s="507"/>
      <c r="O900" s="507"/>
      <c r="P900" s="507"/>
      <c r="Q900" s="507"/>
      <c r="R900" s="507"/>
      <c r="S900" s="507"/>
      <c r="T900" s="507"/>
      <c r="U900" s="507"/>
      <c r="V900" s="507"/>
      <c r="W900" s="507"/>
      <c r="X900" s="507"/>
      <c r="Y900" s="507"/>
      <c r="Z900" s="507"/>
    </row>
    <row r="901">
      <c r="A901" s="507"/>
      <c r="B901" s="572"/>
      <c r="C901" s="572"/>
      <c r="D901" s="572"/>
      <c r="E901" s="572"/>
      <c r="F901" s="572"/>
      <c r="G901" s="572"/>
      <c r="H901" s="572"/>
      <c r="I901" s="572"/>
      <c r="J901" s="507"/>
      <c r="K901" s="507"/>
      <c r="L901" s="507"/>
      <c r="M901" s="507"/>
      <c r="N901" s="507"/>
      <c r="O901" s="507"/>
      <c r="P901" s="507"/>
      <c r="Q901" s="507"/>
      <c r="R901" s="507"/>
      <c r="S901" s="507"/>
      <c r="T901" s="507"/>
      <c r="U901" s="507"/>
      <c r="V901" s="507"/>
      <c r="W901" s="507"/>
      <c r="X901" s="507"/>
      <c r="Y901" s="507"/>
      <c r="Z901" s="507"/>
    </row>
    <row r="902">
      <c r="A902" s="507"/>
      <c r="B902" s="572"/>
      <c r="C902" s="572"/>
      <c r="D902" s="572"/>
      <c r="E902" s="572"/>
      <c r="F902" s="572"/>
      <c r="G902" s="572"/>
      <c r="H902" s="572"/>
      <c r="I902" s="572"/>
      <c r="J902" s="507"/>
      <c r="K902" s="507"/>
      <c r="L902" s="507"/>
      <c r="M902" s="507"/>
      <c r="N902" s="507"/>
      <c r="O902" s="507"/>
      <c r="P902" s="507"/>
      <c r="Q902" s="507"/>
      <c r="R902" s="507"/>
      <c r="S902" s="507"/>
      <c r="T902" s="507"/>
      <c r="U902" s="507"/>
      <c r="V902" s="507"/>
      <c r="W902" s="507"/>
      <c r="X902" s="507"/>
      <c r="Y902" s="507"/>
      <c r="Z902" s="507"/>
    </row>
    <row r="903">
      <c r="A903" s="507"/>
      <c r="B903" s="572"/>
      <c r="C903" s="572"/>
      <c r="D903" s="572"/>
      <c r="E903" s="572"/>
      <c r="F903" s="572"/>
      <c r="G903" s="572"/>
      <c r="H903" s="572"/>
      <c r="I903" s="572"/>
      <c r="J903" s="507"/>
      <c r="K903" s="507"/>
      <c r="L903" s="507"/>
      <c r="M903" s="507"/>
      <c r="N903" s="507"/>
      <c r="O903" s="507"/>
      <c r="P903" s="507"/>
      <c r="Q903" s="507"/>
      <c r="R903" s="507"/>
      <c r="S903" s="507"/>
      <c r="T903" s="507"/>
      <c r="U903" s="507"/>
      <c r="V903" s="507"/>
      <c r="W903" s="507"/>
      <c r="X903" s="507"/>
      <c r="Y903" s="507"/>
      <c r="Z903" s="507"/>
    </row>
    <row r="904">
      <c r="A904" s="507"/>
      <c r="B904" s="572"/>
      <c r="C904" s="572"/>
      <c r="D904" s="572"/>
      <c r="E904" s="572"/>
      <c r="F904" s="572"/>
      <c r="G904" s="572"/>
      <c r="H904" s="572"/>
      <c r="I904" s="572"/>
      <c r="J904" s="507"/>
      <c r="K904" s="507"/>
      <c r="L904" s="507"/>
      <c r="M904" s="507"/>
      <c r="N904" s="507"/>
      <c r="O904" s="507"/>
      <c r="P904" s="507"/>
      <c r="Q904" s="507"/>
      <c r="R904" s="507"/>
      <c r="S904" s="507"/>
      <c r="T904" s="507"/>
      <c r="U904" s="507"/>
      <c r="V904" s="507"/>
      <c r="W904" s="507"/>
      <c r="X904" s="507"/>
      <c r="Y904" s="507"/>
      <c r="Z904" s="507"/>
    </row>
    <row r="905">
      <c r="A905" s="507"/>
      <c r="B905" s="572"/>
      <c r="C905" s="572"/>
      <c r="D905" s="572"/>
      <c r="E905" s="572"/>
      <c r="F905" s="572"/>
      <c r="G905" s="572"/>
      <c r="H905" s="572"/>
      <c r="I905" s="572"/>
      <c r="J905" s="507"/>
      <c r="K905" s="507"/>
      <c r="L905" s="507"/>
      <c r="M905" s="507"/>
      <c r="N905" s="507"/>
      <c r="O905" s="507"/>
      <c r="P905" s="507"/>
      <c r="Q905" s="507"/>
      <c r="R905" s="507"/>
      <c r="S905" s="507"/>
      <c r="T905" s="507"/>
      <c r="U905" s="507"/>
      <c r="V905" s="507"/>
      <c r="W905" s="507"/>
      <c r="X905" s="507"/>
      <c r="Y905" s="507"/>
      <c r="Z905" s="507"/>
    </row>
    <row r="906">
      <c r="A906" s="507"/>
      <c r="B906" s="572"/>
      <c r="C906" s="572"/>
      <c r="D906" s="572"/>
      <c r="E906" s="572"/>
      <c r="F906" s="572"/>
      <c r="G906" s="572"/>
      <c r="H906" s="572"/>
      <c r="I906" s="572"/>
      <c r="J906" s="507"/>
      <c r="K906" s="507"/>
      <c r="L906" s="507"/>
      <c r="M906" s="507"/>
      <c r="N906" s="507"/>
      <c r="O906" s="507"/>
      <c r="P906" s="507"/>
      <c r="Q906" s="507"/>
      <c r="R906" s="507"/>
      <c r="S906" s="507"/>
      <c r="T906" s="507"/>
      <c r="U906" s="507"/>
      <c r="V906" s="507"/>
      <c r="W906" s="507"/>
      <c r="X906" s="507"/>
      <c r="Y906" s="507"/>
      <c r="Z906" s="507"/>
    </row>
    <row r="907">
      <c r="A907" s="507"/>
      <c r="B907" s="572"/>
      <c r="C907" s="572"/>
      <c r="D907" s="572"/>
      <c r="E907" s="572"/>
      <c r="F907" s="572"/>
      <c r="G907" s="572"/>
      <c r="H907" s="572"/>
      <c r="I907" s="572"/>
      <c r="J907" s="507"/>
      <c r="K907" s="507"/>
      <c r="L907" s="507"/>
      <c r="M907" s="507"/>
      <c r="N907" s="507"/>
      <c r="O907" s="507"/>
      <c r="P907" s="507"/>
      <c r="Q907" s="507"/>
      <c r="R907" s="507"/>
      <c r="S907" s="507"/>
      <c r="T907" s="507"/>
      <c r="U907" s="507"/>
      <c r="V907" s="507"/>
      <c r="W907" s="507"/>
      <c r="X907" s="507"/>
      <c r="Y907" s="507"/>
      <c r="Z907" s="507"/>
    </row>
    <row r="908">
      <c r="A908" s="507"/>
      <c r="B908" s="572"/>
      <c r="C908" s="572"/>
      <c r="D908" s="572"/>
      <c r="E908" s="572"/>
      <c r="F908" s="572"/>
      <c r="G908" s="572"/>
      <c r="H908" s="572"/>
      <c r="I908" s="572"/>
      <c r="J908" s="507"/>
      <c r="K908" s="507"/>
      <c r="L908" s="507"/>
      <c r="M908" s="507"/>
      <c r="N908" s="507"/>
      <c r="O908" s="507"/>
      <c r="P908" s="507"/>
      <c r="Q908" s="507"/>
      <c r="R908" s="507"/>
      <c r="S908" s="507"/>
      <c r="T908" s="507"/>
      <c r="U908" s="507"/>
      <c r="V908" s="507"/>
      <c r="W908" s="507"/>
      <c r="X908" s="507"/>
      <c r="Y908" s="507"/>
      <c r="Z908" s="507"/>
    </row>
    <row r="909">
      <c r="A909" s="507"/>
      <c r="B909" s="572"/>
      <c r="C909" s="572"/>
      <c r="D909" s="572"/>
      <c r="E909" s="572"/>
      <c r="F909" s="572"/>
      <c r="G909" s="572"/>
      <c r="H909" s="572"/>
      <c r="I909" s="572"/>
      <c r="J909" s="507"/>
      <c r="K909" s="507"/>
      <c r="L909" s="507"/>
      <c r="M909" s="507"/>
      <c r="N909" s="507"/>
      <c r="O909" s="507"/>
      <c r="P909" s="507"/>
      <c r="Q909" s="507"/>
      <c r="R909" s="507"/>
      <c r="S909" s="507"/>
      <c r="T909" s="507"/>
      <c r="U909" s="507"/>
      <c r="V909" s="507"/>
      <c r="W909" s="507"/>
      <c r="X909" s="507"/>
      <c r="Y909" s="507"/>
      <c r="Z909" s="507"/>
    </row>
    <row r="910">
      <c r="A910" s="507"/>
      <c r="B910" s="572"/>
      <c r="C910" s="572"/>
      <c r="D910" s="572"/>
      <c r="E910" s="572"/>
      <c r="F910" s="572"/>
      <c r="G910" s="572"/>
      <c r="H910" s="572"/>
      <c r="I910" s="572"/>
      <c r="J910" s="507"/>
      <c r="K910" s="507"/>
      <c r="L910" s="507"/>
      <c r="M910" s="507"/>
      <c r="N910" s="507"/>
      <c r="O910" s="507"/>
      <c r="P910" s="507"/>
      <c r="Q910" s="507"/>
      <c r="R910" s="507"/>
      <c r="S910" s="507"/>
      <c r="T910" s="507"/>
      <c r="U910" s="507"/>
      <c r="V910" s="507"/>
      <c r="W910" s="507"/>
      <c r="X910" s="507"/>
      <c r="Y910" s="507"/>
      <c r="Z910" s="507"/>
    </row>
    <row r="911">
      <c r="A911" s="507"/>
      <c r="B911" s="572"/>
      <c r="C911" s="572"/>
      <c r="D911" s="572"/>
      <c r="E911" s="572"/>
      <c r="F911" s="572"/>
      <c r="G911" s="572"/>
      <c r="H911" s="572"/>
      <c r="I911" s="572"/>
      <c r="J911" s="507"/>
      <c r="K911" s="507"/>
      <c r="L911" s="507"/>
      <c r="M911" s="507"/>
      <c r="N911" s="507"/>
      <c r="O911" s="507"/>
      <c r="P911" s="507"/>
      <c r="Q911" s="507"/>
      <c r="R911" s="507"/>
      <c r="S911" s="507"/>
      <c r="T911" s="507"/>
      <c r="U911" s="507"/>
      <c r="V911" s="507"/>
      <c r="W911" s="507"/>
      <c r="X911" s="507"/>
      <c r="Y911" s="507"/>
      <c r="Z911" s="507"/>
    </row>
    <row r="912">
      <c r="A912" s="507"/>
      <c r="B912" s="572"/>
      <c r="C912" s="572"/>
      <c r="D912" s="572"/>
      <c r="E912" s="572"/>
      <c r="F912" s="572"/>
      <c r="G912" s="572"/>
      <c r="H912" s="572"/>
      <c r="I912" s="572"/>
      <c r="J912" s="507"/>
      <c r="K912" s="507"/>
      <c r="L912" s="507"/>
      <c r="M912" s="507"/>
      <c r="N912" s="507"/>
      <c r="O912" s="507"/>
      <c r="P912" s="507"/>
      <c r="Q912" s="507"/>
      <c r="R912" s="507"/>
      <c r="S912" s="507"/>
      <c r="T912" s="507"/>
      <c r="U912" s="507"/>
      <c r="V912" s="507"/>
      <c r="W912" s="507"/>
      <c r="X912" s="507"/>
      <c r="Y912" s="507"/>
      <c r="Z912" s="507"/>
    </row>
    <row r="913">
      <c r="A913" s="507"/>
      <c r="B913" s="572"/>
      <c r="C913" s="572"/>
      <c r="D913" s="572"/>
      <c r="E913" s="572"/>
      <c r="F913" s="572"/>
      <c r="G913" s="572"/>
      <c r="H913" s="572"/>
      <c r="I913" s="572"/>
      <c r="J913" s="507"/>
      <c r="K913" s="507"/>
      <c r="L913" s="507"/>
      <c r="M913" s="507"/>
      <c r="N913" s="507"/>
      <c r="O913" s="507"/>
      <c r="P913" s="507"/>
      <c r="Q913" s="507"/>
      <c r="R913" s="507"/>
      <c r="S913" s="507"/>
      <c r="T913" s="507"/>
      <c r="U913" s="507"/>
      <c r="V913" s="507"/>
      <c r="W913" s="507"/>
      <c r="X913" s="507"/>
      <c r="Y913" s="507"/>
      <c r="Z913" s="507"/>
    </row>
    <row r="914">
      <c r="A914" s="507"/>
      <c r="B914" s="572"/>
      <c r="C914" s="572"/>
      <c r="D914" s="572"/>
      <c r="E914" s="572"/>
      <c r="F914" s="572"/>
      <c r="G914" s="572"/>
      <c r="H914" s="572"/>
      <c r="I914" s="572"/>
      <c r="J914" s="507"/>
      <c r="K914" s="507"/>
      <c r="L914" s="507"/>
      <c r="M914" s="507"/>
      <c r="N914" s="507"/>
      <c r="O914" s="507"/>
      <c r="P914" s="507"/>
      <c r="Q914" s="507"/>
      <c r="R914" s="507"/>
      <c r="S914" s="507"/>
      <c r="T914" s="507"/>
      <c r="U914" s="507"/>
      <c r="V914" s="507"/>
      <c r="W914" s="507"/>
      <c r="X914" s="507"/>
      <c r="Y914" s="507"/>
      <c r="Z914" s="507"/>
    </row>
    <row r="915">
      <c r="A915" s="507"/>
      <c r="B915" s="572"/>
      <c r="C915" s="572"/>
      <c r="D915" s="572"/>
      <c r="E915" s="572"/>
      <c r="F915" s="572"/>
      <c r="G915" s="572"/>
      <c r="H915" s="572"/>
      <c r="I915" s="572"/>
      <c r="J915" s="507"/>
      <c r="K915" s="507"/>
      <c r="L915" s="507"/>
      <c r="M915" s="507"/>
      <c r="N915" s="507"/>
      <c r="O915" s="507"/>
      <c r="P915" s="507"/>
      <c r="Q915" s="507"/>
      <c r="R915" s="507"/>
      <c r="S915" s="507"/>
      <c r="T915" s="507"/>
      <c r="U915" s="507"/>
      <c r="V915" s="507"/>
      <c r="W915" s="507"/>
      <c r="X915" s="507"/>
      <c r="Y915" s="507"/>
      <c r="Z915" s="507"/>
    </row>
    <row r="916">
      <c r="A916" s="507"/>
      <c r="B916" s="572"/>
      <c r="C916" s="572"/>
      <c r="D916" s="572"/>
      <c r="E916" s="572"/>
      <c r="F916" s="572"/>
      <c r="G916" s="572"/>
      <c r="H916" s="572"/>
      <c r="I916" s="572"/>
      <c r="J916" s="507"/>
      <c r="K916" s="507"/>
      <c r="L916" s="507"/>
      <c r="M916" s="507"/>
      <c r="N916" s="507"/>
      <c r="O916" s="507"/>
      <c r="P916" s="507"/>
      <c r="Q916" s="507"/>
      <c r="R916" s="507"/>
      <c r="S916" s="507"/>
      <c r="T916" s="507"/>
      <c r="U916" s="507"/>
      <c r="V916" s="507"/>
      <c r="W916" s="507"/>
      <c r="X916" s="507"/>
      <c r="Y916" s="507"/>
      <c r="Z916" s="507"/>
    </row>
    <row r="917">
      <c r="A917" s="507"/>
      <c r="B917" s="572"/>
      <c r="C917" s="572"/>
      <c r="D917" s="572"/>
      <c r="E917" s="572"/>
      <c r="F917" s="572"/>
      <c r="G917" s="572"/>
      <c r="H917" s="572"/>
      <c r="I917" s="572"/>
      <c r="J917" s="507"/>
      <c r="K917" s="507"/>
      <c r="L917" s="507"/>
      <c r="M917" s="507"/>
      <c r="N917" s="507"/>
      <c r="O917" s="507"/>
      <c r="P917" s="507"/>
      <c r="Q917" s="507"/>
      <c r="R917" s="507"/>
      <c r="S917" s="507"/>
      <c r="T917" s="507"/>
      <c r="U917" s="507"/>
      <c r="V917" s="507"/>
      <c r="W917" s="507"/>
      <c r="X917" s="507"/>
      <c r="Y917" s="507"/>
      <c r="Z917" s="507"/>
    </row>
    <row r="918">
      <c r="A918" s="507"/>
      <c r="B918" s="572"/>
      <c r="C918" s="572"/>
      <c r="D918" s="572"/>
      <c r="E918" s="572"/>
      <c r="F918" s="572"/>
      <c r="G918" s="572"/>
      <c r="H918" s="572"/>
      <c r="I918" s="572"/>
      <c r="J918" s="507"/>
      <c r="K918" s="507"/>
      <c r="L918" s="507"/>
      <c r="M918" s="507"/>
      <c r="N918" s="507"/>
      <c r="O918" s="507"/>
      <c r="P918" s="507"/>
      <c r="Q918" s="507"/>
      <c r="R918" s="507"/>
      <c r="S918" s="507"/>
      <c r="T918" s="507"/>
      <c r="U918" s="507"/>
      <c r="V918" s="507"/>
      <c r="W918" s="507"/>
      <c r="X918" s="507"/>
      <c r="Y918" s="507"/>
      <c r="Z918" s="507"/>
    </row>
    <row r="919">
      <c r="A919" s="507"/>
      <c r="B919" s="572"/>
      <c r="C919" s="572"/>
      <c r="D919" s="572"/>
      <c r="E919" s="572"/>
      <c r="F919" s="572"/>
      <c r="G919" s="572"/>
      <c r="H919" s="572"/>
      <c r="I919" s="572"/>
      <c r="J919" s="507"/>
      <c r="K919" s="507"/>
      <c r="L919" s="507"/>
      <c r="M919" s="507"/>
      <c r="N919" s="507"/>
      <c r="O919" s="507"/>
      <c r="P919" s="507"/>
      <c r="Q919" s="507"/>
      <c r="R919" s="507"/>
      <c r="S919" s="507"/>
      <c r="T919" s="507"/>
      <c r="U919" s="507"/>
      <c r="V919" s="507"/>
      <c r="W919" s="507"/>
      <c r="X919" s="507"/>
      <c r="Y919" s="507"/>
      <c r="Z919" s="507"/>
    </row>
    <row r="920">
      <c r="A920" s="507"/>
      <c r="B920" s="572"/>
      <c r="C920" s="572"/>
      <c r="D920" s="572"/>
      <c r="E920" s="572"/>
      <c r="F920" s="572"/>
      <c r="G920" s="572"/>
      <c r="H920" s="572"/>
      <c r="I920" s="572"/>
      <c r="J920" s="507"/>
      <c r="K920" s="507"/>
      <c r="L920" s="507"/>
      <c r="M920" s="507"/>
      <c r="N920" s="507"/>
      <c r="O920" s="507"/>
      <c r="P920" s="507"/>
      <c r="Q920" s="507"/>
      <c r="R920" s="507"/>
      <c r="S920" s="507"/>
      <c r="T920" s="507"/>
      <c r="U920" s="507"/>
      <c r="V920" s="507"/>
      <c r="W920" s="507"/>
      <c r="X920" s="507"/>
      <c r="Y920" s="507"/>
      <c r="Z920" s="507"/>
    </row>
    <row r="921">
      <c r="A921" s="507"/>
      <c r="B921" s="572"/>
      <c r="C921" s="572"/>
      <c r="D921" s="572"/>
      <c r="E921" s="572"/>
      <c r="F921" s="572"/>
      <c r="G921" s="572"/>
      <c r="H921" s="572"/>
      <c r="I921" s="572"/>
      <c r="J921" s="507"/>
      <c r="K921" s="507"/>
      <c r="L921" s="507"/>
      <c r="M921" s="507"/>
      <c r="N921" s="507"/>
      <c r="O921" s="507"/>
      <c r="P921" s="507"/>
      <c r="Q921" s="507"/>
      <c r="R921" s="507"/>
      <c r="S921" s="507"/>
      <c r="T921" s="507"/>
      <c r="U921" s="507"/>
      <c r="V921" s="507"/>
      <c r="W921" s="507"/>
      <c r="X921" s="507"/>
      <c r="Y921" s="507"/>
      <c r="Z921" s="507"/>
    </row>
    <row r="922">
      <c r="A922" s="507"/>
      <c r="B922" s="572"/>
      <c r="C922" s="572"/>
      <c r="D922" s="572"/>
      <c r="E922" s="572"/>
      <c r="F922" s="572"/>
      <c r="G922" s="572"/>
      <c r="H922" s="572"/>
      <c r="I922" s="572"/>
      <c r="J922" s="507"/>
      <c r="K922" s="507"/>
      <c r="L922" s="507"/>
      <c r="M922" s="507"/>
      <c r="N922" s="507"/>
      <c r="O922" s="507"/>
      <c r="P922" s="507"/>
      <c r="Q922" s="507"/>
      <c r="R922" s="507"/>
      <c r="S922" s="507"/>
      <c r="T922" s="507"/>
      <c r="U922" s="507"/>
      <c r="V922" s="507"/>
      <c r="W922" s="507"/>
      <c r="X922" s="507"/>
      <c r="Y922" s="507"/>
      <c r="Z922" s="507"/>
    </row>
    <row r="923">
      <c r="A923" s="507"/>
      <c r="B923" s="572"/>
      <c r="C923" s="572"/>
      <c r="D923" s="572"/>
      <c r="E923" s="572"/>
      <c r="F923" s="572"/>
      <c r="G923" s="572"/>
      <c r="H923" s="572"/>
      <c r="I923" s="572"/>
      <c r="J923" s="507"/>
      <c r="K923" s="507"/>
      <c r="L923" s="507"/>
      <c r="M923" s="507"/>
      <c r="N923" s="507"/>
      <c r="O923" s="507"/>
      <c r="P923" s="507"/>
      <c r="Q923" s="507"/>
      <c r="R923" s="507"/>
      <c r="S923" s="507"/>
      <c r="T923" s="507"/>
      <c r="U923" s="507"/>
      <c r="V923" s="507"/>
      <c r="W923" s="507"/>
      <c r="X923" s="507"/>
      <c r="Y923" s="507"/>
      <c r="Z923" s="507"/>
    </row>
    <row r="924">
      <c r="A924" s="507"/>
      <c r="B924" s="572"/>
      <c r="C924" s="572"/>
      <c r="D924" s="572"/>
      <c r="E924" s="572"/>
      <c r="F924" s="572"/>
      <c r="G924" s="572"/>
      <c r="H924" s="572"/>
      <c r="I924" s="572"/>
      <c r="J924" s="507"/>
      <c r="K924" s="507"/>
      <c r="L924" s="507"/>
      <c r="M924" s="507"/>
      <c r="N924" s="507"/>
      <c r="O924" s="507"/>
      <c r="P924" s="507"/>
      <c r="Q924" s="507"/>
      <c r="R924" s="507"/>
      <c r="S924" s="507"/>
      <c r="T924" s="507"/>
      <c r="U924" s="507"/>
      <c r="V924" s="507"/>
      <c r="W924" s="507"/>
      <c r="X924" s="507"/>
      <c r="Y924" s="507"/>
      <c r="Z924" s="507"/>
    </row>
    <row r="925">
      <c r="A925" s="507"/>
      <c r="B925" s="572"/>
      <c r="C925" s="572"/>
      <c r="D925" s="572"/>
      <c r="E925" s="572"/>
      <c r="F925" s="572"/>
      <c r="G925" s="572"/>
      <c r="H925" s="572"/>
      <c r="I925" s="572"/>
      <c r="J925" s="507"/>
      <c r="K925" s="507"/>
      <c r="L925" s="507"/>
      <c r="M925" s="507"/>
      <c r="N925" s="507"/>
      <c r="O925" s="507"/>
      <c r="P925" s="507"/>
      <c r="Q925" s="507"/>
      <c r="R925" s="507"/>
      <c r="S925" s="507"/>
      <c r="T925" s="507"/>
      <c r="U925" s="507"/>
      <c r="V925" s="507"/>
      <c r="W925" s="507"/>
      <c r="X925" s="507"/>
      <c r="Y925" s="507"/>
      <c r="Z925" s="507"/>
    </row>
    <row r="926">
      <c r="A926" s="507"/>
      <c r="B926" s="572"/>
      <c r="C926" s="572"/>
      <c r="D926" s="572"/>
      <c r="E926" s="572"/>
      <c r="F926" s="572"/>
      <c r="G926" s="572"/>
      <c r="H926" s="572"/>
      <c r="I926" s="572"/>
      <c r="J926" s="507"/>
      <c r="K926" s="507"/>
      <c r="L926" s="507"/>
      <c r="M926" s="507"/>
      <c r="N926" s="507"/>
      <c r="O926" s="507"/>
      <c r="P926" s="507"/>
      <c r="Q926" s="507"/>
      <c r="R926" s="507"/>
      <c r="S926" s="507"/>
      <c r="T926" s="507"/>
      <c r="U926" s="507"/>
      <c r="V926" s="507"/>
      <c r="W926" s="507"/>
      <c r="X926" s="507"/>
      <c r="Y926" s="507"/>
      <c r="Z926" s="507"/>
    </row>
    <row r="927">
      <c r="A927" s="507"/>
      <c r="B927" s="572"/>
      <c r="C927" s="572"/>
      <c r="D927" s="572"/>
      <c r="E927" s="572"/>
      <c r="F927" s="572"/>
      <c r="G927" s="572"/>
      <c r="H927" s="572"/>
      <c r="I927" s="572"/>
      <c r="J927" s="507"/>
      <c r="K927" s="507"/>
      <c r="L927" s="507"/>
      <c r="M927" s="507"/>
      <c r="N927" s="507"/>
      <c r="O927" s="507"/>
      <c r="P927" s="507"/>
      <c r="Q927" s="507"/>
      <c r="R927" s="507"/>
      <c r="S927" s="507"/>
      <c r="T927" s="507"/>
      <c r="U927" s="507"/>
      <c r="V927" s="507"/>
      <c r="W927" s="507"/>
      <c r="X927" s="507"/>
      <c r="Y927" s="507"/>
      <c r="Z927" s="507"/>
    </row>
    <row r="928">
      <c r="A928" s="507"/>
      <c r="B928" s="572"/>
      <c r="C928" s="572"/>
      <c r="D928" s="572"/>
      <c r="E928" s="572"/>
      <c r="F928" s="572"/>
      <c r="G928" s="572"/>
      <c r="H928" s="572"/>
      <c r="I928" s="572"/>
      <c r="J928" s="507"/>
      <c r="K928" s="507"/>
      <c r="L928" s="507"/>
      <c r="M928" s="507"/>
      <c r="N928" s="507"/>
      <c r="O928" s="507"/>
      <c r="P928" s="507"/>
      <c r="Q928" s="507"/>
      <c r="R928" s="507"/>
      <c r="S928" s="507"/>
      <c r="T928" s="507"/>
      <c r="U928" s="507"/>
      <c r="V928" s="507"/>
      <c r="W928" s="507"/>
      <c r="X928" s="507"/>
      <c r="Y928" s="507"/>
      <c r="Z928" s="507"/>
    </row>
    <row r="929">
      <c r="A929" s="507"/>
      <c r="B929" s="572"/>
      <c r="C929" s="572"/>
      <c r="D929" s="572"/>
      <c r="E929" s="572"/>
      <c r="F929" s="572"/>
      <c r="G929" s="572"/>
      <c r="H929" s="572"/>
      <c r="I929" s="572"/>
      <c r="J929" s="507"/>
      <c r="K929" s="507"/>
      <c r="L929" s="507"/>
      <c r="M929" s="507"/>
      <c r="N929" s="507"/>
      <c r="O929" s="507"/>
      <c r="P929" s="507"/>
      <c r="Q929" s="507"/>
      <c r="R929" s="507"/>
      <c r="S929" s="507"/>
      <c r="T929" s="507"/>
      <c r="U929" s="507"/>
      <c r="V929" s="507"/>
      <c r="W929" s="507"/>
      <c r="X929" s="507"/>
      <c r="Y929" s="507"/>
      <c r="Z929" s="507"/>
    </row>
    <row r="930">
      <c r="A930" s="507"/>
      <c r="B930" s="572"/>
      <c r="C930" s="572"/>
      <c r="D930" s="572"/>
      <c r="E930" s="572"/>
      <c r="F930" s="572"/>
      <c r="G930" s="572"/>
      <c r="H930" s="572"/>
      <c r="I930" s="572"/>
      <c r="J930" s="507"/>
      <c r="K930" s="507"/>
      <c r="L930" s="507"/>
      <c r="M930" s="507"/>
      <c r="N930" s="507"/>
      <c r="O930" s="507"/>
      <c r="P930" s="507"/>
      <c r="Q930" s="507"/>
      <c r="R930" s="507"/>
      <c r="S930" s="507"/>
      <c r="T930" s="507"/>
      <c r="U930" s="507"/>
      <c r="V930" s="507"/>
      <c r="W930" s="507"/>
      <c r="X930" s="507"/>
      <c r="Y930" s="507"/>
      <c r="Z930" s="507"/>
    </row>
    <row r="931">
      <c r="A931" s="507"/>
      <c r="B931" s="572"/>
      <c r="C931" s="572"/>
      <c r="D931" s="572"/>
      <c r="E931" s="572"/>
      <c r="F931" s="572"/>
      <c r="G931" s="572"/>
      <c r="H931" s="572"/>
      <c r="I931" s="572"/>
      <c r="J931" s="507"/>
      <c r="K931" s="507"/>
      <c r="L931" s="507"/>
      <c r="M931" s="507"/>
      <c r="N931" s="507"/>
      <c r="O931" s="507"/>
      <c r="P931" s="507"/>
      <c r="Q931" s="507"/>
      <c r="R931" s="507"/>
      <c r="S931" s="507"/>
      <c r="T931" s="507"/>
      <c r="U931" s="507"/>
      <c r="V931" s="507"/>
      <c r="W931" s="507"/>
      <c r="X931" s="507"/>
      <c r="Y931" s="507"/>
      <c r="Z931" s="507"/>
    </row>
    <row r="932">
      <c r="A932" s="507"/>
      <c r="B932" s="572"/>
      <c r="C932" s="572"/>
      <c r="D932" s="572"/>
      <c r="E932" s="572"/>
      <c r="F932" s="572"/>
      <c r="G932" s="572"/>
      <c r="H932" s="572"/>
      <c r="I932" s="572"/>
      <c r="J932" s="507"/>
      <c r="K932" s="507"/>
      <c r="L932" s="507"/>
      <c r="M932" s="507"/>
      <c r="N932" s="507"/>
      <c r="O932" s="507"/>
      <c r="P932" s="507"/>
      <c r="Q932" s="507"/>
      <c r="R932" s="507"/>
      <c r="S932" s="507"/>
      <c r="T932" s="507"/>
      <c r="U932" s="507"/>
      <c r="V932" s="507"/>
      <c r="W932" s="507"/>
      <c r="X932" s="507"/>
      <c r="Y932" s="507"/>
      <c r="Z932" s="507"/>
    </row>
    <row r="933">
      <c r="A933" s="507"/>
      <c r="B933" s="572"/>
      <c r="C933" s="572"/>
      <c r="D933" s="572"/>
      <c r="E933" s="572"/>
      <c r="F933" s="572"/>
      <c r="G933" s="572"/>
      <c r="H933" s="572"/>
      <c r="I933" s="572"/>
      <c r="J933" s="507"/>
      <c r="K933" s="507"/>
      <c r="L933" s="507"/>
      <c r="M933" s="507"/>
      <c r="N933" s="507"/>
      <c r="O933" s="507"/>
      <c r="P933" s="507"/>
      <c r="Q933" s="507"/>
      <c r="R933" s="507"/>
      <c r="S933" s="507"/>
      <c r="T933" s="507"/>
      <c r="U933" s="507"/>
      <c r="V933" s="507"/>
      <c r="W933" s="507"/>
      <c r="X933" s="507"/>
      <c r="Y933" s="507"/>
      <c r="Z933" s="507"/>
    </row>
    <row r="934">
      <c r="A934" s="507"/>
      <c r="B934" s="572"/>
      <c r="C934" s="572"/>
      <c r="D934" s="572"/>
      <c r="E934" s="572"/>
      <c r="F934" s="572"/>
      <c r="G934" s="572"/>
      <c r="H934" s="572"/>
      <c r="I934" s="572"/>
      <c r="J934" s="507"/>
      <c r="K934" s="507"/>
      <c r="L934" s="507"/>
      <c r="M934" s="507"/>
      <c r="N934" s="507"/>
      <c r="O934" s="507"/>
      <c r="P934" s="507"/>
      <c r="Q934" s="507"/>
      <c r="R934" s="507"/>
      <c r="S934" s="507"/>
      <c r="T934" s="507"/>
      <c r="U934" s="507"/>
      <c r="V934" s="507"/>
      <c r="W934" s="507"/>
      <c r="X934" s="507"/>
      <c r="Y934" s="507"/>
      <c r="Z934" s="507"/>
    </row>
    <row r="935">
      <c r="A935" s="507"/>
      <c r="B935" s="572"/>
      <c r="C935" s="572"/>
      <c r="D935" s="572"/>
      <c r="E935" s="572"/>
      <c r="F935" s="572"/>
      <c r="G935" s="572"/>
      <c r="H935" s="572"/>
      <c r="I935" s="572"/>
      <c r="J935" s="507"/>
      <c r="K935" s="507"/>
      <c r="L935" s="507"/>
      <c r="M935" s="507"/>
      <c r="N935" s="507"/>
      <c r="O935" s="507"/>
      <c r="P935" s="507"/>
      <c r="Q935" s="507"/>
      <c r="R935" s="507"/>
      <c r="S935" s="507"/>
      <c r="T935" s="507"/>
      <c r="U935" s="507"/>
      <c r="V935" s="507"/>
      <c r="W935" s="507"/>
      <c r="X935" s="507"/>
      <c r="Y935" s="507"/>
      <c r="Z935" s="507"/>
    </row>
    <row r="936">
      <c r="A936" s="507"/>
      <c r="B936" s="572"/>
      <c r="C936" s="572"/>
      <c r="D936" s="572"/>
      <c r="E936" s="572"/>
      <c r="F936" s="572"/>
      <c r="G936" s="572"/>
      <c r="H936" s="572"/>
      <c r="I936" s="572"/>
      <c r="J936" s="507"/>
      <c r="K936" s="507"/>
      <c r="L936" s="507"/>
      <c r="M936" s="507"/>
      <c r="N936" s="507"/>
      <c r="O936" s="507"/>
      <c r="P936" s="507"/>
      <c r="Q936" s="507"/>
      <c r="R936" s="507"/>
      <c r="S936" s="507"/>
      <c r="T936" s="507"/>
      <c r="U936" s="507"/>
      <c r="V936" s="507"/>
      <c r="W936" s="507"/>
      <c r="X936" s="507"/>
      <c r="Y936" s="507"/>
      <c r="Z936" s="507"/>
    </row>
    <row r="937">
      <c r="A937" s="507"/>
      <c r="B937" s="572"/>
      <c r="C937" s="572"/>
      <c r="D937" s="572"/>
      <c r="E937" s="572"/>
      <c r="F937" s="572"/>
      <c r="G937" s="572"/>
      <c r="H937" s="572"/>
      <c r="I937" s="572"/>
      <c r="J937" s="507"/>
      <c r="K937" s="507"/>
      <c r="L937" s="507"/>
      <c r="M937" s="507"/>
      <c r="N937" s="507"/>
      <c r="O937" s="507"/>
      <c r="P937" s="507"/>
      <c r="Q937" s="507"/>
      <c r="R937" s="507"/>
      <c r="S937" s="507"/>
      <c r="T937" s="507"/>
      <c r="U937" s="507"/>
      <c r="V937" s="507"/>
      <c r="W937" s="507"/>
      <c r="X937" s="507"/>
      <c r="Y937" s="507"/>
      <c r="Z937" s="507"/>
    </row>
    <row r="938">
      <c r="A938" s="507"/>
      <c r="B938" s="572"/>
      <c r="C938" s="572"/>
      <c r="D938" s="572"/>
      <c r="E938" s="572"/>
      <c r="F938" s="572"/>
      <c r="G938" s="572"/>
      <c r="H938" s="572"/>
      <c r="I938" s="572"/>
      <c r="J938" s="507"/>
      <c r="K938" s="507"/>
      <c r="L938" s="507"/>
      <c r="M938" s="507"/>
      <c r="N938" s="507"/>
      <c r="O938" s="507"/>
      <c r="P938" s="507"/>
      <c r="Q938" s="507"/>
      <c r="R938" s="507"/>
      <c r="S938" s="507"/>
      <c r="T938" s="507"/>
      <c r="U938" s="507"/>
      <c r="V938" s="507"/>
      <c r="W938" s="507"/>
      <c r="X938" s="507"/>
      <c r="Y938" s="507"/>
      <c r="Z938" s="507"/>
    </row>
    <row r="939">
      <c r="A939" s="507"/>
      <c r="B939" s="572"/>
      <c r="C939" s="572"/>
      <c r="D939" s="572"/>
      <c r="E939" s="572"/>
      <c r="F939" s="572"/>
      <c r="G939" s="572"/>
      <c r="H939" s="572"/>
      <c r="I939" s="572"/>
      <c r="J939" s="507"/>
      <c r="K939" s="507"/>
      <c r="L939" s="507"/>
      <c r="M939" s="507"/>
      <c r="N939" s="507"/>
      <c r="O939" s="507"/>
      <c r="P939" s="507"/>
      <c r="Q939" s="507"/>
      <c r="R939" s="507"/>
      <c r="S939" s="507"/>
      <c r="T939" s="507"/>
      <c r="U939" s="507"/>
      <c r="V939" s="507"/>
      <c r="W939" s="507"/>
      <c r="X939" s="507"/>
      <c r="Y939" s="507"/>
      <c r="Z939" s="507"/>
    </row>
    <row r="940">
      <c r="A940" s="507"/>
      <c r="B940" s="572"/>
      <c r="C940" s="572"/>
      <c r="D940" s="572"/>
      <c r="E940" s="572"/>
      <c r="F940" s="572"/>
      <c r="G940" s="572"/>
      <c r="H940" s="572"/>
      <c r="I940" s="572"/>
      <c r="J940" s="507"/>
      <c r="K940" s="507"/>
      <c r="L940" s="507"/>
      <c r="M940" s="507"/>
      <c r="N940" s="507"/>
      <c r="O940" s="507"/>
      <c r="P940" s="507"/>
      <c r="Q940" s="507"/>
      <c r="R940" s="507"/>
      <c r="S940" s="507"/>
      <c r="T940" s="507"/>
      <c r="U940" s="507"/>
      <c r="V940" s="507"/>
      <c r="W940" s="507"/>
      <c r="X940" s="507"/>
      <c r="Y940" s="507"/>
      <c r="Z940" s="507"/>
    </row>
    <row r="941">
      <c r="A941" s="507"/>
      <c r="B941" s="572"/>
      <c r="C941" s="572"/>
      <c r="D941" s="572"/>
      <c r="E941" s="572"/>
      <c r="F941" s="572"/>
      <c r="G941" s="572"/>
      <c r="H941" s="572"/>
      <c r="I941" s="572"/>
      <c r="J941" s="507"/>
      <c r="K941" s="507"/>
      <c r="L941" s="507"/>
      <c r="M941" s="507"/>
      <c r="N941" s="507"/>
      <c r="O941" s="507"/>
      <c r="P941" s="507"/>
      <c r="Q941" s="507"/>
      <c r="R941" s="507"/>
      <c r="S941" s="507"/>
      <c r="T941" s="507"/>
      <c r="U941" s="507"/>
      <c r="V941" s="507"/>
      <c r="W941" s="507"/>
      <c r="X941" s="507"/>
      <c r="Y941" s="507"/>
      <c r="Z941" s="507"/>
    </row>
    <row r="942">
      <c r="A942" s="507"/>
      <c r="B942" s="572"/>
      <c r="C942" s="572"/>
      <c r="D942" s="572"/>
      <c r="E942" s="572"/>
      <c r="F942" s="572"/>
      <c r="G942" s="572"/>
      <c r="H942" s="572"/>
      <c r="I942" s="572"/>
      <c r="J942" s="507"/>
      <c r="K942" s="507"/>
      <c r="L942" s="507"/>
      <c r="M942" s="507"/>
      <c r="N942" s="507"/>
      <c r="O942" s="507"/>
      <c r="P942" s="507"/>
      <c r="Q942" s="507"/>
      <c r="R942" s="507"/>
      <c r="S942" s="507"/>
      <c r="T942" s="507"/>
      <c r="U942" s="507"/>
      <c r="V942" s="507"/>
      <c r="W942" s="507"/>
      <c r="X942" s="507"/>
      <c r="Y942" s="507"/>
      <c r="Z942" s="507"/>
    </row>
    <row r="943">
      <c r="A943" s="507"/>
      <c r="B943" s="572"/>
      <c r="C943" s="572"/>
      <c r="D943" s="572"/>
      <c r="E943" s="572"/>
      <c r="F943" s="572"/>
      <c r="G943" s="572"/>
      <c r="H943" s="572"/>
      <c r="I943" s="572"/>
      <c r="J943" s="507"/>
      <c r="K943" s="507"/>
      <c r="L943" s="507"/>
      <c r="M943" s="507"/>
      <c r="N943" s="507"/>
      <c r="O943" s="507"/>
      <c r="P943" s="507"/>
      <c r="Q943" s="507"/>
      <c r="R943" s="507"/>
      <c r="S943" s="507"/>
      <c r="T943" s="507"/>
      <c r="U943" s="507"/>
      <c r="V943" s="507"/>
      <c r="W943" s="507"/>
      <c r="X943" s="507"/>
      <c r="Y943" s="507"/>
      <c r="Z943" s="507"/>
    </row>
    <row r="944">
      <c r="A944" s="507"/>
      <c r="B944" s="572"/>
      <c r="C944" s="572"/>
      <c r="D944" s="572"/>
      <c r="E944" s="572"/>
      <c r="F944" s="572"/>
      <c r="G944" s="572"/>
      <c r="H944" s="572"/>
      <c r="I944" s="572"/>
      <c r="J944" s="507"/>
      <c r="K944" s="507"/>
      <c r="L944" s="507"/>
      <c r="M944" s="507"/>
      <c r="N944" s="507"/>
      <c r="O944" s="507"/>
      <c r="P944" s="507"/>
      <c r="Q944" s="507"/>
      <c r="R944" s="507"/>
      <c r="S944" s="507"/>
      <c r="T944" s="507"/>
      <c r="U944" s="507"/>
      <c r="V944" s="507"/>
      <c r="W944" s="507"/>
      <c r="X944" s="507"/>
      <c r="Y944" s="507"/>
      <c r="Z944" s="507"/>
    </row>
    <row r="945">
      <c r="A945" s="507"/>
      <c r="B945" s="572"/>
      <c r="C945" s="572"/>
      <c r="D945" s="572"/>
      <c r="E945" s="572"/>
      <c r="F945" s="572"/>
      <c r="G945" s="572"/>
      <c r="H945" s="572"/>
      <c r="I945" s="572"/>
      <c r="J945" s="507"/>
      <c r="K945" s="507"/>
      <c r="L945" s="507"/>
      <c r="M945" s="507"/>
      <c r="N945" s="507"/>
      <c r="O945" s="507"/>
      <c r="P945" s="507"/>
      <c r="Q945" s="507"/>
      <c r="R945" s="507"/>
      <c r="S945" s="507"/>
      <c r="T945" s="507"/>
      <c r="U945" s="507"/>
      <c r="V945" s="507"/>
      <c r="W945" s="507"/>
      <c r="X945" s="507"/>
      <c r="Y945" s="507"/>
      <c r="Z945" s="507"/>
    </row>
    <row r="946">
      <c r="A946" s="507"/>
      <c r="B946" s="572"/>
      <c r="C946" s="572"/>
      <c r="D946" s="572"/>
      <c r="E946" s="572"/>
      <c r="F946" s="572"/>
      <c r="G946" s="572"/>
      <c r="H946" s="572"/>
      <c r="I946" s="572"/>
      <c r="J946" s="507"/>
      <c r="K946" s="507"/>
      <c r="L946" s="507"/>
      <c r="M946" s="507"/>
      <c r="N946" s="507"/>
      <c r="O946" s="507"/>
      <c r="P946" s="507"/>
      <c r="Q946" s="507"/>
      <c r="R946" s="507"/>
      <c r="S946" s="507"/>
      <c r="T946" s="507"/>
      <c r="U946" s="507"/>
      <c r="V946" s="507"/>
      <c r="W946" s="507"/>
      <c r="X946" s="507"/>
      <c r="Y946" s="507"/>
      <c r="Z946" s="507"/>
    </row>
    <row r="947">
      <c r="A947" s="507"/>
      <c r="B947" s="572"/>
      <c r="C947" s="572"/>
      <c r="D947" s="572"/>
      <c r="E947" s="572"/>
      <c r="F947" s="572"/>
      <c r="G947" s="572"/>
      <c r="H947" s="572"/>
      <c r="I947" s="572"/>
      <c r="J947" s="507"/>
      <c r="K947" s="507"/>
      <c r="L947" s="507"/>
      <c r="M947" s="507"/>
      <c r="N947" s="507"/>
      <c r="O947" s="507"/>
      <c r="P947" s="507"/>
      <c r="Q947" s="507"/>
      <c r="R947" s="507"/>
      <c r="S947" s="507"/>
      <c r="T947" s="507"/>
      <c r="U947" s="507"/>
      <c r="V947" s="507"/>
      <c r="W947" s="507"/>
      <c r="X947" s="507"/>
      <c r="Y947" s="507"/>
      <c r="Z947" s="507"/>
    </row>
    <row r="948">
      <c r="A948" s="507"/>
      <c r="B948" s="572"/>
      <c r="C948" s="572"/>
      <c r="D948" s="572"/>
      <c r="E948" s="572"/>
      <c r="F948" s="572"/>
      <c r="G948" s="572"/>
      <c r="H948" s="572"/>
      <c r="I948" s="572"/>
      <c r="J948" s="507"/>
      <c r="K948" s="507"/>
      <c r="L948" s="507"/>
      <c r="M948" s="507"/>
      <c r="N948" s="507"/>
      <c r="O948" s="507"/>
      <c r="P948" s="507"/>
      <c r="Q948" s="507"/>
      <c r="R948" s="507"/>
      <c r="S948" s="507"/>
      <c r="T948" s="507"/>
      <c r="U948" s="507"/>
      <c r="V948" s="507"/>
      <c r="W948" s="507"/>
      <c r="X948" s="507"/>
      <c r="Y948" s="507"/>
      <c r="Z948" s="507"/>
    </row>
    <row r="949">
      <c r="A949" s="507"/>
      <c r="B949" s="572"/>
      <c r="C949" s="572"/>
      <c r="D949" s="572"/>
      <c r="E949" s="572"/>
      <c r="F949" s="572"/>
      <c r="G949" s="572"/>
      <c r="H949" s="572"/>
      <c r="I949" s="572"/>
      <c r="J949" s="507"/>
      <c r="K949" s="507"/>
      <c r="L949" s="507"/>
      <c r="M949" s="507"/>
      <c r="N949" s="507"/>
      <c r="O949" s="507"/>
      <c r="P949" s="507"/>
      <c r="Q949" s="507"/>
      <c r="R949" s="507"/>
      <c r="S949" s="507"/>
      <c r="T949" s="507"/>
      <c r="U949" s="507"/>
      <c r="V949" s="507"/>
      <c r="W949" s="507"/>
      <c r="X949" s="507"/>
      <c r="Y949" s="507"/>
      <c r="Z949" s="507"/>
    </row>
    <row r="950">
      <c r="A950" s="507"/>
      <c r="B950" s="572"/>
      <c r="C950" s="572"/>
      <c r="D950" s="572"/>
      <c r="E950" s="572"/>
      <c r="F950" s="572"/>
      <c r="G950" s="572"/>
      <c r="H950" s="572"/>
      <c r="I950" s="572"/>
      <c r="J950" s="507"/>
      <c r="K950" s="507"/>
      <c r="L950" s="507"/>
      <c r="M950" s="507"/>
      <c r="N950" s="507"/>
      <c r="O950" s="507"/>
      <c r="P950" s="507"/>
      <c r="Q950" s="507"/>
      <c r="R950" s="507"/>
      <c r="S950" s="507"/>
      <c r="T950" s="507"/>
      <c r="U950" s="507"/>
      <c r="V950" s="507"/>
      <c r="W950" s="507"/>
      <c r="X950" s="507"/>
      <c r="Y950" s="507"/>
      <c r="Z950" s="507"/>
    </row>
    <row r="951">
      <c r="A951" s="507"/>
      <c r="B951" s="572"/>
      <c r="C951" s="572"/>
      <c r="D951" s="572"/>
      <c r="E951" s="572"/>
      <c r="F951" s="572"/>
      <c r="G951" s="572"/>
      <c r="H951" s="572"/>
      <c r="I951" s="572"/>
      <c r="J951" s="507"/>
      <c r="K951" s="507"/>
      <c r="L951" s="507"/>
      <c r="M951" s="507"/>
      <c r="N951" s="507"/>
      <c r="O951" s="507"/>
      <c r="P951" s="507"/>
      <c r="Q951" s="507"/>
      <c r="R951" s="507"/>
      <c r="S951" s="507"/>
      <c r="T951" s="507"/>
      <c r="U951" s="507"/>
      <c r="V951" s="507"/>
      <c r="W951" s="507"/>
      <c r="X951" s="507"/>
      <c r="Y951" s="507"/>
      <c r="Z951" s="507"/>
    </row>
    <row r="952">
      <c r="A952" s="507"/>
      <c r="B952" s="572"/>
      <c r="C952" s="572"/>
      <c r="D952" s="572"/>
      <c r="E952" s="572"/>
      <c r="F952" s="572"/>
      <c r="G952" s="572"/>
      <c r="H952" s="572"/>
      <c r="I952" s="572"/>
      <c r="J952" s="507"/>
      <c r="K952" s="507"/>
      <c r="L952" s="507"/>
      <c r="M952" s="507"/>
      <c r="N952" s="507"/>
      <c r="O952" s="507"/>
      <c r="P952" s="507"/>
      <c r="Q952" s="507"/>
      <c r="R952" s="507"/>
      <c r="S952" s="507"/>
      <c r="T952" s="507"/>
      <c r="U952" s="507"/>
      <c r="V952" s="507"/>
      <c r="W952" s="507"/>
      <c r="X952" s="507"/>
      <c r="Y952" s="507"/>
      <c r="Z952" s="507"/>
    </row>
    <row r="953">
      <c r="A953" s="507"/>
      <c r="B953" s="572"/>
      <c r="C953" s="572"/>
      <c r="D953" s="572"/>
      <c r="E953" s="572"/>
      <c r="F953" s="572"/>
      <c r="G953" s="572"/>
      <c r="H953" s="572"/>
      <c r="I953" s="572"/>
      <c r="J953" s="507"/>
      <c r="K953" s="507"/>
      <c r="L953" s="507"/>
      <c r="M953" s="507"/>
      <c r="N953" s="507"/>
      <c r="O953" s="507"/>
      <c r="P953" s="507"/>
      <c r="Q953" s="507"/>
      <c r="R953" s="507"/>
      <c r="S953" s="507"/>
      <c r="T953" s="507"/>
      <c r="U953" s="507"/>
      <c r="V953" s="507"/>
      <c r="W953" s="507"/>
      <c r="X953" s="507"/>
      <c r="Y953" s="507"/>
      <c r="Z953" s="507"/>
    </row>
    <row r="954">
      <c r="A954" s="507"/>
      <c r="B954" s="572"/>
      <c r="C954" s="572"/>
      <c r="D954" s="572"/>
      <c r="E954" s="572"/>
      <c r="F954" s="572"/>
      <c r="G954" s="572"/>
      <c r="H954" s="572"/>
      <c r="I954" s="572"/>
      <c r="J954" s="507"/>
      <c r="K954" s="507"/>
      <c r="L954" s="507"/>
      <c r="M954" s="507"/>
      <c r="N954" s="507"/>
      <c r="O954" s="507"/>
      <c r="P954" s="507"/>
      <c r="Q954" s="507"/>
      <c r="R954" s="507"/>
      <c r="S954" s="507"/>
      <c r="T954" s="507"/>
      <c r="U954" s="507"/>
      <c r="V954" s="507"/>
      <c r="W954" s="507"/>
      <c r="X954" s="507"/>
      <c r="Y954" s="507"/>
      <c r="Z954" s="507"/>
    </row>
    <row r="955">
      <c r="A955" s="507"/>
      <c r="B955" s="572"/>
      <c r="C955" s="572"/>
      <c r="D955" s="572"/>
      <c r="E955" s="572"/>
      <c r="F955" s="572"/>
      <c r="G955" s="572"/>
      <c r="H955" s="572"/>
      <c r="I955" s="572"/>
      <c r="J955" s="507"/>
      <c r="K955" s="507"/>
      <c r="L955" s="507"/>
      <c r="M955" s="507"/>
      <c r="N955" s="507"/>
      <c r="O955" s="507"/>
      <c r="P955" s="507"/>
      <c r="Q955" s="507"/>
      <c r="R955" s="507"/>
      <c r="S955" s="507"/>
      <c r="T955" s="507"/>
      <c r="U955" s="507"/>
      <c r="V955" s="507"/>
      <c r="W955" s="507"/>
      <c r="X955" s="507"/>
      <c r="Y955" s="507"/>
      <c r="Z955" s="507"/>
    </row>
    <row r="956">
      <c r="A956" s="507"/>
      <c r="B956" s="572"/>
      <c r="C956" s="572"/>
      <c r="D956" s="572"/>
      <c r="E956" s="572"/>
      <c r="F956" s="572"/>
      <c r="G956" s="572"/>
      <c r="H956" s="572"/>
      <c r="I956" s="572"/>
      <c r="J956" s="507"/>
      <c r="K956" s="507"/>
      <c r="L956" s="507"/>
      <c r="M956" s="507"/>
      <c r="N956" s="507"/>
      <c r="O956" s="507"/>
      <c r="P956" s="507"/>
      <c r="Q956" s="507"/>
      <c r="R956" s="507"/>
      <c r="S956" s="507"/>
      <c r="T956" s="507"/>
      <c r="U956" s="507"/>
      <c r="V956" s="507"/>
      <c r="W956" s="507"/>
      <c r="X956" s="507"/>
      <c r="Y956" s="507"/>
      <c r="Z956" s="507"/>
    </row>
    <row r="957">
      <c r="A957" s="507"/>
      <c r="B957" s="572"/>
      <c r="C957" s="572"/>
      <c r="D957" s="572"/>
      <c r="E957" s="572"/>
      <c r="F957" s="572"/>
      <c r="G957" s="572"/>
      <c r="H957" s="572"/>
      <c r="I957" s="572"/>
      <c r="J957" s="507"/>
      <c r="K957" s="507"/>
      <c r="L957" s="507"/>
      <c r="M957" s="507"/>
      <c r="N957" s="507"/>
      <c r="O957" s="507"/>
      <c r="P957" s="507"/>
      <c r="Q957" s="507"/>
      <c r="R957" s="507"/>
      <c r="S957" s="507"/>
      <c r="T957" s="507"/>
      <c r="U957" s="507"/>
      <c r="V957" s="507"/>
      <c r="W957" s="507"/>
      <c r="X957" s="507"/>
      <c r="Y957" s="507"/>
      <c r="Z957" s="507"/>
    </row>
    <row r="958">
      <c r="A958" s="507"/>
      <c r="B958" s="572"/>
      <c r="C958" s="572"/>
      <c r="D958" s="572"/>
      <c r="E958" s="572"/>
      <c r="F958" s="572"/>
      <c r="G958" s="572"/>
      <c r="H958" s="572"/>
      <c r="I958" s="572"/>
      <c r="J958" s="507"/>
      <c r="K958" s="507"/>
      <c r="L958" s="507"/>
      <c r="M958" s="507"/>
      <c r="N958" s="507"/>
      <c r="O958" s="507"/>
      <c r="P958" s="507"/>
      <c r="Q958" s="507"/>
      <c r="R958" s="507"/>
      <c r="S958" s="507"/>
      <c r="T958" s="507"/>
      <c r="U958" s="507"/>
      <c r="V958" s="507"/>
      <c r="W958" s="507"/>
      <c r="X958" s="507"/>
      <c r="Y958" s="507"/>
      <c r="Z958" s="507"/>
    </row>
    <row r="959">
      <c r="A959" s="507"/>
      <c r="B959" s="572"/>
      <c r="C959" s="572"/>
      <c r="D959" s="572"/>
      <c r="E959" s="572"/>
      <c r="F959" s="572"/>
      <c r="G959" s="572"/>
      <c r="H959" s="572"/>
      <c r="I959" s="572"/>
      <c r="J959" s="507"/>
      <c r="K959" s="507"/>
      <c r="L959" s="507"/>
      <c r="M959" s="507"/>
      <c r="N959" s="507"/>
      <c r="O959" s="507"/>
      <c r="P959" s="507"/>
      <c r="Q959" s="507"/>
      <c r="R959" s="507"/>
      <c r="S959" s="507"/>
      <c r="T959" s="507"/>
      <c r="U959" s="507"/>
      <c r="V959" s="507"/>
      <c r="W959" s="507"/>
      <c r="X959" s="507"/>
      <c r="Y959" s="507"/>
      <c r="Z959" s="507"/>
    </row>
    <row r="960">
      <c r="A960" s="507"/>
      <c r="B960" s="572"/>
      <c r="C960" s="572"/>
      <c r="D960" s="572"/>
      <c r="E960" s="572"/>
      <c r="F960" s="572"/>
      <c r="G960" s="572"/>
      <c r="H960" s="572"/>
      <c r="I960" s="572"/>
      <c r="J960" s="507"/>
      <c r="K960" s="507"/>
      <c r="L960" s="507"/>
      <c r="M960" s="507"/>
      <c r="N960" s="507"/>
      <c r="O960" s="507"/>
      <c r="P960" s="507"/>
      <c r="Q960" s="507"/>
      <c r="R960" s="507"/>
      <c r="S960" s="507"/>
      <c r="T960" s="507"/>
      <c r="U960" s="507"/>
      <c r="V960" s="507"/>
      <c r="W960" s="507"/>
      <c r="X960" s="507"/>
      <c r="Y960" s="507"/>
      <c r="Z960" s="507"/>
    </row>
    <row r="961">
      <c r="A961" s="507"/>
      <c r="B961" s="572"/>
      <c r="C961" s="572"/>
      <c r="D961" s="572"/>
      <c r="E961" s="572"/>
      <c r="F961" s="572"/>
      <c r="G961" s="572"/>
      <c r="H961" s="572"/>
      <c r="I961" s="572"/>
      <c r="J961" s="507"/>
      <c r="K961" s="507"/>
      <c r="L961" s="507"/>
      <c r="M961" s="507"/>
      <c r="N961" s="507"/>
      <c r="O961" s="507"/>
      <c r="P961" s="507"/>
      <c r="Q961" s="507"/>
      <c r="R961" s="507"/>
      <c r="S961" s="507"/>
      <c r="T961" s="507"/>
      <c r="U961" s="507"/>
      <c r="V961" s="507"/>
      <c r="W961" s="507"/>
      <c r="X961" s="507"/>
      <c r="Y961" s="507"/>
      <c r="Z961" s="507"/>
    </row>
    <row r="962">
      <c r="A962" s="507"/>
      <c r="B962" s="572"/>
      <c r="C962" s="572"/>
      <c r="D962" s="572"/>
      <c r="E962" s="572"/>
      <c r="F962" s="572"/>
      <c r="G962" s="572"/>
      <c r="H962" s="572"/>
      <c r="I962" s="572"/>
      <c r="J962" s="507"/>
      <c r="K962" s="507"/>
      <c r="L962" s="507"/>
      <c r="M962" s="507"/>
      <c r="N962" s="507"/>
      <c r="O962" s="507"/>
      <c r="P962" s="507"/>
      <c r="Q962" s="507"/>
      <c r="R962" s="507"/>
      <c r="S962" s="507"/>
      <c r="T962" s="507"/>
      <c r="U962" s="507"/>
      <c r="V962" s="507"/>
      <c r="W962" s="507"/>
      <c r="X962" s="507"/>
      <c r="Y962" s="507"/>
      <c r="Z962" s="507"/>
    </row>
    <row r="963">
      <c r="A963" s="507"/>
      <c r="B963" s="572"/>
      <c r="C963" s="572"/>
      <c r="D963" s="572"/>
      <c r="E963" s="572"/>
      <c r="F963" s="572"/>
      <c r="G963" s="572"/>
      <c r="H963" s="572"/>
      <c r="I963" s="572"/>
      <c r="J963" s="507"/>
      <c r="K963" s="507"/>
      <c r="L963" s="507"/>
      <c r="M963" s="507"/>
      <c r="N963" s="507"/>
      <c r="O963" s="507"/>
      <c r="P963" s="507"/>
      <c r="Q963" s="507"/>
      <c r="R963" s="507"/>
      <c r="S963" s="507"/>
      <c r="T963" s="507"/>
      <c r="U963" s="507"/>
      <c r="V963" s="507"/>
      <c r="W963" s="507"/>
      <c r="X963" s="507"/>
      <c r="Y963" s="507"/>
      <c r="Z963" s="507"/>
    </row>
    <row r="964">
      <c r="A964" s="507"/>
      <c r="B964" s="572"/>
      <c r="C964" s="572"/>
      <c r="D964" s="572"/>
      <c r="E964" s="572"/>
      <c r="F964" s="572"/>
      <c r="G964" s="572"/>
      <c r="H964" s="572"/>
      <c r="I964" s="572"/>
      <c r="J964" s="507"/>
      <c r="K964" s="507"/>
      <c r="L964" s="507"/>
      <c r="M964" s="507"/>
      <c r="N964" s="507"/>
      <c r="O964" s="507"/>
      <c r="P964" s="507"/>
      <c r="Q964" s="507"/>
      <c r="R964" s="507"/>
      <c r="S964" s="507"/>
      <c r="T964" s="507"/>
      <c r="U964" s="507"/>
      <c r="V964" s="507"/>
      <c r="W964" s="507"/>
      <c r="X964" s="507"/>
      <c r="Y964" s="507"/>
      <c r="Z964" s="507"/>
    </row>
    <row r="965">
      <c r="A965" s="507"/>
      <c r="B965" s="572"/>
      <c r="C965" s="572"/>
      <c r="D965" s="572"/>
      <c r="E965" s="572"/>
      <c r="F965" s="572"/>
      <c r="G965" s="572"/>
      <c r="H965" s="572"/>
      <c r="I965" s="572"/>
      <c r="J965" s="507"/>
      <c r="K965" s="507"/>
      <c r="L965" s="507"/>
      <c r="M965" s="507"/>
      <c r="N965" s="507"/>
      <c r="O965" s="507"/>
      <c r="P965" s="507"/>
      <c r="Q965" s="507"/>
      <c r="R965" s="507"/>
      <c r="S965" s="507"/>
      <c r="T965" s="507"/>
      <c r="U965" s="507"/>
      <c r="V965" s="507"/>
      <c r="W965" s="507"/>
      <c r="X965" s="507"/>
      <c r="Y965" s="507"/>
      <c r="Z965" s="507"/>
    </row>
    <row r="966">
      <c r="A966" s="507"/>
      <c r="B966" s="572"/>
      <c r="C966" s="572"/>
      <c r="D966" s="572"/>
      <c r="E966" s="572"/>
      <c r="F966" s="572"/>
      <c r="G966" s="572"/>
      <c r="H966" s="572"/>
      <c r="I966" s="572"/>
      <c r="J966" s="507"/>
      <c r="K966" s="507"/>
      <c r="L966" s="507"/>
      <c r="M966" s="507"/>
      <c r="N966" s="507"/>
      <c r="O966" s="507"/>
      <c r="P966" s="507"/>
      <c r="Q966" s="507"/>
      <c r="R966" s="507"/>
      <c r="S966" s="507"/>
      <c r="T966" s="507"/>
      <c r="U966" s="507"/>
      <c r="V966" s="507"/>
      <c r="W966" s="507"/>
      <c r="X966" s="507"/>
      <c r="Y966" s="507"/>
      <c r="Z966" s="507"/>
    </row>
    <row r="967">
      <c r="A967" s="507"/>
      <c r="B967" s="572"/>
      <c r="C967" s="572"/>
      <c r="D967" s="572"/>
      <c r="E967" s="572"/>
      <c r="F967" s="572"/>
      <c r="G967" s="572"/>
      <c r="H967" s="572"/>
      <c r="I967" s="572"/>
      <c r="J967" s="507"/>
      <c r="K967" s="507"/>
      <c r="L967" s="507"/>
      <c r="M967" s="507"/>
      <c r="N967" s="507"/>
      <c r="O967" s="507"/>
      <c r="P967" s="507"/>
      <c r="Q967" s="507"/>
      <c r="R967" s="507"/>
      <c r="S967" s="507"/>
      <c r="T967" s="507"/>
      <c r="U967" s="507"/>
      <c r="V967" s="507"/>
      <c r="W967" s="507"/>
      <c r="X967" s="507"/>
      <c r="Y967" s="507"/>
      <c r="Z967" s="507"/>
    </row>
    <row r="968">
      <c r="A968" s="507"/>
      <c r="B968" s="572"/>
      <c r="C968" s="572"/>
      <c r="D968" s="572"/>
      <c r="E968" s="572"/>
      <c r="F968" s="572"/>
      <c r="G968" s="572"/>
      <c r="H968" s="572"/>
      <c r="I968" s="572"/>
      <c r="J968" s="507"/>
      <c r="K968" s="507"/>
      <c r="L968" s="507"/>
      <c r="M968" s="507"/>
      <c r="N968" s="507"/>
      <c r="O968" s="507"/>
      <c r="P968" s="507"/>
      <c r="Q968" s="507"/>
      <c r="R968" s="507"/>
      <c r="S968" s="507"/>
      <c r="T968" s="507"/>
      <c r="U968" s="507"/>
      <c r="V968" s="507"/>
      <c r="W968" s="507"/>
      <c r="X968" s="507"/>
      <c r="Y968" s="507"/>
      <c r="Z968" s="507"/>
    </row>
    <row r="969">
      <c r="A969" s="507"/>
      <c r="B969" s="572"/>
      <c r="C969" s="572"/>
      <c r="D969" s="572"/>
      <c r="E969" s="572"/>
      <c r="F969" s="572"/>
      <c r="G969" s="572"/>
      <c r="H969" s="572"/>
      <c r="I969" s="572"/>
      <c r="J969" s="507"/>
      <c r="K969" s="507"/>
      <c r="L969" s="507"/>
      <c r="M969" s="507"/>
      <c r="N969" s="507"/>
      <c r="O969" s="507"/>
      <c r="P969" s="507"/>
      <c r="Q969" s="507"/>
      <c r="R969" s="507"/>
      <c r="S969" s="507"/>
      <c r="T969" s="507"/>
      <c r="U969" s="507"/>
      <c r="V969" s="507"/>
      <c r="W969" s="507"/>
      <c r="X969" s="507"/>
      <c r="Y969" s="507"/>
      <c r="Z969" s="507"/>
    </row>
    <row r="970">
      <c r="A970" s="507"/>
      <c r="B970" s="572"/>
      <c r="C970" s="572"/>
      <c r="D970" s="572"/>
      <c r="E970" s="572"/>
      <c r="F970" s="572"/>
      <c r="G970" s="572"/>
      <c r="H970" s="572"/>
      <c r="I970" s="572"/>
      <c r="J970" s="507"/>
      <c r="K970" s="507"/>
      <c r="L970" s="507"/>
      <c r="M970" s="507"/>
      <c r="N970" s="507"/>
      <c r="O970" s="507"/>
      <c r="P970" s="507"/>
      <c r="Q970" s="507"/>
      <c r="R970" s="507"/>
      <c r="S970" s="507"/>
      <c r="T970" s="507"/>
      <c r="U970" s="507"/>
      <c r="V970" s="507"/>
      <c r="W970" s="507"/>
      <c r="X970" s="507"/>
      <c r="Y970" s="507"/>
      <c r="Z970" s="507"/>
    </row>
    <row r="971">
      <c r="A971" s="507"/>
      <c r="B971" s="572"/>
      <c r="C971" s="572"/>
      <c r="D971" s="572"/>
      <c r="E971" s="572"/>
      <c r="F971" s="572"/>
      <c r="G971" s="572"/>
      <c r="H971" s="572"/>
      <c r="I971" s="572"/>
      <c r="J971" s="507"/>
      <c r="K971" s="507"/>
      <c r="L971" s="507"/>
      <c r="M971" s="507"/>
      <c r="N971" s="507"/>
      <c r="O971" s="507"/>
      <c r="P971" s="507"/>
      <c r="Q971" s="507"/>
      <c r="R971" s="507"/>
      <c r="S971" s="507"/>
      <c r="T971" s="507"/>
      <c r="U971" s="507"/>
      <c r="V971" s="507"/>
      <c r="W971" s="507"/>
      <c r="X971" s="507"/>
      <c r="Y971" s="507"/>
      <c r="Z971" s="507"/>
    </row>
    <row r="972">
      <c r="A972" s="507"/>
      <c r="B972" s="572"/>
      <c r="C972" s="572"/>
      <c r="D972" s="572"/>
      <c r="E972" s="572"/>
      <c r="F972" s="572"/>
      <c r="G972" s="572"/>
      <c r="H972" s="572"/>
      <c r="I972" s="572"/>
      <c r="J972" s="507"/>
      <c r="K972" s="507"/>
      <c r="L972" s="507"/>
      <c r="M972" s="507"/>
      <c r="N972" s="507"/>
      <c r="O972" s="507"/>
      <c r="P972" s="507"/>
      <c r="Q972" s="507"/>
      <c r="R972" s="507"/>
      <c r="S972" s="507"/>
      <c r="T972" s="507"/>
      <c r="U972" s="507"/>
      <c r="V972" s="507"/>
      <c r="W972" s="507"/>
      <c r="X972" s="507"/>
      <c r="Y972" s="507"/>
      <c r="Z972" s="507"/>
    </row>
    <row r="973">
      <c r="A973" s="507"/>
      <c r="B973" s="572"/>
      <c r="C973" s="572"/>
      <c r="D973" s="572"/>
      <c r="E973" s="572"/>
      <c r="F973" s="572"/>
      <c r="G973" s="572"/>
      <c r="H973" s="572"/>
      <c r="I973" s="572"/>
      <c r="J973" s="507"/>
      <c r="K973" s="507"/>
      <c r="L973" s="507"/>
      <c r="M973" s="507"/>
      <c r="N973" s="507"/>
      <c r="O973" s="507"/>
      <c r="P973" s="507"/>
      <c r="Q973" s="507"/>
      <c r="R973" s="507"/>
      <c r="S973" s="507"/>
      <c r="T973" s="507"/>
      <c r="U973" s="507"/>
      <c r="V973" s="507"/>
      <c r="W973" s="507"/>
      <c r="X973" s="507"/>
      <c r="Y973" s="507"/>
      <c r="Z973" s="507"/>
    </row>
    <row r="974">
      <c r="A974" s="507"/>
      <c r="B974" s="572"/>
      <c r="C974" s="572"/>
      <c r="D974" s="572"/>
      <c r="E974" s="572"/>
      <c r="F974" s="572"/>
      <c r="G974" s="572"/>
      <c r="H974" s="572"/>
      <c r="I974" s="572"/>
      <c r="J974" s="507"/>
      <c r="K974" s="507"/>
      <c r="L974" s="507"/>
      <c r="M974" s="507"/>
      <c r="N974" s="507"/>
      <c r="O974" s="507"/>
      <c r="P974" s="507"/>
      <c r="Q974" s="507"/>
      <c r="R974" s="507"/>
      <c r="S974" s="507"/>
      <c r="T974" s="507"/>
      <c r="U974" s="507"/>
      <c r="V974" s="507"/>
      <c r="W974" s="507"/>
      <c r="X974" s="507"/>
      <c r="Y974" s="507"/>
      <c r="Z974" s="507"/>
    </row>
    <row r="975">
      <c r="A975" s="507"/>
      <c r="B975" s="572"/>
      <c r="C975" s="572"/>
      <c r="D975" s="572"/>
      <c r="E975" s="572"/>
      <c r="F975" s="572"/>
      <c r="G975" s="572"/>
      <c r="H975" s="572"/>
      <c r="I975" s="572"/>
      <c r="J975" s="507"/>
      <c r="K975" s="507"/>
      <c r="L975" s="507"/>
      <c r="M975" s="507"/>
      <c r="N975" s="507"/>
      <c r="O975" s="507"/>
      <c r="P975" s="507"/>
      <c r="Q975" s="507"/>
      <c r="R975" s="507"/>
      <c r="S975" s="507"/>
      <c r="T975" s="507"/>
      <c r="U975" s="507"/>
      <c r="V975" s="507"/>
      <c r="W975" s="507"/>
      <c r="X975" s="507"/>
      <c r="Y975" s="507"/>
      <c r="Z975" s="507"/>
    </row>
    <row r="976">
      <c r="A976" s="507"/>
      <c r="B976" s="572"/>
      <c r="C976" s="572"/>
      <c r="D976" s="572"/>
      <c r="E976" s="572"/>
      <c r="F976" s="572"/>
      <c r="G976" s="572"/>
      <c r="H976" s="572"/>
      <c r="I976" s="572"/>
      <c r="J976" s="507"/>
      <c r="K976" s="507"/>
      <c r="L976" s="507"/>
      <c r="M976" s="507"/>
      <c r="N976" s="507"/>
      <c r="O976" s="507"/>
      <c r="P976" s="507"/>
      <c r="Q976" s="507"/>
      <c r="R976" s="507"/>
      <c r="S976" s="507"/>
      <c r="T976" s="507"/>
      <c r="U976" s="507"/>
      <c r="V976" s="507"/>
      <c r="W976" s="507"/>
      <c r="X976" s="507"/>
      <c r="Y976" s="507"/>
      <c r="Z976" s="507"/>
    </row>
    <row r="977">
      <c r="A977" s="507"/>
      <c r="B977" s="572"/>
      <c r="C977" s="572"/>
      <c r="D977" s="572"/>
      <c r="E977" s="572"/>
      <c r="F977" s="572"/>
      <c r="G977" s="572"/>
      <c r="H977" s="572"/>
      <c r="I977" s="572"/>
      <c r="J977" s="507"/>
      <c r="K977" s="507"/>
      <c r="L977" s="507"/>
      <c r="M977" s="507"/>
      <c r="N977" s="507"/>
      <c r="O977" s="507"/>
      <c r="P977" s="507"/>
      <c r="Q977" s="507"/>
      <c r="R977" s="507"/>
      <c r="S977" s="507"/>
      <c r="T977" s="507"/>
      <c r="U977" s="507"/>
      <c r="V977" s="507"/>
      <c r="W977" s="507"/>
      <c r="X977" s="507"/>
      <c r="Y977" s="507"/>
      <c r="Z977" s="507"/>
    </row>
    <row r="978">
      <c r="A978" s="507"/>
      <c r="B978" s="572"/>
      <c r="C978" s="572"/>
      <c r="D978" s="572"/>
      <c r="E978" s="572"/>
      <c r="F978" s="572"/>
      <c r="G978" s="572"/>
      <c r="H978" s="572"/>
      <c r="I978" s="572"/>
      <c r="J978" s="507"/>
      <c r="K978" s="507"/>
      <c r="L978" s="507"/>
      <c r="M978" s="507"/>
      <c r="N978" s="507"/>
      <c r="O978" s="507"/>
      <c r="P978" s="507"/>
      <c r="Q978" s="507"/>
      <c r="R978" s="507"/>
      <c r="S978" s="507"/>
      <c r="T978" s="507"/>
      <c r="U978" s="507"/>
      <c r="V978" s="507"/>
      <c r="W978" s="507"/>
      <c r="X978" s="507"/>
      <c r="Y978" s="507"/>
      <c r="Z978" s="507"/>
    </row>
    <row r="979">
      <c r="A979" s="507"/>
      <c r="B979" s="572"/>
      <c r="C979" s="572"/>
      <c r="D979" s="572"/>
      <c r="E979" s="572"/>
      <c r="F979" s="572"/>
      <c r="G979" s="572"/>
      <c r="H979" s="572"/>
      <c r="I979" s="572"/>
      <c r="J979" s="507"/>
      <c r="K979" s="507"/>
      <c r="L979" s="507"/>
      <c r="M979" s="507"/>
      <c r="N979" s="507"/>
      <c r="O979" s="507"/>
      <c r="P979" s="507"/>
      <c r="Q979" s="507"/>
      <c r="R979" s="507"/>
      <c r="S979" s="507"/>
      <c r="T979" s="507"/>
      <c r="U979" s="507"/>
      <c r="V979" s="507"/>
      <c r="W979" s="507"/>
      <c r="X979" s="507"/>
      <c r="Y979" s="507"/>
      <c r="Z979" s="507"/>
    </row>
    <row r="980">
      <c r="A980" s="507"/>
      <c r="B980" s="572"/>
      <c r="C980" s="572"/>
      <c r="D980" s="572"/>
      <c r="E980" s="572"/>
      <c r="F980" s="572"/>
      <c r="G980" s="572"/>
      <c r="H980" s="572"/>
      <c r="I980" s="572"/>
      <c r="J980" s="507"/>
      <c r="K980" s="507"/>
      <c r="L980" s="507"/>
      <c r="M980" s="507"/>
      <c r="N980" s="507"/>
      <c r="O980" s="507"/>
      <c r="P980" s="507"/>
      <c r="Q980" s="507"/>
      <c r="R980" s="507"/>
      <c r="S980" s="507"/>
      <c r="T980" s="507"/>
      <c r="U980" s="507"/>
      <c r="V980" s="507"/>
      <c r="W980" s="507"/>
      <c r="X980" s="507"/>
      <c r="Y980" s="507"/>
      <c r="Z980" s="507"/>
    </row>
    <row r="981">
      <c r="A981" s="507"/>
      <c r="B981" s="572"/>
      <c r="C981" s="572"/>
      <c r="D981" s="572"/>
      <c r="E981" s="572"/>
      <c r="F981" s="572"/>
      <c r="G981" s="572"/>
      <c r="H981" s="572"/>
      <c r="I981" s="572"/>
      <c r="J981" s="507"/>
      <c r="K981" s="507"/>
      <c r="L981" s="507"/>
      <c r="M981" s="507"/>
      <c r="N981" s="507"/>
      <c r="O981" s="507"/>
      <c r="P981" s="507"/>
      <c r="Q981" s="507"/>
      <c r="R981" s="507"/>
      <c r="S981" s="507"/>
      <c r="T981" s="507"/>
      <c r="U981" s="507"/>
      <c r="V981" s="507"/>
      <c r="W981" s="507"/>
      <c r="X981" s="507"/>
      <c r="Y981" s="507"/>
      <c r="Z981" s="507"/>
    </row>
    <row r="982">
      <c r="A982" s="507"/>
      <c r="B982" s="572"/>
      <c r="C982" s="572"/>
      <c r="D982" s="572"/>
      <c r="E982" s="572"/>
      <c r="F982" s="572"/>
      <c r="G982" s="572"/>
      <c r="H982" s="572"/>
      <c r="I982" s="572"/>
      <c r="J982" s="507"/>
      <c r="K982" s="507"/>
      <c r="L982" s="507"/>
      <c r="M982" s="507"/>
      <c r="N982" s="507"/>
      <c r="O982" s="507"/>
      <c r="P982" s="507"/>
      <c r="Q982" s="507"/>
      <c r="R982" s="507"/>
      <c r="S982" s="507"/>
      <c r="T982" s="507"/>
      <c r="U982" s="507"/>
      <c r="V982" s="507"/>
      <c r="W982" s="507"/>
      <c r="X982" s="507"/>
      <c r="Y982" s="507"/>
      <c r="Z982" s="507"/>
    </row>
    <row r="983">
      <c r="A983" s="507"/>
      <c r="B983" s="572"/>
      <c r="C983" s="572"/>
      <c r="D983" s="572"/>
      <c r="E983" s="572"/>
      <c r="F983" s="572"/>
      <c r="G983" s="572"/>
      <c r="H983" s="572"/>
      <c r="I983" s="572"/>
      <c r="J983" s="507"/>
      <c r="K983" s="507"/>
      <c r="L983" s="507"/>
      <c r="M983" s="507"/>
      <c r="N983" s="507"/>
      <c r="O983" s="507"/>
      <c r="P983" s="507"/>
      <c r="Q983" s="507"/>
      <c r="R983" s="507"/>
      <c r="S983" s="507"/>
      <c r="T983" s="507"/>
      <c r="U983" s="507"/>
      <c r="V983" s="507"/>
      <c r="W983" s="507"/>
      <c r="X983" s="507"/>
      <c r="Y983" s="507"/>
      <c r="Z983" s="507"/>
    </row>
    <row r="984">
      <c r="A984" s="507"/>
      <c r="B984" s="572"/>
      <c r="C984" s="572"/>
      <c r="D984" s="572"/>
      <c r="E984" s="572"/>
      <c r="F984" s="572"/>
      <c r="G984" s="572"/>
      <c r="H984" s="572"/>
      <c r="I984" s="572"/>
      <c r="J984" s="507"/>
      <c r="K984" s="507"/>
      <c r="L984" s="507"/>
      <c r="M984" s="507"/>
      <c r="N984" s="507"/>
      <c r="O984" s="507"/>
      <c r="P984" s="507"/>
      <c r="Q984" s="507"/>
      <c r="R984" s="507"/>
      <c r="S984" s="507"/>
      <c r="T984" s="507"/>
      <c r="U984" s="507"/>
      <c r="V984" s="507"/>
      <c r="W984" s="507"/>
      <c r="X984" s="507"/>
      <c r="Y984" s="507"/>
      <c r="Z984" s="507"/>
    </row>
    <row r="985">
      <c r="A985" s="507"/>
      <c r="B985" s="572"/>
      <c r="C985" s="572"/>
      <c r="D985" s="572"/>
      <c r="E985" s="572"/>
      <c r="F985" s="572"/>
      <c r="G985" s="572"/>
      <c r="H985" s="572"/>
      <c r="I985" s="572"/>
      <c r="J985" s="507"/>
      <c r="K985" s="507"/>
      <c r="L985" s="507"/>
      <c r="M985" s="507"/>
      <c r="N985" s="507"/>
      <c r="O985" s="507"/>
      <c r="P985" s="507"/>
      <c r="Q985" s="507"/>
      <c r="R985" s="507"/>
      <c r="S985" s="507"/>
      <c r="T985" s="507"/>
      <c r="U985" s="507"/>
      <c r="V985" s="507"/>
      <c r="W985" s="507"/>
      <c r="X985" s="507"/>
      <c r="Y985" s="507"/>
      <c r="Z985" s="507"/>
    </row>
    <row r="986">
      <c r="A986" s="507"/>
      <c r="B986" s="572"/>
      <c r="C986" s="572"/>
      <c r="D986" s="572"/>
      <c r="E986" s="572"/>
      <c r="F986" s="572"/>
      <c r="G986" s="572"/>
      <c r="H986" s="572"/>
      <c r="I986" s="572"/>
      <c r="J986" s="507"/>
      <c r="K986" s="507"/>
      <c r="L986" s="507"/>
      <c r="M986" s="507"/>
      <c r="N986" s="507"/>
      <c r="O986" s="507"/>
      <c r="P986" s="507"/>
      <c r="Q986" s="507"/>
      <c r="R986" s="507"/>
      <c r="S986" s="507"/>
      <c r="T986" s="507"/>
      <c r="U986" s="507"/>
      <c r="V986" s="507"/>
      <c r="W986" s="507"/>
      <c r="X986" s="507"/>
      <c r="Y986" s="507"/>
      <c r="Z986" s="507"/>
    </row>
    <row r="987">
      <c r="A987" s="507"/>
      <c r="B987" s="572"/>
      <c r="C987" s="572"/>
      <c r="D987" s="572"/>
      <c r="E987" s="572"/>
      <c r="F987" s="572"/>
      <c r="G987" s="572"/>
      <c r="H987" s="572"/>
      <c r="I987" s="572"/>
      <c r="J987" s="507"/>
      <c r="K987" s="507"/>
      <c r="L987" s="507"/>
      <c r="M987" s="507"/>
      <c r="N987" s="507"/>
      <c r="O987" s="507"/>
      <c r="P987" s="507"/>
      <c r="Q987" s="507"/>
      <c r="R987" s="507"/>
      <c r="S987" s="507"/>
      <c r="T987" s="507"/>
      <c r="U987" s="507"/>
      <c r="V987" s="507"/>
      <c r="W987" s="507"/>
      <c r="X987" s="507"/>
      <c r="Y987" s="507"/>
      <c r="Z987" s="507"/>
    </row>
    <row r="988">
      <c r="A988" s="507"/>
      <c r="B988" s="572"/>
      <c r="C988" s="572"/>
      <c r="D988" s="572"/>
      <c r="E988" s="572"/>
      <c r="F988" s="572"/>
      <c r="G988" s="572"/>
      <c r="H988" s="572"/>
      <c r="I988" s="572"/>
      <c r="J988" s="507"/>
      <c r="K988" s="507"/>
      <c r="L988" s="507"/>
      <c r="M988" s="507"/>
      <c r="N988" s="507"/>
      <c r="O988" s="507"/>
      <c r="P988" s="507"/>
      <c r="Q988" s="507"/>
      <c r="R988" s="507"/>
      <c r="S988" s="507"/>
      <c r="T988" s="507"/>
      <c r="U988" s="507"/>
      <c r="V988" s="507"/>
      <c r="W988" s="507"/>
      <c r="X988" s="507"/>
      <c r="Y988" s="507"/>
      <c r="Z988" s="507"/>
    </row>
    <row r="989">
      <c r="A989" s="507"/>
      <c r="B989" s="572"/>
      <c r="C989" s="572"/>
      <c r="D989" s="572"/>
      <c r="E989" s="572"/>
      <c r="F989" s="572"/>
      <c r="G989" s="572"/>
      <c r="H989" s="572"/>
      <c r="I989" s="572"/>
      <c r="J989" s="507"/>
      <c r="K989" s="507"/>
      <c r="L989" s="507"/>
      <c r="M989" s="507"/>
      <c r="N989" s="507"/>
      <c r="O989" s="507"/>
      <c r="P989" s="507"/>
      <c r="Q989" s="507"/>
      <c r="R989" s="507"/>
      <c r="S989" s="507"/>
      <c r="T989" s="507"/>
      <c r="U989" s="507"/>
      <c r="V989" s="507"/>
      <c r="W989" s="507"/>
      <c r="X989" s="507"/>
      <c r="Y989" s="507"/>
      <c r="Z989" s="507"/>
    </row>
    <row r="990">
      <c r="A990" s="507"/>
      <c r="B990" s="572"/>
      <c r="C990" s="572"/>
      <c r="D990" s="572"/>
      <c r="E990" s="572"/>
      <c r="F990" s="572"/>
      <c r="G990" s="572"/>
      <c r="H990" s="572"/>
      <c r="I990" s="572"/>
      <c r="J990" s="507"/>
      <c r="K990" s="507"/>
      <c r="L990" s="507"/>
      <c r="M990" s="507"/>
      <c r="N990" s="507"/>
      <c r="O990" s="507"/>
      <c r="P990" s="507"/>
      <c r="Q990" s="507"/>
      <c r="R990" s="507"/>
      <c r="S990" s="507"/>
      <c r="T990" s="507"/>
      <c r="U990" s="507"/>
      <c r="V990" s="507"/>
      <c r="W990" s="507"/>
      <c r="X990" s="507"/>
      <c r="Y990" s="507"/>
      <c r="Z990" s="507"/>
    </row>
    <row r="991">
      <c r="A991" s="507"/>
      <c r="B991" s="572"/>
      <c r="C991" s="572"/>
      <c r="D991" s="572"/>
      <c r="E991" s="572"/>
      <c r="F991" s="572"/>
      <c r="G991" s="572"/>
      <c r="H991" s="572"/>
      <c r="I991" s="572"/>
      <c r="J991" s="507"/>
      <c r="K991" s="507"/>
      <c r="L991" s="507"/>
      <c r="M991" s="507"/>
      <c r="N991" s="507"/>
      <c r="O991" s="507"/>
      <c r="P991" s="507"/>
      <c r="Q991" s="507"/>
      <c r="R991" s="507"/>
      <c r="S991" s="507"/>
      <c r="T991" s="507"/>
      <c r="U991" s="507"/>
      <c r="V991" s="507"/>
      <c r="W991" s="507"/>
      <c r="X991" s="507"/>
      <c r="Y991" s="507"/>
      <c r="Z991" s="507"/>
    </row>
    <row r="992">
      <c r="A992" s="507"/>
      <c r="B992" s="572"/>
      <c r="C992" s="572"/>
      <c r="D992" s="572"/>
      <c r="E992" s="572"/>
      <c r="F992" s="572"/>
      <c r="G992" s="572"/>
      <c r="H992" s="572"/>
      <c r="I992" s="572"/>
      <c r="J992" s="507"/>
      <c r="K992" s="507"/>
      <c r="L992" s="507"/>
      <c r="M992" s="507"/>
      <c r="N992" s="507"/>
      <c r="O992" s="507"/>
      <c r="P992" s="507"/>
      <c r="Q992" s="507"/>
      <c r="R992" s="507"/>
      <c r="S992" s="507"/>
      <c r="T992" s="507"/>
      <c r="U992" s="507"/>
      <c r="V992" s="507"/>
      <c r="W992" s="507"/>
      <c r="X992" s="507"/>
      <c r="Y992" s="507"/>
      <c r="Z992" s="507"/>
    </row>
    <row r="993">
      <c r="A993" s="507"/>
      <c r="B993" s="572"/>
      <c r="C993" s="572"/>
      <c r="D993" s="572"/>
      <c r="E993" s="572"/>
      <c r="F993" s="572"/>
      <c r="G993" s="572"/>
      <c r="H993" s="572"/>
      <c r="I993" s="572"/>
      <c r="J993" s="507"/>
      <c r="K993" s="507"/>
      <c r="L993" s="507"/>
      <c r="M993" s="507"/>
      <c r="N993" s="507"/>
      <c r="O993" s="507"/>
      <c r="P993" s="507"/>
      <c r="Q993" s="507"/>
      <c r="R993" s="507"/>
      <c r="S993" s="507"/>
      <c r="T993" s="507"/>
      <c r="U993" s="507"/>
      <c r="V993" s="507"/>
      <c r="W993" s="507"/>
      <c r="X993" s="507"/>
      <c r="Y993" s="507"/>
      <c r="Z993" s="507"/>
    </row>
    <row r="994">
      <c r="A994" s="507"/>
      <c r="B994" s="572"/>
      <c r="C994" s="572"/>
      <c r="D994" s="572"/>
      <c r="E994" s="572"/>
      <c r="F994" s="572"/>
      <c r="G994" s="572"/>
      <c r="H994" s="572"/>
      <c r="I994" s="572"/>
      <c r="J994" s="507"/>
      <c r="K994" s="507"/>
      <c r="L994" s="507"/>
      <c r="M994" s="507"/>
      <c r="N994" s="507"/>
      <c r="O994" s="507"/>
      <c r="P994" s="507"/>
      <c r="Q994" s="507"/>
      <c r="R994" s="507"/>
      <c r="S994" s="507"/>
      <c r="T994" s="507"/>
      <c r="U994" s="507"/>
      <c r="V994" s="507"/>
      <c r="W994" s="507"/>
      <c r="X994" s="507"/>
      <c r="Y994" s="507"/>
      <c r="Z994" s="507"/>
    </row>
    <row r="995">
      <c r="A995" s="507"/>
      <c r="B995" s="572"/>
      <c r="C995" s="572"/>
      <c r="D995" s="572"/>
      <c r="E995" s="572"/>
      <c r="F995" s="572"/>
      <c r="G995" s="572"/>
      <c r="H995" s="572"/>
      <c r="I995" s="572"/>
      <c r="J995" s="507"/>
      <c r="K995" s="507"/>
      <c r="L995" s="507"/>
      <c r="M995" s="507"/>
      <c r="N995" s="507"/>
      <c r="O995" s="507"/>
      <c r="P995" s="507"/>
      <c r="Q995" s="507"/>
      <c r="R995" s="507"/>
      <c r="S995" s="507"/>
      <c r="T995" s="507"/>
      <c r="U995" s="507"/>
      <c r="V995" s="507"/>
      <c r="W995" s="507"/>
      <c r="X995" s="507"/>
      <c r="Y995" s="507"/>
      <c r="Z995" s="507"/>
    </row>
    <row r="996">
      <c r="A996" s="507"/>
      <c r="B996" s="572"/>
      <c r="C996" s="572"/>
      <c r="D996" s="572"/>
      <c r="E996" s="572"/>
      <c r="F996" s="572"/>
      <c r="G996" s="572"/>
      <c r="H996" s="572"/>
      <c r="I996" s="572"/>
      <c r="J996" s="507"/>
      <c r="K996" s="507"/>
      <c r="L996" s="507"/>
      <c r="M996" s="507"/>
      <c r="N996" s="507"/>
      <c r="O996" s="507"/>
      <c r="P996" s="507"/>
      <c r="Q996" s="507"/>
      <c r="R996" s="507"/>
      <c r="S996" s="507"/>
      <c r="T996" s="507"/>
      <c r="U996" s="507"/>
      <c r="V996" s="507"/>
      <c r="W996" s="507"/>
      <c r="X996" s="507"/>
      <c r="Y996" s="507"/>
      <c r="Z996" s="507"/>
    </row>
    <row r="997">
      <c r="A997" s="507"/>
      <c r="B997" s="572"/>
      <c r="C997" s="572"/>
      <c r="D997" s="572"/>
      <c r="E997" s="572"/>
      <c r="F997" s="572"/>
      <c r="G997" s="572"/>
      <c r="H997" s="572"/>
      <c r="I997" s="572"/>
      <c r="J997" s="507"/>
      <c r="K997" s="507"/>
      <c r="L997" s="507"/>
      <c r="M997" s="507"/>
      <c r="N997" s="507"/>
      <c r="O997" s="507"/>
      <c r="P997" s="507"/>
      <c r="Q997" s="507"/>
      <c r="R997" s="507"/>
      <c r="S997" s="507"/>
      <c r="T997" s="507"/>
      <c r="U997" s="507"/>
      <c r="V997" s="507"/>
      <c r="W997" s="507"/>
      <c r="X997" s="507"/>
      <c r="Y997" s="507"/>
      <c r="Z997" s="507"/>
    </row>
    <row r="998">
      <c r="A998" s="507"/>
      <c r="B998" s="572"/>
      <c r="C998" s="572"/>
      <c r="D998" s="572"/>
      <c r="E998" s="572"/>
      <c r="F998" s="572"/>
      <c r="G998" s="572"/>
      <c r="H998" s="572"/>
      <c r="I998" s="572"/>
      <c r="J998" s="507"/>
      <c r="K998" s="507"/>
      <c r="L998" s="507"/>
      <c r="M998" s="507"/>
      <c r="N998" s="507"/>
      <c r="O998" s="507"/>
      <c r="P998" s="507"/>
      <c r="Q998" s="507"/>
      <c r="R998" s="507"/>
      <c r="S998" s="507"/>
      <c r="T998" s="507"/>
      <c r="U998" s="507"/>
      <c r="V998" s="507"/>
      <c r="W998" s="507"/>
      <c r="X998" s="507"/>
      <c r="Y998" s="507"/>
      <c r="Z998" s="507"/>
    </row>
    <row r="999">
      <c r="A999" s="507"/>
      <c r="B999" s="572"/>
      <c r="C999" s="572"/>
      <c r="D999" s="572"/>
      <c r="E999" s="572"/>
      <c r="F999" s="572"/>
      <c r="G999" s="572"/>
      <c r="H999" s="572"/>
      <c r="I999" s="572"/>
      <c r="J999" s="507"/>
      <c r="K999" s="507"/>
      <c r="L999" s="507"/>
      <c r="M999" s="507"/>
      <c r="N999" s="507"/>
      <c r="O999" s="507"/>
      <c r="P999" s="507"/>
      <c r="Q999" s="507"/>
      <c r="R999" s="507"/>
      <c r="S999" s="507"/>
      <c r="T999" s="507"/>
      <c r="U999" s="507"/>
      <c r="V999" s="507"/>
      <c r="W999" s="507"/>
      <c r="X999" s="507"/>
      <c r="Y999" s="507"/>
      <c r="Z999" s="507"/>
    </row>
  </sheetData>
  <autoFilter ref="$A$1:$Z$56">
    <sortState ref="A1:Z56">
      <sortCondition ref="A1:A56"/>
      <sortCondition descending="1" ref="I1:I56"/>
      <sortCondition ref="L1:L56"/>
    </sortState>
  </autoFilter>
  <mergeCells count="2">
    <mergeCell ref="C57:D57"/>
    <mergeCell ref="C64:J64"/>
  </mergeCells>
  <hyperlinks>
    <hyperlink r:id="rId1" location="slide=id.g2edd551b383_0_894" ref="C64"/>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0"/>
    <col customWidth="1" min="2" max="2" width="26.88"/>
    <col customWidth="1" min="3" max="3" width="27.13"/>
    <col customWidth="1" min="4" max="4" width="12.75"/>
    <col customWidth="1" min="5" max="5" width="46.13"/>
    <col customWidth="1" min="6" max="6" width="22.38"/>
    <col customWidth="1" min="7" max="7" width="14.63"/>
    <col customWidth="1" min="8" max="8" width="15.88"/>
    <col customWidth="1" min="9" max="9" width="53.5"/>
    <col customWidth="1" min="10" max="10" width="11.63"/>
  </cols>
  <sheetData>
    <row r="1">
      <c r="A1" s="629" t="s">
        <v>161</v>
      </c>
      <c r="B1" s="630" t="s">
        <v>658</v>
      </c>
      <c r="C1" s="630" t="s">
        <v>659</v>
      </c>
      <c r="D1" s="630" t="s">
        <v>660</v>
      </c>
      <c r="E1" s="630" t="s">
        <v>661</v>
      </c>
      <c r="F1" s="631" t="s">
        <v>662</v>
      </c>
      <c r="G1" s="632" t="s">
        <v>664</v>
      </c>
      <c r="H1" s="632" t="s">
        <v>666</v>
      </c>
      <c r="I1" s="633" t="s">
        <v>667</v>
      </c>
      <c r="J1" s="634" t="s">
        <v>668</v>
      </c>
      <c r="K1" s="614" t="s">
        <v>377</v>
      </c>
    </row>
    <row r="2">
      <c r="A2" s="507" t="s">
        <v>207</v>
      </c>
      <c r="B2" s="511">
        <v>677.0</v>
      </c>
      <c r="C2" s="511">
        <v>713.0</v>
      </c>
      <c r="D2" s="511">
        <v>-36.0</v>
      </c>
      <c r="E2" s="511">
        <v>11636.0</v>
      </c>
      <c r="F2" s="265">
        <v>-0.3</v>
      </c>
      <c r="G2" s="573">
        <f t="shared" ref="G2:G55" si="1">E2/D2</f>
        <v>-323.2222222</v>
      </c>
      <c r="H2" s="573">
        <f t="shared" ref="H2:H55" si="2">C2/B2</f>
        <v>1.053175775</v>
      </c>
      <c r="I2" s="483" t="str">
        <f t="shared" ref="I2:I55" si="3">IF(G2 &lt;(1/3), "Low impact" , IF(G2 &lt;(2/3), "Medium impact", "High impact"))</f>
        <v>Low impact</v>
      </c>
      <c r="J2" s="436">
        <f t="shared" ref="J2:J55" si="4">IF(G2 &lt;(1/3), (1/3), IF(G2 &lt;(2/3), (2/3), 1))</f>
        <v>0.3333333333</v>
      </c>
      <c r="K2" s="317" t="s">
        <v>324</v>
      </c>
      <c r="L2" s="416"/>
    </row>
    <row r="3">
      <c r="A3" s="507" t="s">
        <v>240</v>
      </c>
      <c r="B3" s="636">
        <v>2033.0</v>
      </c>
      <c r="C3" s="511">
        <v>159.0</v>
      </c>
      <c r="D3" s="511">
        <v>1874.0</v>
      </c>
      <c r="E3" s="511">
        <v>970.0</v>
      </c>
      <c r="F3" s="265">
        <v>193.2</v>
      </c>
      <c r="G3" s="573">
        <f t="shared" si="1"/>
        <v>0.5176093917</v>
      </c>
      <c r="H3" s="573">
        <f t="shared" si="2"/>
        <v>0.07820954255</v>
      </c>
      <c r="I3" s="483" t="str">
        <f t="shared" si="3"/>
        <v>Medium impact</v>
      </c>
      <c r="J3" s="436">
        <f t="shared" si="4"/>
        <v>0.6666666667</v>
      </c>
      <c r="L3" s="416"/>
    </row>
    <row r="4">
      <c r="A4" s="507" t="s">
        <v>268</v>
      </c>
      <c r="B4" s="636">
        <v>1363.0</v>
      </c>
      <c r="C4" s="511">
        <v>0.0</v>
      </c>
      <c r="D4" s="511">
        <v>1363.0</v>
      </c>
      <c r="E4" s="511">
        <v>1353.0</v>
      </c>
      <c r="F4" s="265">
        <v>100.7</v>
      </c>
      <c r="G4" s="573">
        <f t="shared" si="1"/>
        <v>0.9926632428</v>
      </c>
      <c r="H4" s="573">
        <f t="shared" si="2"/>
        <v>0</v>
      </c>
      <c r="I4" s="483" t="str">
        <f t="shared" si="3"/>
        <v>High impact</v>
      </c>
      <c r="J4" s="436">
        <f t="shared" si="4"/>
        <v>1</v>
      </c>
      <c r="L4" s="416"/>
    </row>
    <row r="5">
      <c r="A5" s="507" t="s">
        <v>329</v>
      </c>
      <c r="B5" s="636">
        <v>37973.0</v>
      </c>
      <c r="C5" s="511">
        <v>0.0</v>
      </c>
      <c r="D5" s="511">
        <v>37973.0</v>
      </c>
      <c r="E5" s="511">
        <v>31314.0</v>
      </c>
      <c r="F5" s="265">
        <v>121.3</v>
      </c>
      <c r="G5" s="573">
        <f t="shared" si="1"/>
        <v>0.824638559</v>
      </c>
      <c r="H5" s="573">
        <f t="shared" si="2"/>
        <v>0</v>
      </c>
      <c r="I5" s="483" t="str">
        <f t="shared" si="3"/>
        <v>High impact</v>
      </c>
      <c r="J5" s="436">
        <f t="shared" si="4"/>
        <v>1</v>
      </c>
      <c r="L5" s="416"/>
    </row>
    <row r="6">
      <c r="A6" s="507" t="s">
        <v>331</v>
      </c>
      <c r="B6" s="511">
        <v>1157.0</v>
      </c>
      <c r="C6" s="511">
        <v>0.0</v>
      </c>
      <c r="D6" s="511">
        <v>1157.0</v>
      </c>
      <c r="E6" s="511">
        <v>996.0</v>
      </c>
      <c r="F6" s="265">
        <v>116.2</v>
      </c>
      <c r="G6" s="573">
        <f t="shared" si="1"/>
        <v>0.8608470182</v>
      </c>
      <c r="H6" s="573">
        <f t="shared" si="2"/>
        <v>0</v>
      </c>
      <c r="I6" s="483" t="str">
        <f t="shared" si="3"/>
        <v>High impact</v>
      </c>
      <c r="J6" s="436">
        <f t="shared" si="4"/>
        <v>1</v>
      </c>
      <c r="L6" s="416"/>
    </row>
    <row r="7">
      <c r="A7" s="507" t="s">
        <v>333</v>
      </c>
      <c r="B7" s="511">
        <v>76.0</v>
      </c>
      <c r="C7" s="511">
        <v>0.0</v>
      </c>
      <c r="D7" s="511">
        <v>76.0</v>
      </c>
      <c r="E7" s="511">
        <v>60.0</v>
      </c>
      <c r="F7" s="265">
        <v>126.7</v>
      </c>
      <c r="G7" s="573">
        <f t="shared" si="1"/>
        <v>0.7894736842</v>
      </c>
      <c r="H7" s="573">
        <f t="shared" si="2"/>
        <v>0</v>
      </c>
      <c r="I7" s="483" t="str">
        <f t="shared" si="3"/>
        <v>High impact</v>
      </c>
      <c r="J7" s="436">
        <f t="shared" si="4"/>
        <v>1</v>
      </c>
      <c r="L7" s="416"/>
    </row>
    <row r="8">
      <c r="A8" s="507" t="s">
        <v>225</v>
      </c>
      <c r="B8" s="511">
        <v>149.0</v>
      </c>
      <c r="C8" s="511">
        <v>0.0</v>
      </c>
      <c r="D8" s="511">
        <v>149.0</v>
      </c>
      <c r="E8" s="511">
        <v>74.0</v>
      </c>
      <c r="F8" s="265">
        <v>201.4</v>
      </c>
      <c r="G8" s="573">
        <f t="shared" si="1"/>
        <v>0.4966442953</v>
      </c>
      <c r="H8" s="573">
        <f t="shared" si="2"/>
        <v>0</v>
      </c>
      <c r="I8" s="483" t="str">
        <f t="shared" si="3"/>
        <v>Medium impact</v>
      </c>
      <c r="J8" s="436">
        <f t="shared" si="4"/>
        <v>0.6666666667</v>
      </c>
      <c r="L8" s="416"/>
    </row>
    <row r="9">
      <c r="A9" s="507" t="s">
        <v>338</v>
      </c>
      <c r="B9" s="636">
        <v>1257.0</v>
      </c>
      <c r="C9" s="511">
        <v>99.0</v>
      </c>
      <c r="D9" s="511">
        <v>1158.0</v>
      </c>
      <c r="E9" s="511">
        <v>1257.0</v>
      </c>
      <c r="F9" s="265">
        <v>92.1</v>
      </c>
      <c r="G9" s="573">
        <f t="shared" si="1"/>
        <v>1.085492228</v>
      </c>
      <c r="H9" s="573">
        <f t="shared" si="2"/>
        <v>0.07875894988</v>
      </c>
      <c r="I9" s="483" t="str">
        <f t="shared" si="3"/>
        <v>High impact</v>
      </c>
      <c r="J9" s="436">
        <f t="shared" si="4"/>
        <v>1</v>
      </c>
      <c r="L9" s="416"/>
    </row>
    <row r="10">
      <c r="A10" s="507" t="s">
        <v>340</v>
      </c>
      <c r="B10" s="511">
        <v>106.0</v>
      </c>
      <c r="C10" s="511">
        <v>0.0</v>
      </c>
      <c r="D10" s="511">
        <v>106.0</v>
      </c>
      <c r="E10" s="511">
        <v>89.0</v>
      </c>
      <c r="F10" s="265">
        <v>119.1</v>
      </c>
      <c r="G10" s="573">
        <f t="shared" si="1"/>
        <v>0.8396226415</v>
      </c>
      <c r="H10" s="573">
        <f t="shared" si="2"/>
        <v>0</v>
      </c>
      <c r="I10" s="483" t="str">
        <f t="shared" si="3"/>
        <v>High impact</v>
      </c>
      <c r="J10" s="436">
        <f t="shared" si="4"/>
        <v>1</v>
      </c>
      <c r="L10" s="416"/>
    </row>
    <row r="11">
      <c r="A11" s="507" t="s">
        <v>342</v>
      </c>
      <c r="B11" s="511">
        <v>0.0</v>
      </c>
      <c r="C11" s="511">
        <v>2.0</v>
      </c>
      <c r="D11" s="511">
        <v>-2.0</v>
      </c>
      <c r="E11" s="511">
        <v>521.0</v>
      </c>
      <c r="F11" s="265">
        <v>-0.4</v>
      </c>
      <c r="G11" s="573">
        <f t="shared" si="1"/>
        <v>-260.5</v>
      </c>
      <c r="H11" s="573" t="str">
        <f t="shared" si="2"/>
        <v>#DIV/0!</v>
      </c>
      <c r="I11" s="483" t="str">
        <f t="shared" si="3"/>
        <v>Low impact</v>
      </c>
      <c r="J11" s="436">
        <f t="shared" si="4"/>
        <v>0.3333333333</v>
      </c>
      <c r="L11" s="416"/>
    </row>
    <row r="12">
      <c r="A12" s="507" t="s">
        <v>346</v>
      </c>
      <c r="B12" s="511">
        <v>33.0</v>
      </c>
      <c r="C12" s="511">
        <v>0.0</v>
      </c>
      <c r="D12" s="511">
        <v>33.0</v>
      </c>
      <c r="E12" s="511">
        <v>27.0</v>
      </c>
      <c r="F12" s="265">
        <v>122.2</v>
      </c>
      <c r="G12" s="573">
        <f t="shared" si="1"/>
        <v>0.8181818182</v>
      </c>
      <c r="H12" s="573">
        <f t="shared" si="2"/>
        <v>0</v>
      </c>
      <c r="I12" s="483" t="str">
        <f t="shared" si="3"/>
        <v>High impact</v>
      </c>
      <c r="J12" s="436">
        <f t="shared" si="4"/>
        <v>1</v>
      </c>
      <c r="L12" s="416"/>
    </row>
    <row r="13">
      <c r="A13" s="507" t="s">
        <v>351</v>
      </c>
      <c r="B13" s="511">
        <v>116.0</v>
      </c>
      <c r="C13" s="511">
        <v>0.0</v>
      </c>
      <c r="D13" s="511">
        <v>116.0</v>
      </c>
      <c r="E13" s="511">
        <v>397.0</v>
      </c>
      <c r="F13" s="265">
        <v>29.2</v>
      </c>
      <c r="G13" s="573">
        <f t="shared" si="1"/>
        <v>3.422413793</v>
      </c>
      <c r="H13" s="573">
        <f t="shared" si="2"/>
        <v>0</v>
      </c>
      <c r="I13" s="483" t="str">
        <f t="shared" si="3"/>
        <v>High impact</v>
      </c>
      <c r="J13" s="436">
        <f t="shared" si="4"/>
        <v>1</v>
      </c>
      <c r="L13" s="416"/>
    </row>
    <row r="14">
      <c r="A14" s="507" t="s">
        <v>356</v>
      </c>
      <c r="B14" s="511">
        <v>0.0</v>
      </c>
      <c r="C14" s="511">
        <v>662.0</v>
      </c>
      <c r="D14" s="511">
        <v>-662.0</v>
      </c>
      <c r="E14" s="511">
        <v>1918.0</v>
      </c>
      <c r="F14" s="265">
        <v>-34.5</v>
      </c>
      <c r="G14" s="573">
        <f t="shared" si="1"/>
        <v>-2.897280967</v>
      </c>
      <c r="H14" s="573" t="str">
        <f t="shared" si="2"/>
        <v>#DIV/0!</v>
      </c>
      <c r="I14" s="483" t="str">
        <f t="shared" si="3"/>
        <v>Low impact</v>
      </c>
      <c r="J14" s="436">
        <f t="shared" si="4"/>
        <v>0.3333333333</v>
      </c>
      <c r="L14" s="416"/>
    </row>
    <row r="15">
      <c r="A15" s="507" t="s">
        <v>357</v>
      </c>
      <c r="B15" s="511">
        <v>105.0</v>
      </c>
      <c r="C15" s="511">
        <v>0.0</v>
      </c>
      <c r="D15" s="511">
        <v>105.0</v>
      </c>
      <c r="E15" s="511">
        <v>93.0</v>
      </c>
      <c r="F15" s="265">
        <v>112.9</v>
      </c>
      <c r="G15" s="573">
        <f t="shared" si="1"/>
        <v>0.8857142857</v>
      </c>
      <c r="H15" s="573">
        <f t="shared" si="2"/>
        <v>0</v>
      </c>
      <c r="I15" s="483" t="str">
        <f t="shared" si="3"/>
        <v>High impact</v>
      </c>
      <c r="J15" s="436">
        <f t="shared" si="4"/>
        <v>1</v>
      </c>
      <c r="L15" s="416"/>
    </row>
    <row r="16">
      <c r="A16" s="507" t="s">
        <v>276</v>
      </c>
      <c r="B16" s="636">
        <v>1183.0</v>
      </c>
      <c r="C16" s="511">
        <v>0.0</v>
      </c>
      <c r="D16" s="511">
        <v>1183.0</v>
      </c>
      <c r="E16" s="511">
        <v>1183.0</v>
      </c>
      <c r="F16" s="265">
        <v>100.0</v>
      </c>
      <c r="G16" s="573">
        <f t="shared" si="1"/>
        <v>1</v>
      </c>
      <c r="H16" s="573">
        <f t="shared" si="2"/>
        <v>0</v>
      </c>
      <c r="I16" s="483" t="str">
        <f t="shared" si="3"/>
        <v>High impact</v>
      </c>
      <c r="J16" s="436">
        <f t="shared" si="4"/>
        <v>1</v>
      </c>
      <c r="L16" s="416"/>
    </row>
    <row r="17">
      <c r="A17" s="507" t="s">
        <v>285</v>
      </c>
      <c r="B17" s="636">
        <v>3934.0</v>
      </c>
      <c r="C17" s="511">
        <v>125.0</v>
      </c>
      <c r="D17" s="511">
        <v>3809.0</v>
      </c>
      <c r="E17" s="511">
        <v>15594.0</v>
      </c>
      <c r="F17" s="265">
        <v>24.4</v>
      </c>
      <c r="G17" s="573">
        <f t="shared" si="1"/>
        <v>4.093987923</v>
      </c>
      <c r="H17" s="573">
        <f t="shared" si="2"/>
        <v>0.03177427555</v>
      </c>
      <c r="I17" s="483" t="str">
        <f t="shared" si="3"/>
        <v>High impact</v>
      </c>
      <c r="J17" s="436">
        <f t="shared" si="4"/>
        <v>1</v>
      </c>
      <c r="L17" s="416"/>
    </row>
    <row r="18">
      <c r="A18" s="507" t="s">
        <v>360</v>
      </c>
      <c r="B18" s="511">
        <v>148.0</v>
      </c>
      <c r="C18" s="511">
        <v>0.0</v>
      </c>
      <c r="D18" s="511">
        <v>148.0</v>
      </c>
      <c r="E18" s="511">
        <v>130.0</v>
      </c>
      <c r="F18" s="265">
        <v>113.8</v>
      </c>
      <c r="G18" s="573">
        <f t="shared" si="1"/>
        <v>0.8783783784</v>
      </c>
      <c r="H18" s="573">
        <f t="shared" si="2"/>
        <v>0</v>
      </c>
      <c r="I18" s="483" t="str">
        <f t="shared" si="3"/>
        <v>High impact</v>
      </c>
      <c r="J18" s="436">
        <f t="shared" si="4"/>
        <v>1</v>
      </c>
      <c r="L18" s="416"/>
    </row>
    <row r="19">
      <c r="A19" s="507" t="s">
        <v>362</v>
      </c>
      <c r="B19" s="511">
        <v>108.0</v>
      </c>
      <c r="C19" s="511">
        <v>0.0</v>
      </c>
      <c r="D19" s="511">
        <v>108.0</v>
      </c>
      <c r="E19" s="511">
        <v>18.0</v>
      </c>
      <c r="F19" s="265">
        <v>600.0</v>
      </c>
      <c r="G19" s="573">
        <f t="shared" si="1"/>
        <v>0.1666666667</v>
      </c>
      <c r="H19" s="573">
        <f t="shared" si="2"/>
        <v>0</v>
      </c>
      <c r="I19" s="483" t="str">
        <f t="shared" si="3"/>
        <v>Low impact</v>
      </c>
      <c r="J19" s="436">
        <f t="shared" si="4"/>
        <v>0.3333333333</v>
      </c>
      <c r="L19" s="416"/>
    </row>
    <row r="20">
      <c r="A20" s="507" t="s">
        <v>363</v>
      </c>
      <c r="B20" s="511">
        <v>261.0</v>
      </c>
      <c r="C20" s="511">
        <v>0.0</v>
      </c>
      <c r="D20" s="511">
        <v>261.0</v>
      </c>
      <c r="E20" s="511">
        <v>240.0</v>
      </c>
      <c r="F20" s="265">
        <v>108.8</v>
      </c>
      <c r="G20" s="573">
        <f t="shared" si="1"/>
        <v>0.9195402299</v>
      </c>
      <c r="H20" s="573">
        <f t="shared" si="2"/>
        <v>0</v>
      </c>
      <c r="I20" s="483" t="str">
        <f t="shared" si="3"/>
        <v>High impact</v>
      </c>
      <c r="J20" s="436">
        <f t="shared" si="4"/>
        <v>1</v>
      </c>
      <c r="L20" s="416"/>
    </row>
    <row r="21">
      <c r="A21" s="507" t="s">
        <v>255</v>
      </c>
      <c r="B21" s="636">
        <v>3414.0</v>
      </c>
      <c r="C21" s="511">
        <v>0.0</v>
      </c>
      <c r="D21" s="511">
        <v>3414.0</v>
      </c>
      <c r="E21" s="511">
        <v>2310.0</v>
      </c>
      <c r="F21" s="265">
        <v>147.8</v>
      </c>
      <c r="G21" s="573">
        <f t="shared" si="1"/>
        <v>0.6766256591</v>
      </c>
      <c r="H21" s="573">
        <f t="shared" si="2"/>
        <v>0</v>
      </c>
      <c r="I21" s="483" t="str">
        <f t="shared" si="3"/>
        <v>High impact</v>
      </c>
      <c r="J21" s="436">
        <f t="shared" si="4"/>
        <v>1</v>
      </c>
      <c r="L21" s="416"/>
    </row>
    <row r="22">
      <c r="A22" s="507" t="s">
        <v>374</v>
      </c>
      <c r="B22" s="511">
        <v>217.0</v>
      </c>
      <c r="C22" s="511">
        <v>14.0</v>
      </c>
      <c r="D22" s="511">
        <v>203.0</v>
      </c>
      <c r="E22" s="511">
        <v>57.0</v>
      </c>
      <c r="F22" s="265">
        <v>356.1</v>
      </c>
      <c r="G22" s="573">
        <f t="shared" si="1"/>
        <v>0.2807881773</v>
      </c>
      <c r="H22" s="573">
        <f t="shared" si="2"/>
        <v>0.06451612903</v>
      </c>
      <c r="I22" s="483" t="str">
        <f t="shared" si="3"/>
        <v>Low impact</v>
      </c>
      <c r="J22" s="436">
        <f t="shared" si="4"/>
        <v>0.3333333333</v>
      </c>
      <c r="L22" s="416"/>
    </row>
    <row r="23">
      <c r="A23" s="507" t="s">
        <v>263</v>
      </c>
      <c r="B23" s="511">
        <v>116.0</v>
      </c>
      <c r="C23" s="511">
        <v>0.0</v>
      </c>
      <c r="D23" s="511">
        <v>116.0</v>
      </c>
      <c r="E23" s="511">
        <v>71.0</v>
      </c>
      <c r="F23" s="265">
        <v>163.4</v>
      </c>
      <c r="G23" s="573">
        <f t="shared" si="1"/>
        <v>0.6120689655</v>
      </c>
      <c r="H23" s="573">
        <f t="shared" si="2"/>
        <v>0</v>
      </c>
      <c r="I23" s="483" t="str">
        <f t="shared" si="3"/>
        <v>Medium impact</v>
      </c>
      <c r="J23" s="436">
        <f t="shared" si="4"/>
        <v>0.6666666667</v>
      </c>
      <c r="L23" s="416"/>
    </row>
    <row r="24">
      <c r="A24" s="507" t="s">
        <v>266</v>
      </c>
      <c r="B24" s="511">
        <v>3589.0</v>
      </c>
      <c r="C24" s="511">
        <v>22.0</v>
      </c>
      <c r="D24" s="511">
        <v>3567.0</v>
      </c>
      <c r="E24" s="511">
        <v>3377.0</v>
      </c>
      <c r="F24" s="265">
        <v>105.6</v>
      </c>
      <c r="G24" s="573">
        <f t="shared" si="1"/>
        <v>0.9467339501</v>
      </c>
      <c r="H24" s="573">
        <f t="shared" si="2"/>
        <v>0.006129841181</v>
      </c>
      <c r="I24" s="483" t="str">
        <f t="shared" si="3"/>
        <v>High impact</v>
      </c>
      <c r="J24" s="436">
        <f t="shared" si="4"/>
        <v>1</v>
      </c>
      <c r="L24" s="416"/>
    </row>
    <row r="25">
      <c r="A25" s="507" t="s">
        <v>385</v>
      </c>
      <c r="B25" s="511">
        <v>685.0</v>
      </c>
      <c r="C25" s="511">
        <v>0.0</v>
      </c>
      <c r="D25" s="511">
        <v>685.0</v>
      </c>
      <c r="E25" s="511">
        <v>550.0</v>
      </c>
      <c r="F25" s="265">
        <v>124.5</v>
      </c>
      <c r="G25" s="573">
        <f t="shared" si="1"/>
        <v>0.802919708</v>
      </c>
      <c r="H25" s="573">
        <f t="shared" si="2"/>
        <v>0</v>
      </c>
      <c r="I25" s="483" t="str">
        <f t="shared" si="3"/>
        <v>High impact</v>
      </c>
      <c r="J25" s="436">
        <f t="shared" si="4"/>
        <v>1</v>
      </c>
      <c r="L25" s="416"/>
    </row>
    <row r="26">
      <c r="A26" s="507" t="s">
        <v>386</v>
      </c>
      <c r="B26" s="511">
        <v>71.0</v>
      </c>
      <c r="C26" s="511">
        <v>0.0</v>
      </c>
      <c r="D26" s="511">
        <v>71.0</v>
      </c>
      <c r="E26" s="511">
        <v>41.0</v>
      </c>
      <c r="F26" s="265">
        <v>173.2</v>
      </c>
      <c r="G26" s="573">
        <f t="shared" si="1"/>
        <v>0.5774647887</v>
      </c>
      <c r="H26" s="573">
        <f t="shared" si="2"/>
        <v>0</v>
      </c>
      <c r="I26" s="483" t="str">
        <f t="shared" si="3"/>
        <v>Medium impact</v>
      </c>
      <c r="J26" s="436">
        <f t="shared" si="4"/>
        <v>0.6666666667</v>
      </c>
      <c r="L26" s="416"/>
    </row>
    <row r="27">
      <c r="A27" s="507" t="s">
        <v>280</v>
      </c>
      <c r="B27" s="636">
        <v>4027.0</v>
      </c>
      <c r="C27" s="511">
        <v>0.0</v>
      </c>
      <c r="D27" s="511">
        <v>4027.0</v>
      </c>
      <c r="E27" s="511">
        <v>3443.0</v>
      </c>
      <c r="F27" s="265">
        <v>117.0</v>
      </c>
      <c r="G27" s="573">
        <f t="shared" si="1"/>
        <v>0.8549788925</v>
      </c>
      <c r="H27" s="573">
        <f t="shared" si="2"/>
        <v>0</v>
      </c>
      <c r="I27" s="483" t="str">
        <f t="shared" si="3"/>
        <v>High impact</v>
      </c>
      <c r="J27" s="436">
        <f t="shared" si="4"/>
        <v>1</v>
      </c>
      <c r="L27" s="416"/>
    </row>
    <row r="28">
      <c r="A28" s="507" t="s">
        <v>392</v>
      </c>
      <c r="B28" s="511">
        <v>229.0</v>
      </c>
      <c r="C28" s="511">
        <v>0.0</v>
      </c>
      <c r="D28" s="511">
        <v>229.0</v>
      </c>
      <c r="E28" s="511">
        <v>178.0</v>
      </c>
      <c r="F28" s="265">
        <v>128.7</v>
      </c>
      <c r="G28" s="573">
        <f t="shared" si="1"/>
        <v>0.7772925764</v>
      </c>
      <c r="H28" s="573">
        <f t="shared" si="2"/>
        <v>0</v>
      </c>
      <c r="I28" s="483" t="str">
        <f t="shared" si="3"/>
        <v>High impact</v>
      </c>
      <c r="J28" s="436">
        <f t="shared" si="4"/>
        <v>1</v>
      </c>
      <c r="L28" s="416"/>
    </row>
    <row r="29">
      <c r="A29" s="507" t="s">
        <v>394</v>
      </c>
      <c r="B29" s="511">
        <v>204.0</v>
      </c>
      <c r="C29" s="511">
        <v>0.0</v>
      </c>
      <c r="D29" s="511">
        <v>204.0</v>
      </c>
      <c r="E29" s="511">
        <v>96.0</v>
      </c>
      <c r="F29" s="265">
        <v>212.5</v>
      </c>
      <c r="G29" s="573">
        <f t="shared" si="1"/>
        <v>0.4705882353</v>
      </c>
      <c r="H29" s="573">
        <f t="shared" si="2"/>
        <v>0</v>
      </c>
      <c r="I29" s="483" t="str">
        <f t="shared" si="3"/>
        <v>Medium impact</v>
      </c>
      <c r="J29" s="436">
        <f t="shared" si="4"/>
        <v>0.6666666667</v>
      </c>
      <c r="L29" s="416"/>
    </row>
    <row r="30">
      <c r="A30" s="507" t="s">
        <v>396</v>
      </c>
      <c r="B30" s="636">
        <v>6407.0</v>
      </c>
      <c r="C30" s="511">
        <v>925.0</v>
      </c>
      <c r="D30" s="511">
        <v>5482.0</v>
      </c>
      <c r="E30" s="511">
        <v>6015.0</v>
      </c>
      <c r="F30" s="265">
        <v>91.1</v>
      </c>
      <c r="G30" s="573">
        <f t="shared" si="1"/>
        <v>1.097227289</v>
      </c>
      <c r="H30" s="573">
        <f t="shared" si="2"/>
        <v>0.1443733417</v>
      </c>
      <c r="I30" s="483" t="str">
        <f t="shared" si="3"/>
        <v>High impact</v>
      </c>
      <c r="J30" s="436">
        <f t="shared" si="4"/>
        <v>1</v>
      </c>
      <c r="L30" s="416"/>
    </row>
    <row r="31">
      <c r="A31" s="507" t="s">
        <v>336</v>
      </c>
      <c r="B31" s="511">
        <v>491.0</v>
      </c>
      <c r="C31" s="511">
        <v>0.0</v>
      </c>
      <c r="D31" s="511">
        <v>491.0</v>
      </c>
      <c r="E31" s="511">
        <v>371.0</v>
      </c>
      <c r="F31" s="265">
        <v>132.3</v>
      </c>
      <c r="G31" s="573">
        <f t="shared" si="1"/>
        <v>0.7556008147</v>
      </c>
      <c r="H31" s="573">
        <f t="shared" si="2"/>
        <v>0</v>
      </c>
      <c r="I31" s="483" t="str">
        <f t="shared" si="3"/>
        <v>High impact</v>
      </c>
      <c r="J31" s="436">
        <f t="shared" si="4"/>
        <v>1</v>
      </c>
      <c r="L31" s="416"/>
    </row>
    <row r="32">
      <c r="A32" s="507" t="s">
        <v>343</v>
      </c>
      <c r="B32" s="511">
        <v>489.0</v>
      </c>
      <c r="C32" s="511">
        <v>0.0</v>
      </c>
      <c r="D32" s="511">
        <v>489.0</v>
      </c>
      <c r="E32" s="511">
        <v>363.0</v>
      </c>
      <c r="F32" s="265">
        <v>134.7</v>
      </c>
      <c r="G32" s="573">
        <f t="shared" si="1"/>
        <v>0.7423312883</v>
      </c>
      <c r="H32" s="573">
        <f t="shared" si="2"/>
        <v>0</v>
      </c>
      <c r="I32" s="483" t="str">
        <f t="shared" si="3"/>
        <v>High impact</v>
      </c>
      <c r="J32" s="436">
        <f t="shared" si="4"/>
        <v>1</v>
      </c>
      <c r="L32" s="416"/>
    </row>
    <row r="33">
      <c r="A33" s="507" t="s">
        <v>399</v>
      </c>
      <c r="B33" s="511">
        <v>1782.0</v>
      </c>
      <c r="C33" s="511">
        <v>0.0</v>
      </c>
      <c r="D33" s="511">
        <v>1782.0</v>
      </c>
      <c r="E33" s="511">
        <v>1382.0</v>
      </c>
      <c r="F33" s="265">
        <v>128.9</v>
      </c>
      <c r="G33" s="573">
        <f t="shared" si="1"/>
        <v>0.7755331089</v>
      </c>
      <c r="H33" s="573">
        <f t="shared" si="2"/>
        <v>0</v>
      </c>
      <c r="I33" s="483" t="str">
        <f t="shared" si="3"/>
        <v>High impact</v>
      </c>
      <c r="J33" s="436">
        <f t="shared" si="4"/>
        <v>1</v>
      </c>
      <c r="L33" s="416"/>
    </row>
    <row r="34">
      <c r="A34" s="507" t="s">
        <v>401</v>
      </c>
      <c r="B34" s="511">
        <v>631.0</v>
      </c>
      <c r="C34" s="511">
        <v>0.0</v>
      </c>
      <c r="D34" s="511">
        <v>631.0</v>
      </c>
      <c r="E34" s="511">
        <v>383.0</v>
      </c>
      <c r="F34" s="265">
        <v>164.8</v>
      </c>
      <c r="G34" s="573">
        <f t="shared" si="1"/>
        <v>0.6069730586</v>
      </c>
      <c r="H34" s="573">
        <f t="shared" si="2"/>
        <v>0</v>
      </c>
      <c r="I34" s="483" t="str">
        <f t="shared" si="3"/>
        <v>Medium impact</v>
      </c>
      <c r="J34" s="436">
        <f t="shared" si="4"/>
        <v>0.6666666667</v>
      </c>
      <c r="L34" s="416"/>
    </row>
    <row r="35">
      <c r="A35" s="507" t="s">
        <v>354</v>
      </c>
      <c r="B35" s="511">
        <v>411.0</v>
      </c>
      <c r="C35" s="511">
        <v>0.0</v>
      </c>
      <c r="D35" s="511">
        <v>411.0</v>
      </c>
      <c r="E35" s="511">
        <v>326.0</v>
      </c>
      <c r="F35" s="265">
        <v>126.1</v>
      </c>
      <c r="G35" s="573">
        <f t="shared" si="1"/>
        <v>0.7931873479</v>
      </c>
      <c r="H35" s="573">
        <f t="shared" si="2"/>
        <v>0</v>
      </c>
      <c r="I35" s="483" t="str">
        <f t="shared" si="3"/>
        <v>High impact</v>
      </c>
      <c r="J35" s="436">
        <f t="shared" si="4"/>
        <v>1</v>
      </c>
      <c r="L35" s="416"/>
    </row>
    <row r="36">
      <c r="A36" s="507" t="s">
        <v>290</v>
      </c>
      <c r="B36" s="636">
        <v>6905.0</v>
      </c>
      <c r="C36" s="511">
        <v>0.0</v>
      </c>
      <c r="D36" s="511">
        <v>6905.0</v>
      </c>
      <c r="E36" s="511">
        <v>5811.0</v>
      </c>
      <c r="F36" s="265">
        <v>118.8</v>
      </c>
      <c r="G36" s="573">
        <f t="shared" si="1"/>
        <v>0.841564084</v>
      </c>
      <c r="H36" s="573">
        <f t="shared" si="2"/>
        <v>0</v>
      </c>
      <c r="I36" s="483" t="str">
        <f t="shared" si="3"/>
        <v>High impact</v>
      </c>
      <c r="J36" s="436">
        <f t="shared" si="4"/>
        <v>1</v>
      </c>
      <c r="L36" s="416"/>
    </row>
    <row r="37">
      <c r="A37" s="507" t="s">
        <v>291</v>
      </c>
      <c r="B37" s="636">
        <v>1219.0</v>
      </c>
      <c r="C37" s="511">
        <v>14.0</v>
      </c>
      <c r="D37" s="511">
        <v>1205.0</v>
      </c>
      <c r="E37" s="511">
        <v>1123.0</v>
      </c>
      <c r="F37" s="265">
        <v>107.3</v>
      </c>
      <c r="G37" s="573">
        <f t="shared" si="1"/>
        <v>0.9319502075</v>
      </c>
      <c r="H37" s="573">
        <f t="shared" si="2"/>
        <v>0.01148482363</v>
      </c>
      <c r="I37" s="483" t="str">
        <f t="shared" si="3"/>
        <v>High impact</v>
      </c>
      <c r="J37" s="436">
        <f t="shared" si="4"/>
        <v>1</v>
      </c>
      <c r="L37" s="416"/>
    </row>
    <row r="38">
      <c r="A38" s="507" t="s">
        <v>296</v>
      </c>
      <c r="B38" s="636">
        <v>1037.0</v>
      </c>
      <c r="C38" s="511">
        <v>0.0</v>
      </c>
      <c r="D38" s="511">
        <v>1037.0</v>
      </c>
      <c r="E38" s="511">
        <v>589.0</v>
      </c>
      <c r="F38" s="265">
        <v>176.1</v>
      </c>
      <c r="G38" s="573">
        <f t="shared" si="1"/>
        <v>0.5679845709</v>
      </c>
      <c r="H38" s="573">
        <f t="shared" si="2"/>
        <v>0</v>
      </c>
      <c r="I38" s="483" t="str">
        <f t="shared" si="3"/>
        <v>Medium impact</v>
      </c>
      <c r="J38" s="436">
        <f t="shared" si="4"/>
        <v>0.6666666667</v>
      </c>
      <c r="L38" s="416"/>
    </row>
    <row r="39">
      <c r="A39" s="507" t="s">
        <v>407</v>
      </c>
      <c r="B39" s="511">
        <v>108.0</v>
      </c>
      <c r="C39" s="511">
        <v>383.0</v>
      </c>
      <c r="D39" s="511">
        <v>-275.0</v>
      </c>
      <c r="E39" s="511">
        <v>341.0</v>
      </c>
      <c r="F39" s="265">
        <v>-80.6</v>
      </c>
      <c r="G39" s="573">
        <f t="shared" si="1"/>
        <v>-1.24</v>
      </c>
      <c r="H39" s="573">
        <f t="shared" si="2"/>
        <v>3.546296296</v>
      </c>
      <c r="I39" s="483" t="str">
        <f t="shared" si="3"/>
        <v>Low impact</v>
      </c>
      <c r="J39" s="436">
        <f t="shared" si="4"/>
        <v>0.3333333333</v>
      </c>
      <c r="L39" s="416"/>
    </row>
    <row r="40">
      <c r="A40" s="507" t="s">
        <v>299</v>
      </c>
      <c r="B40" s="636">
        <v>20680.0</v>
      </c>
      <c r="C40" s="511">
        <v>0.0</v>
      </c>
      <c r="D40" s="511">
        <v>20680.0</v>
      </c>
      <c r="E40" s="511">
        <v>15374.0</v>
      </c>
      <c r="F40" s="265">
        <v>134.5</v>
      </c>
      <c r="G40" s="573">
        <f t="shared" si="1"/>
        <v>0.7434235977</v>
      </c>
      <c r="H40" s="573">
        <f t="shared" si="2"/>
        <v>0</v>
      </c>
      <c r="I40" s="483" t="str">
        <f t="shared" si="3"/>
        <v>High impact</v>
      </c>
      <c r="J40" s="436">
        <f t="shared" si="4"/>
        <v>1</v>
      </c>
      <c r="L40" s="416"/>
    </row>
    <row r="41">
      <c r="A41" s="507" t="s">
        <v>302</v>
      </c>
      <c r="B41" s="511">
        <v>352.0</v>
      </c>
      <c r="C41" s="511">
        <v>98.0</v>
      </c>
      <c r="D41" s="511">
        <v>254.0</v>
      </c>
      <c r="E41" s="511">
        <v>188.0</v>
      </c>
      <c r="F41" s="265">
        <v>135.1</v>
      </c>
      <c r="G41" s="573">
        <f t="shared" si="1"/>
        <v>0.7401574803</v>
      </c>
      <c r="H41" s="573">
        <f t="shared" si="2"/>
        <v>0.2784090909</v>
      </c>
      <c r="I41" s="483" t="str">
        <f t="shared" si="3"/>
        <v>High impact</v>
      </c>
      <c r="J41" s="436">
        <f t="shared" si="4"/>
        <v>1</v>
      </c>
      <c r="L41" s="416"/>
    </row>
    <row r="42">
      <c r="A42" s="515" t="s">
        <v>410</v>
      </c>
      <c r="B42" s="511">
        <v>49.0</v>
      </c>
      <c r="C42" s="511">
        <v>0.0</v>
      </c>
      <c r="D42" s="511">
        <v>49.0</v>
      </c>
      <c r="E42" s="511">
        <v>17.0</v>
      </c>
      <c r="F42" s="265">
        <v>288.2</v>
      </c>
      <c r="G42" s="573">
        <f t="shared" si="1"/>
        <v>0.3469387755</v>
      </c>
      <c r="H42" s="573">
        <f t="shared" si="2"/>
        <v>0</v>
      </c>
      <c r="I42" s="483" t="str">
        <f t="shared" si="3"/>
        <v>Medium impact</v>
      </c>
      <c r="J42" s="436">
        <f t="shared" si="4"/>
        <v>0.6666666667</v>
      </c>
      <c r="L42" s="416"/>
    </row>
    <row r="43">
      <c r="A43" s="507" t="s">
        <v>411</v>
      </c>
      <c r="B43" s="636">
        <v>1338.0</v>
      </c>
      <c r="C43" s="511">
        <v>905.0</v>
      </c>
      <c r="D43" s="511">
        <v>433.0</v>
      </c>
      <c r="E43" s="511">
        <v>881.0</v>
      </c>
      <c r="F43" s="265">
        <v>49.1</v>
      </c>
      <c r="G43" s="573">
        <f t="shared" si="1"/>
        <v>2.034642032</v>
      </c>
      <c r="H43" s="573">
        <f t="shared" si="2"/>
        <v>0.6763826607</v>
      </c>
      <c r="I43" s="483" t="str">
        <f t="shared" si="3"/>
        <v>High impact</v>
      </c>
      <c r="J43" s="436">
        <f t="shared" si="4"/>
        <v>1</v>
      </c>
      <c r="L43" s="416"/>
    </row>
    <row r="44">
      <c r="A44" s="507" t="s">
        <v>309</v>
      </c>
      <c r="B44" s="511">
        <v>307.0</v>
      </c>
      <c r="C44" s="511">
        <v>0.0</v>
      </c>
      <c r="D44" s="511">
        <v>307.0</v>
      </c>
      <c r="E44" s="511">
        <v>78.0</v>
      </c>
      <c r="F44" s="265">
        <v>393.6</v>
      </c>
      <c r="G44" s="573">
        <f t="shared" si="1"/>
        <v>0.2540716612</v>
      </c>
      <c r="H44" s="573">
        <f t="shared" si="2"/>
        <v>0</v>
      </c>
      <c r="I44" s="483" t="str">
        <f t="shared" si="3"/>
        <v>Low impact</v>
      </c>
      <c r="J44" s="436">
        <f t="shared" si="4"/>
        <v>0.3333333333</v>
      </c>
      <c r="L44" s="416"/>
    </row>
    <row r="45">
      <c r="A45" s="507" t="s">
        <v>412</v>
      </c>
      <c r="B45" s="511">
        <v>576.0</v>
      </c>
      <c r="C45" s="511">
        <v>0.0</v>
      </c>
      <c r="D45" s="511">
        <v>576.0</v>
      </c>
      <c r="E45" s="511">
        <v>278.0</v>
      </c>
      <c r="F45" s="265">
        <v>207.2</v>
      </c>
      <c r="G45" s="573">
        <f t="shared" si="1"/>
        <v>0.4826388889</v>
      </c>
      <c r="H45" s="573">
        <f t="shared" si="2"/>
        <v>0</v>
      </c>
      <c r="I45" s="483" t="str">
        <f t="shared" si="3"/>
        <v>Medium impact</v>
      </c>
      <c r="J45" s="436">
        <f t="shared" si="4"/>
        <v>0.6666666667</v>
      </c>
      <c r="L45" s="416"/>
    </row>
    <row r="46">
      <c r="A46" s="507" t="s">
        <v>415</v>
      </c>
      <c r="B46" s="511">
        <v>85.0</v>
      </c>
      <c r="C46" s="511">
        <v>0.0</v>
      </c>
      <c r="D46" s="511">
        <v>85.0</v>
      </c>
      <c r="E46" s="511">
        <v>29.0</v>
      </c>
      <c r="F46" s="265">
        <v>293.1</v>
      </c>
      <c r="G46" s="573">
        <f t="shared" si="1"/>
        <v>0.3411764706</v>
      </c>
      <c r="H46" s="573">
        <f t="shared" si="2"/>
        <v>0</v>
      </c>
      <c r="I46" s="483" t="str">
        <f t="shared" si="3"/>
        <v>Medium impact</v>
      </c>
      <c r="J46" s="436">
        <f t="shared" si="4"/>
        <v>0.6666666667</v>
      </c>
      <c r="L46" s="416"/>
    </row>
    <row r="47">
      <c r="A47" s="507" t="s">
        <v>313</v>
      </c>
      <c r="B47" s="636">
        <v>7886.0</v>
      </c>
      <c r="C47" s="511">
        <v>1742.0</v>
      </c>
      <c r="D47" s="511">
        <v>6144.0</v>
      </c>
      <c r="E47" s="511">
        <v>14338.0</v>
      </c>
      <c r="F47" s="265">
        <v>42.9</v>
      </c>
      <c r="G47" s="573">
        <f t="shared" si="1"/>
        <v>2.333658854</v>
      </c>
      <c r="H47" s="573">
        <f t="shared" si="2"/>
        <v>0.2208977936</v>
      </c>
      <c r="I47" s="483" t="str">
        <f t="shared" si="3"/>
        <v>High impact</v>
      </c>
      <c r="J47" s="436">
        <f t="shared" si="4"/>
        <v>1</v>
      </c>
      <c r="L47" s="416"/>
    </row>
    <row r="48">
      <c r="A48" s="507" t="s">
        <v>416</v>
      </c>
      <c r="B48" s="511">
        <v>465.0</v>
      </c>
      <c r="C48" s="511">
        <v>0.0</v>
      </c>
      <c r="D48" s="511">
        <v>465.0</v>
      </c>
      <c r="E48" s="511">
        <v>279.0</v>
      </c>
      <c r="F48" s="265">
        <v>166.7</v>
      </c>
      <c r="G48" s="573">
        <f t="shared" si="1"/>
        <v>0.6</v>
      </c>
      <c r="H48" s="573">
        <f t="shared" si="2"/>
        <v>0</v>
      </c>
      <c r="I48" s="483" t="str">
        <f t="shared" si="3"/>
        <v>Medium impact</v>
      </c>
      <c r="J48" s="436">
        <f t="shared" si="4"/>
        <v>0.6666666667</v>
      </c>
      <c r="L48" s="416"/>
    </row>
    <row r="49">
      <c r="A49" s="507" t="s">
        <v>417</v>
      </c>
      <c r="B49" s="636">
        <v>1075.0</v>
      </c>
      <c r="C49" s="511">
        <v>34.0</v>
      </c>
      <c r="D49" s="511">
        <v>1041.0</v>
      </c>
      <c r="E49" s="511">
        <v>3237.0</v>
      </c>
      <c r="F49" s="265">
        <v>32.2</v>
      </c>
      <c r="G49" s="573">
        <f t="shared" si="1"/>
        <v>3.109510086</v>
      </c>
      <c r="H49" s="573">
        <f t="shared" si="2"/>
        <v>0.03162790698</v>
      </c>
      <c r="I49" s="483" t="str">
        <f t="shared" si="3"/>
        <v>High impact</v>
      </c>
      <c r="J49" s="436">
        <f t="shared" si="4"/>
        <v>1</v>
      </c>
      <c r="L49" s="416"/>
    </row>
    <row r="50">
      <c r="A50" s="507" t="s">
        <v>418</v>
      </c>
      <c r="B50" s="511">
        <v>2441.0</v>
      </c>
      <c r="C50" s="511">
        <v>0.0</v>
      </c>
      <c r="D50" s="511">
        <v>2441.0</v>
      </c>
      <c r="E50" s="511">
        <v>2048.0</v>
      </c>
      <c r="F50" s="265">
        <v>119.2</v>
      </c>
      <c r="G50" s="573">
        <f t="shared" si="1"/>
        <v>0.8390004097</v>
      </c>
      <c r="H50" s="573">
        <f t="shared" si="2"/>
        <v>0</v>
      </c>
      <c r="I50" s="483" t="str">
        <f t="shared" si="3"/>
        <v>High impact</v>
      </c>
      <c r="J50" s="436">
        <f t="shared" si="4"/>
        <v>1</v>
      </c>
      <c r="L50" s="416"/>
    </row>
    <row r="51">
      <c r="A51" s="507" t="s">
        <v>398</v>
      </c>
      <c r="B51" s="511">
        <v>491.0</v>
      </c>
      <c r="C51" s="511">
        <v>0.0</v>
      </c>
      <c r="D51" s="511">
        <v>491.0</v>
      </c>
      <c r="E51" s="511">
        <v>477.0</v>
      </c>
      <c r="F51" s="265">
        <v>102.9</v>
      </c>
      <c r="G51" s="573">
        <f t="shared" si="1"/>
        <v>0.9714867617</v>
      </c>
      <c r="H51" s="573">
        <f t="shared" si="2"/>
        <v>0</v>
      </c>
      <c r="I51" s="483" t="str">
        <f t="shared" si="3"/>
        <v>High impact</v>
      </c>
      <c r="J51" s="436">
        <f t="shared" si="4"/>
        <v>1</v>
      </c>
      <c r="L51" s="416"/>
    </row>
    <row r="52">
      <c r="A52" s="507" t="s">
        <v>318</v>
      </c>
      <c r="B52" s="636">
        <v>1979.0</v>
      </c>
      <c r="C52" s="511">
        <v>0.0</v>
      </c>
      <c r="D52" s="511">
        <v>1979.0</v>
      </c>
      <c r="E52" s="511">
        <v>2330.0</v>
      </c>
      <c r="F52" s="265">
        <v>84.9</v>
      </c>
      <c r="G52" s="573">
        <f t="shared" si="1"/>
        <v>1.177362304</v>
      </c>
      <c r="H52" s="573">
        <f t="shared" si="2"/>
        <v>0</v>
      </c>
      <c r="I52" s="483" t="str">
        <f t="shared" si="3"/>
        <v>High impact</v>
      </c>
      <c r="J52" s="436">
        <f t="shared" si="4"/>
        <v>1</v>
      </c>
      <c r="L52" s="416"/>
    </row>
    <row r="53">
      <c r="A53" s="507" t="s">
        <v>405</v>
      </c>
      <c r="B53" s="636">
        <v>1741.0</v>
      </c>
      <c r="C53" s="511">
        <v>0.0</v>
      </c>
      <c r="D53" s="511">
        <v>1741.0</v>
      </c>
      <c r="E53" s="511">
        <v>1203.0</v>
      </c>
      <c r="F53" s="265">
        <v>144.7</v>
      </c>
      <c r="G53" s="573">
        <f t="shared" si="1"/>
        <v>0.6909821941</v>
      </c>
      <c r="H53" s="573">
        <f t="shared" si="2"/>
        <v>0</v>
      </c>
      <c r="I53" s="483" t="str">
        <f t="shared" si="3"/>
        <v>High impact</v>
      </c>
      <c r="J53" s="436">
        <f t="shared" si="4"/>
        <v>1</v>
      </c>
      <c r="L53" s="416"/>
    </row>
    <row r="54">
      <c r="A54" s="507" t="s">
        <v>408</v>
      </c>
      <c r="B54" s="636">
        <v>1030.0</v>
      </c>
      <c r="C54" s="511">
        <v>0.0</v>
      </c>
      <c r="D54" s="511">
        <v>1030.0</v>
      </c>
      <c r="E54" s="511">
        <v>853.0</v>
      </c>
      <c r="F54" s="265">
        <v>120.8</v>
      </c>
      <c r="G54" s="573">
        <f t="shared" si="1"/>
        <v>0.8281553398</v>
      </c>
      <c r="H54" s="573">
        <f t="shared" si="2"/>
        <v>0</v>
      </c>
      <c r="I54" s="483" t="str">
        <f t="shared" si="3"/>
        <v>High impact</v>
      </c>
      <c r="J54" s="436">
        <f t="shared" si="4"/>
        <v>1</v>
      </c>
      <c r="L54" s="416"/>
    </row>
    <row r="55">
      <c r="A55" s="521" t="s">
        <v>320</v>
      </c>
      <c r="B55" s="641">
        <v>1009.0</v>
      </c>
      <c r="C55" s="523">
        <v>0.0</v>
      </c>
      <c r="D55" s="523">
        <v>1009.0</v>
      </c>
      <c r="E55" s="523">
        <v>606.0</v>
      </c>
      <c r="F55" s="350">
        <v>166.5</v>
      </c>
      <c r="G55" s="642">
        <f t="shared" si="1"/>
        <v>0.6005946482</v>
      </c>
      <c r="H55" s="642">
        <f t="shared" si="2"/>
        <v>0</v>
      </c>
      <c r="I55" s="643" t="str">
        <f t="shared" si="3"/>
        <v>Medium impact</v>
      </c>
      <c r="J55" s="446">
        <f t="shared" si="4"/>
        <v>0.6666666667</v>
      </c>
      <c r="L55" s="416"/>
    </row>
    <row r="56">
      <c r="A56" s="507"/>
      <c r="F56" s="483"/>
    </row>
    <row r="57">
      <c r="A57" s="507"/>
      <c r="C57" s="357" t="s">
        <v>670</v>
      </c>
      <c r="D57" s="62"/>
      <c r="E57" s="418" t="s">
        <v>421</v>
      </c>
      <c r="F57" s="483"/>
    </row>
    <row r="58">
      <c r="A58" s="507"/>
      <c r="C58" s="360" t="s">
        <v>422</v>
      </c>
      <c r="D58" s="644">
        <f>max(F2:F55)</f>
        <v>600</v>
      </c>
      <c r="E58" s="645" t="s">
        <v>362</v>
      </c>
    </row>
    <row r="59">
      <c r="A59" s="507"/>
      <c r="C59" s="360" t="s">
        <v>423</v>
      </c>
      <c r="D59" s="644">
        <f>MIN(F2:F55)</f>
        <v>-80.6</v>
      </c>
      <c r="E59" s="424" t="s">
        <v>407</v>
      </c>
    </row>
    <row r="60">
      <c r="A60" s="507"/>
      <c r="C60" s="360" t="s">
        <v>424</v>
      </c>
      <c r="D60" s="644">
        <f>average(F2:F55)</f>
        <v>136.2351852</v>
      </c>
    </row>
    <row r="61">
      <c r="A61" s="507"/>
      <c r="C61" s="360" t="s">
        <v>425</v>
      </c>
      <c r="D61" s="644">
        <f>median(F2:F55)</f>
        <v>121.75</v>
      </c>
    </row>
    <row r="62">
      <c r="A62" s="507"/>
      <c r="C62" s="367" t="s">
        <v>446</v>
      </c>
      <c r="D62" s="647">
        <f>STDEV(F2:F55)</f>
        <v>104.9252046</v>
      </c>
    </row>
    <row r="63">
      <c r="A63" s="507"/>
    </row>
    <row r="64">
      <c r="A64" s="507"/>
      <c r="C64" s="181" t="s">
        <v>325</v>
      </c>
    </row>
    <row r="65">
      <c r="A65" s="507"/>
      <c r="C65" s="271" t="str">
        <f t="array" ref="C65:C82">{"INDICATOR INFORMATION";
  "Index Category: "&amp;CHAR(10)&amp;
  "EV Impact Index - Measures broader benefits of EV adoption";
  "";
  "Sub-Category: "&amp;CHAR(10)&amp;
  "Financial";
  "";
  "Indicator Name: "&amp;CHAR(10)&amp;
  "Fossil Fuel Import Dependence";
  "";
  "Description: "&amp;CHAR(10)&amp;
  "Measures country's dependence on fossil fuel imports for transportation, calculated as net imports normalized by total consumption";
  "";
  "Calculation Method: "&amp;CHAR(10)&amp;
  "See methodology note";
  "";
  "Summary Statistics: "&amp;CHAR(10)&amp;
  "• Maximum: 600.00% (Eritrea)"&amp;CHAR(10)&amp;
  "• Minimum: -80.60% (Niger)"&amp;CHAR(10)&amp;
  "• Average: 136.24%"&amp;CHAR(10)&amp;
  "• Median: 121.75%"&amp;CHAR(10)&amp;
  "• Standard Deviation: 104.93%";
  "";
  "Scoring Categories: "&amp;CHAR(10)&amp;
  "• Low (&lt;33.33%) = Low Impact (1/3)"&amp;CHAR(10)&amp;
  "• Medium (33.33-66.67%) = Medium Impact (2/3)"&amp;CHAR(10)&amp;
  "• High (&gt;66.67%) = High Impact (3/3)";
  "";
  "Scoring Rationale: "&amp;CHAR(10)&amp;
  "• Higher import dependence indicates greater potential benefit from EV transition"&amp;CHAR(10)&amp;
  "• Net exporters or low consumers have less to gain from EV transition";
  "";
  "Components Measured: "&amp;CHAR(10)&amp;
  "• Gasoline imports/exports"&amp;CHAR(10)&amp;
  "• Diesel imports/exports"&amp;CHAR(10)&amp;
  "• Transport sector consumption"}</f>
        <v>INDICATOR INFORMATION</v>
      </c>
      <c r="D65" s="659"/>
      <c r="E65" s="659"/>
      <c r="F65" s="660"/>
      <c r="G65" s="552"/>
    </row>
    <row r="66">
      <c r="A66" s="507"/>
      <c r="C66" s="275" t="s">
        <v>631</v>
      </c>
      <c r="F66" s="483"/>
      <c r="G66" s="275"/>
    </row>
    <row r="67">
      <c r="A67" s="507"/>
      <c r="C67" s="275" t="s">
        <v>126</v>
      </c>
      <c r="F67" s="483"/>
      <c r="G67" s="275"/>
    </row>
    <row r="68">
      <c r="A68" s="507"/>
      <c r="C68" s="275" t="s">
        <v>679</v>
      </c>
      <c r="F68" s="483"/>
      <c r="G68" s="275"/>
    </row>
    <row r="69">
      <c r="A69" s="507"/>
      <c r="C69" s="275" t="s">
        <v>126</v>
      </c>
      <c r="F69" s="483"/>
      <c r="G69" s="275"/>
    </row>
    <row r="70">
      <c r="A70" s="507"/>
      <c r="C70" s="275" t="s">
        <v>680</v>
      </c>
      <c r="F70" s="483"/>
      <c r="G70" s="275"/>
    </row>
    <row r="71">
      <c r="A71" s="507"/>
      <c r="C71" s="275" t="s">
        <v>126</v>
      </c>
      <c r="F71" s="483"/>
      <c r="G71" s="275"/>
    </row>
    <row r="72">
      <c r="A72" s="507"/>
      <c r="C72" s="275" t="s">
        <v>681</v>
      </c>
      <c r="F72" s="483"/>
      <c r="G72" s="275"/>
    </row>
    <row r="73">
      <c r="A73" s="507"/>
      <c r="C73" s="275" t="s">
        <v>126</v>
      </c>
      <c r="F73" s="483"/>
      <c r="G73" s="275"/>
    </row>
    <row r="74">
      <c r="A74" s="507"/>
      <c r="C74" s="275" t="s">
        <v>434</v>
      </c>
      <c r="F74" s="483"/>
      <c r="G74" s="275"/>
    </row>
    <row r="75">
      <c r="A75" s="507"/>
      <c r="C75" s="275" t="s">
        <v>126</v>
      </c>
      <c r="F75" s="483"/>
      <c r="G75" s="275"/>
    </row>
    <row r="76">
      <c r="A76" s="507"/>
      <c r="C76" s="275" t="s">
        <v>682</v>
      </c>
      <c r="F76" s="483"/>
      <c r="G76" s="275"/>
    </row>
    <row r="77">
      <c r="A77" s="507"/>
      <c r="C77" s="275" t="s">
        <v>126</v>
      </c>
      <c r="F77" s="483"/>
      <c r="G77" s="275"/>
    </row>
    <row r="78">
      <c r="A78" s="507"/>
      <c r="C78" s="275" t="s">
        <v>636</v>
      </c>
      <c r="F78" s="483"/>
      <c r="G78" s="275"/>
    </row>
    <row r="79">
      <c r="A79" s="507"/>
      <c r="C79" s="275" t="s">
        <v>126</v>
      </c>
      <c r="F79" s="483"/>
      <c r="G79" s="275"/>
    </row>
    <row r="80">
      <c r="A80" s="507"/>
      <c r="C80" s="275" t="s">
        <v>683</v>
      </c>
      <c r="F80" s="483"/>
      <c r="G80" s="275"/>
    </row>
    <row r="81">
      <c r="A81" s="507"/>
      <c r="C81" s="275" t="s">
        <v>126</v>
      </c>
      <c r="F81" s="483"/>
      <c r="G81" s="275"/>
    </row>
    <row r="82">
      <c r="A82" s="507"/>
      <c r="C82" s="275" t="s">
        <v>684</v>
      </c>
      <c r="F82" s="483"/>
      <c r="G82" s="275"/>
    </row>
    <row r="83">
      <c r="A83" s="507"/>
      <c r="C83" s="282"/>
      <c r="D83" s="283"/>
      <c r="E83" s="283"/>
      <c r="F83" s="586"/>
      <c r="G83" s="275"/>
    </row>
    <row r="84">
      <c r="A84" s="507"/>
      <c r="F84" s="483"/>
    </row>
    <row r="85">
      <c r="A85" s="507"/>
      <c r="F85" s="483"/>
    </row>
    <row r="86">
      <c r="A86" s="507"/>
      <c r="F86" s="483"/>
    </row>
    <row r="87">
      <c r="A87" s="507"/>
      <c r="F87" s="483"/>
    </row>
    <row r="88">
      <c r="A88" s="507"/>
      <c r="F88" s="483"/>
    </row>
    <row r="89">
      <c r="A89" s="507"/>
      <c r="F89" s="483"/>
    </row>
    <row r="90">
      <c r="A90" s="507"/>
      <c r="F90" s="483"/>
    </row>
    <row r="91">
      <c r="A91" s="507"/>
      <c r="F91" s="483"/>
    </row>
    <row r="92">
      <c r="A92" s="507"/>
      <c r="F92" s="483"/>
    </row>
    <row r="93">
      <c r="A93" s="507"/>
      <c r="F93" s="483"/>
    </row>
    <row r="94">
      <c r="A94" s="507"/>
      <c r="F94" s="483"/>
    </row>
    <row r="95">
      <c r="A95" s="507"/>
      <c r="F95" s="483"/>
    </row>
    <row r="96">
      <c r="A96" s="507"/>
      <c r="F96" s="483"/>
    </row>
    <row r="97">
      <c r="A97" s="507"/>
      <c r="F97" s="483"/>
    </row>
    <row r="98">
      <c r="A98" s="507"/>
      <c r="F98" s="483"/>
    </row>
    <row r="99">
      <c r="A99" s="507"/>
      <c r="F99" s="483"/>
    </row>
    <row r="100">
      <c r="A100" s="507"/>
      <c r="F100" s="483"/>
    </row>
    <row r="101">
      <c r="A101" s="507"/>
      <c r="F101" s="483"/>
    </row>
    <row r="102">
      <c r="A102" s="507"/>
      <c r="F102" s="483"/>
    </row>
    <row r="103">
      <c r="A103" s="507"/>
      <c r="F103" s="483"/>
    </row>
    <row r="104">
      <c r="A104" s="507"/>
      <c r="F104" s="483"/>
    </row>
    <row r="105">
      <c r="A105" s="507"/>
      <c r="F105" s="483"/>
    </row>
    <row r="106">
      <c r="A106" s="507"/>
      <c r="F106" s="483"/>
    </row>
    <row r="107">
      <c r="A107" s="507"/>
      <c r="F107" s="483"/>
    </row>
    <row r="108">
      <c r="A108" s="507"/>
      <c r="F108" s="483"/>
    </row>
    <row r="109">
      <c r="A109" s="507"/>
      <c r="F109" s="483"/>
    </row>
    <row r="110">
      <c r="A110" s="507"/>
      <c r="F110" s="483"/>
    </row>
    <row r="111">
      <c r="A111" s="507"/>
      <c r="F111" s="483"/>
    </row>
    <row r="112">
      <c r="A112" s="507"/>
      <c r="F112" s="483"/>
    </row>
    <row r="113">
      <c r="A113" s="507"/>
      <c r="F113" s="483"/>
    </row>
    <row r="114">
      <c r="A114" s="507"/>
      <c r="F114" s="483"/>
    </row>
    <row r="115">
      <c r="A115" s="507"/>
      <c r="F115" s="483"/>
    </row>
    <row r="116">
      <c r="A116" s="507"/>
      <c r="F116" s="483"/>
    </row>
    <row r="117">
      <c r="A117" s="507"/>
      <c r="F117" s="483"/>
    </row>
    <row r="118">
      <c r="A118" s="507"/>
      <c r="F118" s="483"/>
    </row>
    <row r="119">
      <c r="A119" s="507"/>
      <c r="F119" s="483"/>
    </row>
    <row r="120">
      <c r="A120" s="507"/>
      <c r="F120" s="483"/>
    </row>
    <row r="121">
      <c r="A121" s="507"/>
      <c r="F121" s="483"/>
    </row>
    <row r="122">
      <c r="A122" s="507"/>
      <c r="F122" s="483"/>
    </row>
    <row r="123">
      <c r="A123" s="507"/>
      <c r="F123" s="483"/>
    </row>
    <row r="124">
      <c r="A124" s="507"/>
      <c r="F124" s="483"/>
    </row>
    <row r="125">
      <c r="A125" s="507"/>
      <c r="F125" s="483"/>
    </row>
    <row r="126">
      <c r="A126" s="507"/>
      <c r="F126" s="483"/>
    </row>
    <row r="127">
      <c r="A127" s="507"/>
      <c r="F127" s="483"/>
    </row>
    <row r="128">
      <c r="A128" s="507"/>
      <c r="F128" s="483"/>
    </row>
    <row r="129">
      <c r="A129" s="507"/>
      <c r="F129" s="483"/>
    </row>
    <row r="130">
      <c r="A130" s="507"/>
      <c r="F130" s="483"/>
    </row>
    <row r="131">
      <c r="A131" s="507"/>
      <c r="F131" s="483"/>
    </row>
    <row r="132">
      <c r="A132" s="507"/>
      <c r="F132" s="483"/>
    </row>
    <row r="133">
      <c r="A133" s="507"/>
      <c r="F133" s="483"/>
    </row>
    <row r="134">
      <c r="A134" s="507"/>
      <c r="F134" s="483"/>
    </row>
    <row r="135">
      <c r="A135" s="507"/>
      <c r="F135" s="483"/>
    </row>
    <row r="136">
      <c r="A136" s="507"/>
      <c r="F136" s="483"/>
    </row>
    <row r="137">
      <c r="A137" s="507"/>
      <c r="F137" s="483"/>
    </row>
    <row r="138">
      <c r="A138" s="507"/>
      <c r="F138" s="483"/>
    </row>
    <row r="139">
      <c r="A139" s="507"/>
      <c r="F139" s="483"/>
    </row>
    <row r="140">
      <c r="A140" s="507"/>
      <c r="F140" s="483"/>
    </row>
    <row r="141">
      <c r="A141" s="507"/>
      <c r="F141" s="483"/>
    </row>
    <row r="142">
      <c r="A142" s="507"/>
      <c r="F142" s="483"/>
    </row>
    <row r="143">
      <c r="A143" s="507"/>
      <c r="F143" s="483"/>
    </row>
    <row r="144">
      <c r="A144" s="507"/>
      <c r="F144" s="483"/>
    </row>
    <row r="145">
      <c r="A145" s="507"/>
      <c r="F145" s="483"/>
    </row>
    <row r="146">
      <c r="A146" s="507"/>
      <c r="F146" s="483"/>
    </row>
    <row r="147">
      <c r="A147" s="507"/>
      <c r="F147" s="483"/>
    </row>
    <row r="148">
      <c r="A148" s="507"/>
      <c r="F148" s="483"/>
    </row>
    <row r="149">
      <c r="A149" s="507"/>
      <c r="F149" s="483"/>
    </row>
    <row r="150">
      <c r="A150" s="507"/>
      <c r="F150" s="483"/>
    </row>
    <row r="151">
      <c r="A151" s="507"/>
      <c r="F151" s="483"/>
    </row>
    <row r="152">
      <c r="A152" s="507"/>
      <c r="F152" s="483"/>
    </row>
    <row r="153">
      <c r="A153" s="507"/>
      <c r="F153" s="483"/>
    </row>
    <row r="154">
      <c r="A154" s="507"/>
      <c r="F154" s="483"/>
    </row>
    <row r="155">
      <c r="A155" s="507"/>
      <c r="F155" s="483"/>
    </row>
    <row r="156">
      <c r="A156" s="507"/>
      <c r="F156" s="483"/>
    </row>
    <row r="157">
      <c r="A157" s="507"/>
      <c r="F157" s="483"/>
    </row>
    <row r="158">
      <c r="A158" s="507"/>
      <c r="F158" s="483"/>
    </row>
    <row r="159">
      <c r="A159" s="507"/>
      <c r="F159" s="483"/>
    </row>
    <row r="160">
      <c r="A160" s="507"/>
      <c r="F160" s="483"/>
    </row>
    <row r="161">
      <c r="A161" s="507"/>
      <c r="F161" s="483"/>
    </row>
    <row r="162">
      <c r="A162" s="507"/>
      <c r="F162" s="483"/>
    </row>
    <row r="163">
      <c r="A163" s="507"/>
      <c r="F163" s="483"/>
    </row>
    <row r="164">
      <c r="A164" s="507"/>
      <c r="F164" s="483"/>
    </row>
    <row r="165">
      <c r="A165" s="507"/>
      <c r="F165" s="483"/>
    </row>
    <row r="166">
      <c r="A166" s="507"/>
      <c r="F166" s="483"/>
    </row>
    <row r="167">
      <c r="A167" s="507"/>
      <c r="F167" s="483"/>
    </row>
    <row r="168">
      <c r="A168" s="507"/>
      <c r="F168" s="483"/>
    </row>
    <row r="169">
      <c r="A169" s="507"/>
      <c r="F169" s="483"/>
    </row>
    <row r="170">
      <c r="A170" s="507"/>
      <c r="F170" s="483"/>
    </row>
    <row r="171">
      <c r="A171" s="507"/>
      <c r="F171" s="483"/>
    </row>
    <row r="172">
      <c r="A172" s="507"/>
      <c r="F172" s="483"/>
    </row>
    <row r="173">
      <c r="A173" s="507"/>
      <c r="F173" s="483"/>
    </row>
    <row r="174">
      <c r="A174" s="507"/>
      <c r="F174" s="483"/>
    </row>
    <row r="175">
      <c r="A175" s="507"/>
      <c r="F175" s="483"/>
    </row>
    <row r="176">
      <c r="A176" s="507"/>
      <c r="F176" s="483"/>
    </row>
    <row r="177">
      <c r="A177" s="507"/>
      <c r="F177" s="483"/>
    </row>
    <row r="178">
      <c r="A178" s="507"/>
      <c r="F178" s="483"/>
    </row>
    <row r="179">
      <c r="A179" s="507"/>
      <c r="F179" s="483"/>
    </row>
    <row r="180">
      <c r="A180" s="507"/>
      <c r="F180" s="483"/>
    </row>
    <row r="181">
      <c r="A181" s="507"/>
      <c r="F181" s="483"/>
    </row>
    <row r="182">
      <c r="A182" s="507"/>
      <c r="F182" s="483"/>
    </row>
    <row r="183">
      <c r="A183" s="507"/>
      <c r="F183" s="483"/>
    </row>
    <row r="184">
      <c r="A184" s="507"/>
      <c r="F184" s="483"/>
    </row>
    <row r="185">
      <c r="A185" s="507"/>
      <c r="F185" s="483"/>
    </row>
    <row r="186">
      <c r="A186" s="507"/>
      <c r="F186" s="483"/>
    </row>
    <row r="187">
      <c r="A187" s="507"/>
      <c r="F187" s="483"/>
    </row>
    <row r="188">
      <c r="A188" s="507"/>
      <c r="F188" s="483"/>
    </row>
    <row r="189">
      <c r="A189" s="507"/>
      <c r="F189" s="483"/>
    </row>
    <row r="190">
      <c r="A190" s="507"/>
      <c r="F190" s="483"/>
    </row>
    <row r="191">
      <c r="A191" s="507"/>
      <c r="F191" s="483"/>
    </row>
    <row r="192">
      <c r="A192" s="507"/>
      <c r="F192" s="483"/>
    </row>
    <row r="193">
      <c r="A193" s="507"/>
      <c r="F193" s="483"/>
    </row>
    <row r="194">
      <c r="A194" s="507"/>
      <c r="F194" s="483"/>
    </row>
    <row r="195">
      <c r="A195" s="507"/>
      <c r="F195" s="483"/>
    </row>
    <row r="196">
      <c r="A196" s="507"/>
      <c r="F196" s="483"/>
    </row>
    <row r="197">
      <c r="A197" s="507"/>
      <c r="F197" s="483"/>
    </row>
    <row r="198">
      <c r="A198" s="507"/>
      <c r="F198" s="483"/>
    </row>
    <row r="199">
      <c r="A199" s="507"/>
      <c r="F199" s="483"/>
    </row>
    <row r="200">
      <c r="A200" s="507"/>
      <c r="F200" s="483"/>
    </row>
    <row r="201">
      <c r="A201" s="507"/>
      <c r="F201" s="483"/>
    </row>
    <row r="202">
      <c r="A202" s="507"/>
      <c r="F202" s="483"/>
    </row>
    <row r="203">
      <c r="A203" s="507"/>
      <c r="F203" s="483"/>
    </row>
    <row r="204">
      <c r="A204" s="507"/>
      <c r="F204" s="483"/>
    </row>
    <row r="205">
      <c r="A205" s="507"/>
      <c r="F205" s="483"/>
    </row>
    <row r="206">
      <c r="A206" s="507"/>
      <c r="F206" s="483"/>
    </row>
    <row r="207">
      <c r="A207" s="507"/>
      <c r="F207" s="483"/>
    </row>
    <row r="208">
      <c r="A208" s="507"/>
      <c r="F208" s="483"/>
    </row>
    <row r="209">
      <c r="A209" s="507"/>
      <c r="F209" s="483"/>
    </row>
    <row r="210">
      <c r="A210" s="507"/>
      <c r="F210" s="483"/>
    </row>
    <row r="211">
      <c r="A211" s="507"/>
      <c r="F211" s="483"/>
    </row>
    <row r="212">
      <c r="A212" s="507"/>
      <c r="F212" s="483"/>
    </row>
    <row r="213">
      <c r="A213" s="507"/>
      <c r="F213" s="483"/>
    </row>
    <row r="214">
      <c r="A214" s="507"/>
      <c r="F214" s="483"/>
    </row>
    <row r="215">
      <c r="A215" s="507"/>
      <c r="F215" s="483"/>
    </row>
    <row r="216">
      <c r="A216" s="507"/>
      <c r="F216" s="483"/>
    </row>
    <row r="217">
      <c r="A217" s="507"/>
      <c r="F217" s="483"/>
    </row>
    <row r="218">
      <c r="A218" s="507"/>
      <c r="F218" s="483"/>
    </row>
    <row r="219">
      <c r="A219" s="507"/>
      <c r="F219" s="483"/>
    </row>
    <row r="220">
      <c r="A220" s="507"/>
      <c r="F220" s="483"/>
    </row>
    <row r="221">
      <c r="A221" s="507"/>
      <c r="F221" s="483"/>
    </row>
    <row r="222">
      <c r="A222" s="507"/>
      <c r="F222" s="483"/>
    </row>
    <row r="223">
      <c r="A223" s="507"/>
      <c r="F223" s="483"/>
    </row>
    <row r="224">
      <c r="A224" s="507"/>
      <c r="F224" s="483"/>
    </row>
    <row r="225">
      <c r="A225" s="507"/>
      <c r="F225" s="483"/>
    </row>
    <row r="226">
      <c r="A226" s="507"/>
      <c r="F226" s="483"/>
    </row>
    <row r="227">
      <c r="A227" s="507"/>
      <c r="F227" s="483"/>
    </row>
    <row r="228">
      <c r="A228" s="507"/>
      <c r="F228" s="483"/>
    </row>
    <row r="229">
      <c r="A229" s="507"/>
      <c r="F229" s="483"/>
    </row>
    <row r="230">
      <c r="A230" s="507"/>
      <c r="F230" s="483"/>
    </row>
    <row r="231">
      <c r="A231" s="507"/>
      <c r="F231" s="483"/>
    </row>
    <row r="232">
      <c r="A232" s="507"/>
      <c r="F232" s="483"/>
    </row>
    <row r="233">
      <c r="A233" s="507"/>
      <c r="F233" s="483"/>
    </row>
    <row r="234">
      <c r="A234" s="507"/>
      <c r="F234" s="483"/>
    </row>
    <row r="235">
      <c r="A235" s="507"/>
      <c r="F235" s="483"/>
    </row>
    <row r="236">
      <c r="A236" s="507"/>
      <c r="F236" s="483"/>
    </row>
    <row r="237">
      <c r="A237" s="507"/>
      <c r="F237" s="483"/>
    </row>
    <row r="238">
      <c r="A238" s="507"/>
      <c r="F238" s="483"/>
    </row>
    <row r="239">
      <c r="A239" s="507"/>
      <c r="F239" s="483"/>
    </row>
    <row r="240">
      <c r="A240" s="507"/>
      <c r="F240" s="483"/>
    </row>
    <row r="241">
      <c r="A241" s="507"/>
      <c r="F241" s="483"/>
    </row>
    <row r="242">
      <c r="A242" s="507"/>
      <c r="F242" s="483"/>
    </row>
    <row r="243">
      <c r="A243" s="507"/>
      <c r="F243" s="483"/>
    </row>
    <row r="244">
      <c r="A244" s="507"/>
      <c r="F244" s="483"/>
    </row>
    <row r="245">
      <c r="A245" s="507"/>
      <c r="F245" s="483"/>
    </row>
    <row r="246">
      <c r="A246" s="507"/>
      <c r="F246" s="483"/>
    </row>
    <row r="247">
      <c r="A247" s="507"/>
      <c r="F247" s="483"/>
    </row>
    <row r="248">
      <c r="A248" s="507"/>
      <c r="F248" s="483"/>
    </row>
    <row r="249">
      <c r="A249" s="507"/>
      <c r="F249" s="483"/>
    </row>
    <row r="250">
      <c r="A250" s="507"/>
      <c r="F250" s="483"/>
    </row>
    <row r="251">
      <c r="A251" s="507"/>
      <c r="F251" s="483"/>
    </row>
    <row r="252">
      <c r="A252" s="507"/>
      <c r="F252" s="483"/>
    </row>
    <row r="253">
      <c r="A253" s="507"/>
      <c r="F253" s="483"/>
    </row>
    <row r="254">
      <c r="A254" s="507"/>
      <c r="F254" s="483"/>
    </row>
    <row r="255">
      <c r="A255" s="507"/>
      <c r="F255" s="483"/>
    </row>
    <row r="256">
      <c r="A256" s="507"/>
      <c r="F256" s="483"/>
    </row>
    <row r="257">
      <c r="A257" s="507"/>
      <c r="F257" s="483"/>
    </row>
    <row r="258">
      <c r="A258" s="507"/>
      <c r="F258" s="483"/>
    </row>
    <row r="259">
      <c r="A259" s="507"/>
      <c r="F259" s="483"/>
    </row>
    <row r="260">
      <c r="A260" s="507"/>
      <c r="F260" s="483"/>
    </row>
    <row r="261">
      <c r="A261" s="507"/>
      <c r="F261" s="483"/>
    </row>
    <row r="262">
      <c r="A262" s="507"/>
      <c r="F262" s="483"/>
    </row>
    <row r="263">
      <c r="A263" s="507"/>
      <c r="F263" s="483"/>
    </row>
    <row r="264">
      <c r="A264" s="507"/>
      <c r="F264" s="483"/>
    </row>
    <row r="265">
      <c r="A265" s="507"/>
      <c r="F265" s="483"/>
    </row>
    <row r="266">
      <c r="A266" s="507"/>
      <c r="F266" s="483"/>
    </row>
    <row r="267">
      <c r="A267" s="507"/>
      <c r="F267" s="483"/>
    </row>
    <row r="268">
      <c r="A268" s="507"/>
      <c r="F268" s="483"/>
    </row>
    <row r="269">
      <c r="A269" s="507"/>
      <c r="F269" s="483"/>
    </row>
    <row r="270">
      <c r="A270" s="507"/>
      <c r="F270" s="483"/>
    </row>
    <row r="271">
      <c r="A271" s="507"/>
      <c r="F271" s="483"/>
    </row>
    <row r="272">
      <c r="A272" s="507"/>
      <c r="F272" s="483"/>
    </row>
    <row r="273">
      <c r="A273" s="507"/>
      <c r="F273" s="483"/>
    </row>
    <row r="274">
      <c r="A274" s="507"/>
      <c r="F274" s="483"/>
    </row>
    <row r="275">
      <c r="A275" s="507"/>
      <c r="F275" s="483"/>
    </row>
    <row r="276">
      <c r="A276" s="507"/>
      <c r="F276" s="483"/>
    </row>
    <row r="277">
      <c r="A277" s="507"/>
      <c r="F277" s="483"/>
    </row>
    <row r="278">
      <c r="A278" s="507"/>
      <c r="F278" s="483"/>
    </row>
    <row r="279">
      <c r="A279" s="507"/>
      <c r="F279" s="483"/>
    </row>
    <row r="280">
      <c r="A280" s="507"/>
      <c r="F280" s="483"/>
    </row>
    <row r="281">
      <c r="A281" s="507"/>
      <c r="F281" s="483"/>
    </row>
    <row r="282">
      <c r="A282" s="507"/>
      <c r="F282" s="483"/>
    </row>
    <row r="283">
      <c r="A283" s="507"/>
      <c r="F283" s="483"/>
    </row>
    <row r="284">
      <c r="A284" s="507"/>
      <c r="F284" s="483"/>
    </row>
    <row r="285">
      <c r="A285" s="507"/>
      <c r="F285" s="483"/>
    </row>
    <row r="286">
      <c r="A286" s="507"/>
      <c r="F286" s="483"/>
    </row>
    <row r="287">
      <c r="A287" s="507"/>
      <c r="F287" s="483"/>
    </row>
    <row r="288">
      <c r="A288" s="507"/>
      <c r="F288" s="483"/>
    </row>
    <row r="289">
      <c r="A289" s="507"/>
      <c r="F289" s="483"/>
    </row>
    <row r="290">
      <c r="A290" s="507"/>
      <c r="F290" s="483"/>
    </row>
    <row r="291">
      <c r="A291" s="507"/>
      <c r="F291" s="483"/>
    </row>
    <row r="292">
      <c r="A292" s="507"/>
      <c r="F292" s="483"/>
    </row>
    <row r="293">
      <c r="A293" s="507"/>
      <c r="F293" s="483"/>
    </row>
    <row r="294">
      <c r="A294" s="507"/>
      <c r="F294" s="483"/>
    </row>
    <row r="295">
      <c r="A295" s="507"/>
      <c r="F295" s="483"/>
    </row>
    <row r="296">
      <c r="A296" s="507"/>
      <c r="F296" s="483"/>
    </row>
    <row r="297">
      <c r="A297" s="507"/>
      <c r="F297" s="483"/>
    </row>
    <row r="298">
      <c r="A298" s="507"/>
      <c r="F298" s="483"/>
    </row>
    <row r="299">
      <c r="A299" s="507"/>
      <c r="F299" s="483"/>
    </row>
    <row r="300">
      <c r="A300" s="507"/>
      <c r="F300" s="483"/>
    </row>
    <row r="301">
      <c r="A301" s="507"/>
      <c r="F301" s="483"/>
    </row>
    <row r="302">
      <c r="A302" s="507"/>
      <c r="F302" s="483"/>
    </row>
    <row r="303">
      <c r="A303" s="507"/>
      <c r="F303" s="483"/>
    </row>
    <row r="304">
      <c r="A304" s="507"/>
      <c r="F304" s="483"/>
    </row>
    <row r="305">
      <c r="A305" s="507"/>
      <c r="F305" s="483"/>
    </row>
    <row r="306">
      <c r="A306" s="507"/>
      <c r="F306" s="483"/>
    </row>
    <row r="307">
      <c r="A307" s="507"/>
      <c r="F307" s="483"/>
    </row>
    <row r="308">
      <c r="A308" s="507"/>
      <c r="F308" s="483"/>
    </row>
    <row r="309">
      <c r="A309" s="507"/>
      <c r="F309" s="483"/>
    </row>
    <row r="310">
      <c r="A310" s="507"/>
      <c r="F310" s="483"/>
    </row>
    <row r="311">
      <c r="A311" s="507"/>
      <c r="F311" s="483"/>
    </row>
    <row r="312">
      <c r="A312" s="507"/>
      <c r="F312" s="483"/>
    </row>
    <row r="313">
      <c r="A313" s="507"/>
      <c r="F313" s="483"/>
    </row>
    <row r="314">
      <c r="A314" s="507"/>
      <c r="F314" s="483"/>
    </row>
    <row r="315">
      <c r="A315" s="507"/>
      <c r="F315" s="483"/>
    </row>
    <row r="316">
      <c r="A316" s="507"/>
      <c r="F316" s="483"/>
    </row>
    <row r="317">
      <c r="A317" s="507"/>
      <c r="F317" s="483"/>
    </row>
    <row r="318">
      <c r="A318" s="507"/>
      <c r="F318" s="483"/>
    </row>
    <row r="319">
      <c r="A319" s="507"/>
      <c r="F319" s="483"/>
    </row>
    <row r="320">
      <c r="A320" s="507"/>
      <c r="F320" s="483"/>
    </row>
    <row r="321">
      <c r="A321" s="507"/>
      <c r="F321" s="483"/>
    </row>
    <row r="322">
      <c r="A322" s="507"/>
      <c r="F322" s="483"/>
    </row>
    <row r="323">
      <c r="A323" s="507"/>
      <c r="F323" s="483"/>
    </row>
    <row r="324">
      <c r="A324" s="507"/>
      <c r="F324" s="483"/>
    </row>
    <row r="325">
      <c r="A325" s="507"/>
      <c r="F325" s="483"/>
    </row>
    <row r="326">
      <c r="A326" s="507"/>
      <c r="F326" s="483"/>
    </row>
    <row r="327">
      <c r="A327" s="507"/>
      <c r="F327" s="483"/>
    </row>
    <row r="328">
      <c r="A328" s="507"/>
      <c r="F328" s="483"/>
    </row>
    <row r="329">
      <c r="A329" s="507"/>
      <c r="F329" s="483"/>
    </row>
    <row r="330">
      <c r="A330" s="507"/>
      <c r="F330" s="483"/>
    </row>
    <row r="331">
      <c r="A331" s="507"/>
      <c r="F331" s="483"/>
    </row>
    <row r="332">
      <c r="A332" s="507"/>
      <c r="F332" s="483"/>
    </row>
    <row r="333">
      <c r="A333" s="507"/>
      <c r="F333" s="483"/>
    </row>
    <row r="334">
      <c r="A334" s="507"/>
      <c r="F334" s="483"/>
    </row>
    <row r="335">
      <c r="A335" s="507"/>
      <c r="F335" s="483"/>
    </row>
    <row r="336">
      <c r="A336" s="507"/>
      <c r="F336" s="483"/>
    </row>
    <row r="337">
      <c r="A337" s="507"/>
      <c r="F337" s="483"/>
    </row>
    <row r="338">
      <c r="A338" s="507"/>
      <c r="F338" s="483"/>
    </row>
    <row r="339">
      <c r="A339" s="507"/>
      <c r="F339" s="483"/>
    </row>
    <row r="340">
      <c r="A340" s="507"/>
      <c r="F340" s="483"/>
    </row>
    <row r="341">
      <c r="A341" s="507"/>
      <c r="F341" s="483"/>
    </row>
    <row r="342">
      <c r="A342" s="507"/>
      <c r="F342" s="483"/>
    </row>
    <row r="343">
      <c r="A343" s="507"/>
      <c r="F343" s="483"/>
    </row>
    <row r="344">
      <c r="A344" s="507"/>
      <c r="F344" s="483"/>
    </row>
    <row r="345">
      <c r="A345" s="507"/>
      <c r="F345" s="483"/>
    </row>
    <row r="346">
      <c r="A346" s="507"/>
      <c r="F346" s="483"/>
    </row>
    <row r="347">
      <c r="A347" s="507"/>
      <c r="F347" s="483"/>
    </row>
    <row r="348">
      <c r="A348" s="507"/>
      <c r="F348" s="483"/>
    </row>
    <row r="349">
      <c r="A349" s="507"/>
      <c r="F349" s="483"/>
    </row>
    <row r="350">
      <c r="A350" s="507"/>
      <c r="F350" s="483"/>
    </row>
    <row r="351">
      <c r="A351" s="507"/>
      <c r="F351" s="483"/>
    </row>
    <row r="352">
      <c r="A352" s="507"/>
      <c r="F352" s="483"/>
    </row>
    <row r="353">
      <c r="A353" s="507"/>
      <c r="F353" s="483"/>
    </row>
    <row r="354">
      <c r="A354" s="507"/>
      <c r="F354" s="483"/>
    </row>
    <row r="355">
      <c r="A355" s="507"/>
      <c r="F355" s="483"/>
    </row>
    <row r="356">
      <c r="A356" s="507"/>
      <c r="F356" s="483"/>
    </row>
    <row r="357">
      <c r="A357" s="507"/>
      <c r="F357" s="483"/>
    </row>
    <row r="358">
      <c r="A358" s="507"/>
      <c r="F358" s="483"/>
    </row>
    <row r="359">
      <c r="A359" s="507"/>
      <c r="F359" s="483"/>
    </row>
    <row r="360">
      <c r="A360" s="507"/>
      <c r="F360" s="483"/>
    </row>
    <row r="361">
      <c r="A361" s="507"/>
      <c r="F361" s="483"/>
    </row>
    <row r="362">
      <c r="A362" s="507"/>
      <c r="F362" s="483"/>
    </row>
    <row r="363">
      <c r="A363" s="507"/>
      <c r="F363" s="483"/>
    </row>
    <row r="364">
      <c r="A364" s="507"/>
      <c r="F364" s="483"/>
    </row>
    <row r="365">
      <c r="A365" s="507"/>
      <c r="F365" s="483"/>
    </row>
    <row r="366">
      <c r="A366" s="507"/>
      <c r="F366" s="483"/>
    </row>
    <row r="367">
      <c r="A367" s="507"/>
      <c r="F367" s="483"/>
    </row>
    <row r="368">
      <c r="A368" s="507"/>
      <c r="F368" s="483"/>
    </row>
    <row r="369">
      <c r="A369" s="507"/>
      <c r="F369" s="483"/>
    </row>
    <row r="370">
      <c r="A370" s="507"/>
      <c r="F370" s="483"/>
    </row>
    <row r="371">
      <c r="A371" s="507"/>
      <c r="F371" s="483"/>
    </row>
    <row r="372">
      <c r="A372" s="507"/>
      <c r="F372" s="483"/>
    </row>
    <row r="373">
      <c r="A373" s="507"/>
      <c r="F373" s="483"/>
    </row>
    <row r="374">
      <c r="A374" s="507"/>
      <c r="F374" s="483"/>
    </row>
    <row r="375">
      <c r="A375" s="507"/>
      <c r="F375" s="483"/>
    </row>
    <row r="376">
      <c r="A376" s="507"/>
      <c r="F376" s="483"/>
    </row>
    <row r="377">
      <c r="A377" s="507"/>
      <c r="F377" s="483"/>
    </row>
    <row r="378">
      <c r="A378" s="507"/>
      <c r="F378" s="483"/>
    </row>
    <row r="379">
      <c r="A379" s="507"/>
      <c r="F379" s="483"/>
    </row>
    <row r="380">
      <c r="A380" s="507"/>
      <c r="F380" s="483"/>
    </row>
    <row r="381">
      <c r="A381" s="507"/>
      <c r="F381" s="483"/>
    </row>
    <row r="382">
      <c r="A382" s="507"/>
      <c r="F382" s="483"/>
    </row>
    <row r="383">
      <c r="A383" s="507"/>
      <c r="F383" s="483"/>
    </row>
    <row r="384">
      <c r="A384" s="507"/>
      <c r="F384" s="483"/>
    </row>
    <row r="385">
      <c r="A385" s="507"/>
      <c r="F385" s="483"/>
    </row>
    <row r="386">
      <c r="A386" s="507"/>
      <c r="F386" s="483"/>
    </row>
    <row r="387">
      <c r="A387" s="507"/>
      <c r="F387" s="483"/>
    </row>
    <row r="388">
      <c r="A388" s="507"/>
      <c r="F388" s="483"/>
    </row>
    <row r="389">
      <c r="A389" s="507"/>
      <c r="F389" s="483"/>
    </row>
    <row r="390">
      <c r="A390" s="507"/>
      <c r="F390" s="483"/>
    </row>
    <row r="391">
      <c r="A391" s="507"/>
      <c r="F391" s="483"/>
    </row>
    <row r="392">
      <c r="A392" s="507"/>
      <c r="F392" s="483"/>
    </row>
    <row r="393">
      <c r="A393" s="507"/>
      <c r="F393" s="483"/>
    </row>
    <row r="394">
      <c r="A394" s="507"/>
      <c r="F394" s="483"/>
    </row>
    <row r="395">
      <c r="A395" s="507"/>
      <c r="F395" s="483"/>
    </row>
    <row r="396">
      <c r="A396" s="507"/>
      <c r="F396" s="483"/>
    </row>
    <row r="397">
      <c r="A397" s="507"/>
      <c r="F397" s="483"/>
    </row>
    <row r="398">
      <c r="A398" s="507"/>
      <c r="F398" s="483"/>
    </row>
    <row r="399">
      <c r="A399" s="507"/>
      <c r="F399" s="483"/>
    </row>
    <row r="400">
      <c r="A400" s="507"/>
      <c r="F400" s="483"/>
    </row>
    <row r="401">
      <c r="A401" s="507"/>
      <c r="F401" s="483"/>
    </row>
    <row r="402">
      <c r="A402" s="507"/>
      <c r="F402" s="483"/>
    </row>
    <row r="403">
      <c r="A403" s="507"/>
      <c r="F403" s="483"/>
    </row>
    <row r="404">
      <c r="A404" s="507"/>
      <c r="F404" s="483"/>
    </row>
    <row r="405">
      <c r="A405" s="507"/>
      <c r="F405" s="483"/>
    </row>
    <row r="406">
      <c r="A406" s="507"/>
      <c r="F406" s="483"/>
    </row>
    <row r="407">
      <c r="A407" s="507"/>
      <c r="F407" s="483"/>
    </row>
    <row r="408">
      <c r="A408" s="507"/>
      <c r="F408" s="483"/>
    </row>
    <row r="409">
      <c r="A409" s="507"/>
      <c r="F409" s="483"/>
    </row>
    <row r="410">
      <c r="A410" s="507"/>
      <c r="F410" s="483"/>
    </row>
    <row r="411">
      <c r="A411" s="507"/>
      <c r="F411" s="483"/>
    </row>
    <row r="412">
      <c r="A412" s="507"/>
      <c r="F412" s="483"/>
    </row>
    <row r="413">
      <c r="A413" s="507"/>
      <c r="F413" s="483"/>
    </row>
    <row r="414">
      <c r="A414" s="507"/>
      <c r="F414" s="483"/>
    </row>
    <row r="415">
      <c r="A415" s="507"/>
      <c r="F415" s="483"/>
    </row>
    <row r="416">
      <c r="A416" s="507"/>
      <c r="F416" s="483"/>
    </row>
    <row r="417">
      <c r="A417" s="507"/>
      <c r="F417" s="483"/>
    </row>
    <row r="418">
      <c r="A418" s="507"/>
      <c r="F418" s="483"/>
    </row>
    <row r="419">
      <c r="A419" s="507"/>
      <c r="F419" s="483"/>
    </row>
    <row r="420">
      <c r="A420" s="507"/>
      <c r="F420" s="483"/>
    </row>
    <row r="421">
      <c r="A421" s="507"/>
      <c r="F421" s="483"/>
    </row>
    <row r="422">
      <c r="A422" s="507"/>
      <c r="F422" s="483"/>
    </row>
    <row r="423">
      <c r="A423" s="507"/>
      <c r="F423" s="483"/>
    </row>
    <row r="424">
      <c r="A424" s="507"/>
      <c r="F424" s="483"/>
    </row>
    <row r="425">
      <c r="A425" s="507"/>
      <c r="F425" s="483"/>
    </row>
    <row r="426">
      <c r="A426" s="507"/>
      <c r="F426" s="483"/>
    </row>
    <row r="427">
      <c r="A427" s="507"/>
      <c r="F427" s="483"/>
    </row>
    <row r="428">
      <c r="A428" s="507"/>
      <c r="F428" s="483"/>
    </row>
    <row r="429">
      <c r="A429" s="507"/>
      <c r="F429" s="483"/>
    </row>
    <row r="430">
      <c r="A430" s="507"/>
      <c r="F430" s="483"/>
    </row>
    <row r="431">
      <c r="A431" s="507"/>
      <c r="F431" s="483"/>
    </row>
    <row r="432">
      <c r="A432" s="507"/>
      <c r="F432" s="483"/>
    </row>
    <row r="433">
      <c r="A433" s="507"/>
      <c r="F433" s="483"/>
    </row>
    <row r="434">
      <c r="A434" s="507"/>
      <c r="F434" s="483"/>
    </row>
    <row r="435">
      <c r="A435" s="507"/>
      <c r="F435" s="483"/>
    </row>
    <row r="436">
      <c r="A436" s="507"/>
      <c r="F436" s="483"/>
    </row>
    <row r="437">
      <c r="A437" s="507"/>
      <c r="F437" s="483"/>
    </row>
    <row r="438">
      <c r="A438" s="507"/>
      <c r="F438" s="483"/>
    </row>
    <row r="439">
      <c r="A439" s="507"/>
      <c r="F439" s="483"/>
    </row>
    <row r="440">
      <c r="A440" s="507"/>
      <c r="F440" s="483"/>
    </row>
    <row r="441">
      <c r="A441" s="507"/>
      <c r="F441" s="483"/>
    </row>
    <row r="442">
      <c r="A442" s="507"/>
      <c r="F442" s="483"/>
    </row>
    <row r="443">
      <c r="A443" s="507"/>
      <c r="F443" s="483"/>
    </row>
    <row r="444">
      <c r="A444" s="507"/>
      <c r="F444" s="483"/>
    </row>
    <row r="445">
      <c r="A445" s="507"/>
      <c r="F445" s="483"/>
    </row>
    <row r="446">
      <c r="A446" s="507"/>
      <c r="F446" s="483"/>
    </row>
    <row r="447">
      <c r="A447" s="507"/>
      <c r="F447" s="483"/>
    </row>
    <row r="448">
      <c r="A448" s="507"/>
      <c r="F448" s="483"/>
    </row>
    <row r="449">
      <c r="A449" s="507"/>
      <c r="F449" s="483"/>
    </row>
    <row r="450">
      <c r="A450" s="507"/>
      <c r="F450" s="483"/>
    </row>
    <row r="451">
      <c r="A451" s="507"/>
      <c r="F451" s="483"/>
    </row>
    <row r="452">
      <c r="A452" s="507"/>
      <c r="F452" s="483"/>
    </row>
    <row r="453">
      <c r="A453" s="507"/>
      <c r="F453" s="483"/>
    </row>
    <row r="454">
      <c r="A454" s="507"/>
      <c r="F454" s="483"/>
    </row>
    <row r="455">
      <c r="A455" s="507"/>
      <c r="F455" s="483"/>
    </row>
    <row r="456">
      <c r="A456" s="507"/>
      <c r="F456" s="483"/>
    </row>
    <row r="457">
      <c r="A457" s="507"/>
      <c r="F457" s="483"/>
    </row>
    <row r="458">
      <c r="A458" s="507"/>
      <c r="F458" s="483"/>
    </row>
    <row r="459">
      <c r="A459" s="507"/>
      <c r="F459" s="483"/>
    </row>
    <row r="460">
      <c r="A460" s="507"/>
      <c r="F460" s="483"/>
    </row>
    <row r="461">
      <c r="A461" s="507"/>
      <c r="F461" s="483"/>
    </row>
    <row r="462">
      <c r="A462" s="507"/>
      <c r="F462" s="483"/>
    </row>
    <row r="463">
      <c r="A463" s="507"/>
      <c r="F463" s="483"/>
    </row>
    <row r="464">
      <c r="A464" s="507"/>
      <c r="F464" s="483"/>
    </row>
    <row r="465">
      <c r="A465" s="507"/>
      <c r="F465" s="483"/>
    </row>
    <row r="466">
      <c r="A466" s="507"/>
      <c r="F466" s="483"/>
    </row>
    <row r="467">
      <c r="A467" s="507"/>
      <c r="F467" s="483"/>
    </row>
    <row r="468">
      <c r="A468" s="507"/>
      <c r="F468" s="483"/>
    </row>
    <row r="469">
      <c r="A469" s="507"/>
      <c r="F469" s="483"/>
    </row>
    <row r="470">
      <c r="A470" s="507"/>
      <c r="F470" s="483"/>
    </row>
    <row r="471">
      <c r="A471" s="507"/>
      <c r="F471" s="483"/>
    </row>
    <row r="472">
      <c r="A472" s="507"/>
      <c r="F472" s="483"/>
    </row>
    <row r="473">
      <c r="A473" s="507"/>
      <c r="F473" s="483"/>
    </row>
    <row r="474">
      <c r="A474" s="507"/>
      <c r="F474" s="483"/>
    </row>
    <row r="475">
      <c r="A475" s="507"/>
      <c r="F475" s="483"/>
    </row>
    <row r="476">
      <c r="A476" s="507"/>
      <c r="F476" s="483"/>
    </row>
    <row r="477">
      <c r="A477" s="507"/>
      <c r="F477" s="483"/>
    </row>
    <row r="478">
      <c r="A478" s="507"/>
      <c r="F478" s="483"/>
    </row>
    <row r="479">
      <c r="A479" s="507"/>
      <c r="F479" s="483"/>
    </row>
    <row r="480">
      <c r="A480" s="507"/>
      <c r="F480" s="483"/>
    </row>
    <row r="481">
      <c r="A481" s="507"/>
      <c r="F481" s="483"/>
    </row>
    <row r="482">
      <c r="A482" s="507"/>
      <c r="F482" s="483"/>
    </row>
    <row r="483">
      <c r="A483" s="507"/>
      <c r="F483" s="483"/>
    </row>
    <row r="484">
      <c r="A484" s="507"/>
      <c r="F484" s="483"/>
    </row>
    <row r="485">
      <c r="A485" s="507"/>
      <c r="F485" s="483"/>
    </row>
    <row r="486">
      <c r="A486" s="507"/>
      <c r="F486" s="483"/>
    </row>
    <row r="487">
      <c r="A487" s="507"/>
      <c r="F487" s="483"/>
    </row>
    <row r="488">
      <c r="A488" s="507"/>
      <c r="F488" s="483"/>
    </row>
    <row r="489">
      <c r="A489" s="507"/>
      <c r="F489" s="483"/>
    </row>
    <row r="490">
      <c r="A490" s="507"/>
      <c r="F490" s="483"/>
    </row>
    <row r="491">
      <c r="A491" s="507"/>
      <c r="F491" s="483"/>
    </row>
    <row r="492">
      <c r="A492" s="507"/>
      <c r="F492" s="483"/>
    </row>
    <row r="493">
      <c r="A493" s="507"/>
      <c r="F493" s="483"/>
    </row>
    <row r="494">
      <c r="A494" s="507"/>
      <c r="F494" s="483"/>
    </row>
    <row r="495">
      <c r="A495" s="507"/>
      <c r="F495" s="483"/>
    </row>
    <row r="496">
      <c r="A496" s="507"/>
      <c r="F496" s="483"/>
    </row>
    <row r="497">
      <c r="A497" s="507"/>
      <c r="F497" s="483"/>
    </row>
    <row r="498">
      <c r="A498" s="507"/>
      <c r="F498" s="483"/>
    </row>
    <row r="499">
      <c r="A499" s="507"/>
      <c r="F499" s="483"/>
    </row>
    <row r="500">
      <c r="A500" s="507"/>
      <c r="F500" s="483"/>
    </row>
    <row r="501">
      <c r="A501" s="507"/>
      <c r="F501" s="483"/>
    </row>
    <row r="502">
      <c r="A502" s="507"/>
      <c r="F502" s="483"/>
    </row>
    <row r="503">
      <c r="A503" s="507"/>
      <c r="F503" s="483"/>
    </row>
    <row r="504">
      <c r="A504" s="507"/>
      <c r="F504" s="483"/>
    </row>
    <row r="505">
      <c r="A505" s="507"/>
      <c r="F505" s="483"/>
    </row>
    <row r="506">
      <c r="A506" s="507"/>
      <c r="F506" s="483"/>
    </row>
    <row r="507">
      <c r="A507" s="507"/>
      <c r="F507" s="483"/>
    </row>
    <row r="508">
      <c r="A508" s="507"/>
      <c r="F508" s="483"/>
    </row>
    <row r="509">
      <c r="A509" s="507"/>
      <c r="F509" s="483"/>
    </row>
    <row r="510">
      <c r="A510" s="507"/>
      <c r="F510" s="483"/>
    </row>
    <row r="511">
      <c r="A511" s="507"/>
      <c r="F511" s="483"/>
    </row>
    <row r="512">
      <c r="A512" s="507"/>
      <c r="F512" s="483"/>
    </row>
    <row r="513">
      <c r="A513" s="507"/>
      <c r="F513" s="483"/>
    </row>
    <row r="514">
      <c r="A514" s="507"/>
      <c r="F514" s="483"/>
    </row>
    <row r="515">
      <c r="A515" s="507"/>
      <c r="F515" s="483"/>
    </row>
    <row r="516">
      <c r="A516" s="507"/>
      <c r="F516" s="483"/>
    </row>
    <row r="517">
      <c r="A517" s="507"/>
      <c r="F517" s="483"/>
    </row>
    <row r="518">
      <c r="A518" s="507"/>
      <c r="F518" s="483"/>
    </row>
    <row r="519">
      <c r="A519" s="507"/>
      <c r="F519" s="483"/>
    </row>
    <row r="520">
      <c r="A520" s="507"/>
      <c r="F520" s="483"/>
    </row>
    <row r="521">
      <c r="A521" s="507"/>
      <c r="F521" s="483"/>
    </row>
    <row r="522">
      <c r="A522" s="507"/>
      <c r="F522" s="483"/>
    </row>
    <row r="523">
      <c r="A523" s="507"/>
      <c r="F523" s="483"/>
    </row>
    <row r="524">
      <c r="A524" s="507"/>
      <c r="F524" s="483"/>
    </row>
    <row r="525">
      <c r="A525" s="507"/>
      <c r="F525" s="483"/>
    </row>
    <row r="526">
      <c r="A526" s="507"/>
      <c r="F526" s="483"/>
    </row>
    <row r="527">
      <c r="A527" s="507"/>
      <c r="F527" s="483"/>
    </row>
    <row r="528">
      <c r="A528" s="507"/>
      <c r="F528" s="483"/>
    </row>
    <row r="529">
      <c r="A529" s="507"/>
      <c r="F529" s="483"/>
    </row>
    <row r="530">
      <c r="A530" s="507"/>
      <c r="F530" s="483"/>
    </row>
    <row r="531">
      <c r="A531" s="507"/>
      <c r="F531" s="483"/>
    </row>
    <row r="532">
      <c r="A532" s="507"/>
      <c r="F532" s="483"/>
    </row>
    <row r="533">
      <c r="A533" s="507"/>
      <c r="F533" s="483"/>
    </row>
    <row r="534">
      <c r="A534" s="507"/>
      <c r="F534" s="483"/>
    </row>
    <row r="535">
      <c r="A535" s="507"/>
      <c r="F535" s="483"/>
    </row>
    <row r="536">
      <c r="A536" s="507"/>
      <c r="F536" s="483"/>
    </row>
    <row r="537">
      <c r="A537" s="507"/>
      <c r="F537" s="483"/>
    </row>
    <row r="538">
      <c r="A538" s="507"/>
      <c r="F538" s="483"/>
    </row>
    <row r="539">
      <c r="A539" s="507"/>
      <c r="F539" s="483"/>
    </row>
    <row r="540">
      <c r="A540" s="507"/>
      <c r="F540" s="483"/>
    </row>
    <row r="541">
      <c r="A541" s="507"/>
      <c r="F541" s="483"/>
    </row>
    <row r="542">
      <c r="A542" s="507"/>
      <c r="F542" s="483"/>
    </row>
    <row r="543">
      <c r="A543" s="507"/>
      <c r="F543" s="483"/>
    </row>
    <row r="544">
      <c r="A544" s="507"/>
      <c r="F544" s="483"/>
    </row>
    <row r="545">
      <c r="A545" s="507"/>
      <c r="F545" s="483"/>
    </row>
    <row r="546">
      <c r="A546" s="507"/>
      <c r="F546" s="483"/>
    </row>
    <row r="547">
      <c r="A547" s="507"/>
      <c r="F547" s="483"/>
    </row>
    <row r="548">
      <c r="A548" s="507"/>
      <c r="F548" s="483"/>
    </row>
    <row r="549">
      <c r="A549" s="507"/>
      <c r="F549" s="483"/>
    </row>
    <row r="550">
      <c r="A550" s="507"/>
      <c r="F550" s="483"/>
    </row>
    <row r="551">
      <c r="A551" s="507"/>
      <c r="F551" s="483"/>
    </row>
    <row r="552">
      <c r="A552" s="507"/>
      <c r="F552" s="483"/>
    </row>
    <row r="553">
      <c r="A553" s="507"/>
      <c r="F553" s="483"/>
    </row>
    <row r="554">
      <c r="A554" s="507"/>
      <c r="F554" s="483"/>
    </row>
    <row r="555">
      <c r="A555" s="507"/>
      <c r="F555" s="483"/>
    </row>
    <row r="556">
      <c r="A556" s="507"/>
      <c r="F556" s="483"/>
    </row>
    <row r="557">
      <c r="A557" s="507"/>
      <c r="F557" s="483"/>
    </row>
    <row r="558">
      <c r="A558" s="507"/>
      <c r="F558" s="483"/>
    </row>
    <row r="559">
      <c r="A559" s="507"/>
      <c r="F559" s="483"/>
    </row>
    <row r="560">
      <c r="A560" s="507"/>
      <c r="F560" s="483"/>
    </row>
    <row r="561">
      <c r="A561" s="507"/>
      <c r="F561" s="483"/>
    </row>
    <row r="562">
      <c r="A562" s="507"/>
      <c r="F562" s="483"/>
    </row>
    <row r="563">
      <c r="A563" s="507"/>
      <c r="F563" s="483"/>
    </row>
    <row r="564">
      <c r="A564" s="507"/>
      <c r="F564" s="483"/>
    </row>
    <row r="565">
      <c r="A565" s="507"/>
      <c r="F565" s="483"/>
    </row>
    <row r="566">
      <c r="A566" s="507"/>
      <c r="F566" s="483"/>
    </row>
    <row r="567">
      <c r="A567" s="507"/>
      <c r="F567" s="483"/>
    </row>
    <row r="568">
      <c r="A568" s="507"/>
      <c r="F568" s="483"/>
    </row>
    <row r="569">
      <c r="A569" s="507"/>
      <c r="F569" s="483"/>
    </row>
    <row r="570">
      <c r="A570" s="507"/>
      <c r="F570" s="483"/>
    </row>
    <row r="571">
      <c r="A571" s="507"/>
      <c r="F571" s="483"/>
    </row>
    <row r="572">
      <c r="A572" s="507"/>
      <c r="F572" s="483"/>
    </row>
    <row r="573">
      <c r="A573" s="507"/>
      <c r="F573" s="483"/>
    </row>
    <row r="574">
      <c r="A574" s="507"/>
      <c r="F574" s="483"/>
    </row>
    <row r="575">
      <c r="A575" s="507"/>
      <c r="F575" s="483"/>
    </row>
    <row r="576">
      <c r="A576" s="507"/>
      <c r="F576" s="483"/>
    </row>
    <row r="577">
      <c r="A577" s="507"/>
      <c r="F577" s="483"/>
    </row>
    <row r="578">
      <c r="A578" s="507"/>
      <c r="F578" s="483"/>
    </row>
    <row r="579">
      <c r="A579" s="507"/>
      <c r="F579" s="483"/>
    </row>
    <row r="580">
      <c r="A580" s="507"/>
      <c r="F580" s="483"/>
    </row>
    <row r="581">
      <c r="A581" s="507"/>
      <c r="F581" s="483"/>
    </row>
    <row r="582">
      <c r="A582" s="507"/>
      <c r="F582" s="483"/>
    </row>
    <row r="583">
      <c r="A583" s="507"/>
      <c r="F583" s="483"/>
    </row>
    <row r="584">
      <c r="A584" s="507"/>
      <c r="F584" s="483"/>
    </row>
    <row r="585">
      <c r="A585" s="507"/>
      <c r="F585" s="483"/>
    </row>
    <row r="586">
      <c r="A586" s="507"/>
      <c r="F586" s="483"/>
    </row>
    <row r="587">
      <c r="A587" s="507"/>
      <c r="F587" s="483"/>
    </row>
    <row r="588">
      <c r="A588" s="507"/>
      <c r="F588" s="483"/>
    </row>
    <row r="589">
      <c r="A589" s="507"/>
      <c r="F589" s="483"/>
    </row>
    <row r="590">
      <c r="A590" s="507"/>
      <c r="F590" s="483"/>
    </row>
    <row r="591">
      <c r="A591" s="507"/>
      <c r="F591" s="483"/>
    </row>
    <row r="592">
      <c r="A592" s="507"/>
      <c r="F592" s="483"/>
    </row>
    <row r="593">
      <c r="A593" s="507"/>
      <c r="F593" s="483"/>
    </row>
    <row r="594">
      <c r="A594" s="507"/>
      <c r="F594" s="483"/>
    </row>
    <row r="595">
      <c r="A595" s="507"/>
      <c r="F595" s="483"/>
    </row>
    <row r="596">
      <c r="A596" s="507"/>
      <c r="F596" s="483"/>
    </row>
    <row r="597">
      <c r="A597" s="507"/>
      <c r="F597" s="483"/>
    </row>
    <row r="598">
      <c r="A598" s="507"/>
      <c r="F598" s="483"/>
    </row>
    <row r="599">
      <c r="A599" s="507"/>
      <c r="F599" s="483"/>
    </row>
    <row r="600">
      <c r="A600" s="507"/>
      <c r="F600" s="483"/>
    </row>
    <row r="601">
      <c r="A601" s="507"/>
      <c r="F601" s="483"/>
    </row>
    <row r="602">
      <c r="A602" s="507"/>
      <c r="F602" s="483"/>
    </row>
    <row r="603">
      <c r="A603" s="507"/>
      <c r="F603" s="483"/>
    </row>
    <row r="604">
      <c r="A604" s="507"/>
      <c r="F604" s="483"/>
    </row>
    <row r="605">
      <c r="A605" s="507"/>
      <c r="F605" s="483"/>
    </row>
    <row r="606">
      <c r="A606" s="507"/>
      <c r="F606" s="483"/>
    </row>
    <row r="607">
      <c r="A607" s="507"/>
      <c r="F607" s="483"/>
    </row>
    <row r="608">
      <c r="A608" s="507"/>
      <c r="F608" s="483"/>
    </row>
    <row r="609">
      <c r="A609" s="507"/>
      <c r="F609" s="483"/>
    </row>
    <row r="610">
      <c r="A610" s="507"/>
      <c r="F610" s="483"/>
    </row>
    <row r="611">
      <c r="A611" s="507"/>
      <c r="F611" s="483"/>
    </row>
    <row r="612">
      <c r="A612" s="507"/>
      <c r="F612" s="483"/>
    </row>
    <row r="613">
      <c r="A613" s="507"/>
      <c r="F613" s="483"/>
    </row>
    <row r="614">
      <c r="A614" s="507"/>
      <c r="F614" s="483"/>
    </row>
    <row r="615">
      <c r="A615" s="507"/>
      <c r="F615" s="483"/>
    </row>
    <row r="616">
      <c r="A616" s="507"/>
      <c r="F616" s="483"/>
    </row>
    <row r="617">
      <c r="A617" s="507"/>
      <c r="F617" s="483"/>
    </row>
    <row r="618">
      <c r="A618" s="507"/>
      <c r="F618" s="483"/>
    </row>
    <row r="619">
      <c r="A619" s="507"/>
      <c r="F619" s="483"/>
    </row>
    <row r="620">
      <c r="A620" s="507"/>
      <c r="F620" s="483"/>
    </row>
    <row r="621">
      <c r="A621" s="507"/>
      <c r="F621" s="483"/>
    </row>
    <row r="622">
      <c r="A622" s="507"/>
      <c r="F622" s="483"/>
    </row>
    <row r="623">
      <c r="A623" s="507"/>
      <c r="F623" s="483"/>
    </row>
    <row r="624">
      <c r="A624" s="507"/>
      <c r="F624" s="483"/>
    </row>
    <row r="625">
      <c r="A625" s="507"/>
      <c r="F625" s="483"/>
    </row>
    <row r="626">
      <c r="A626" s="507"/>
      <c r="F626" s="483"/>
    </row>
    <row r="627">
      <c r="A627" s="507"/>
      <c r="F627" s="483"/>
    </row>
    <row r="628">
      <c r="A628" s="507"/>
      <c r="F628" s="483"/>
    </row>
    <row r="629">
      <c r="A629" s="507"/>
      <c r="F629" s="483"/>
    </row>
    <row r="630">
      <c r="A630" s="507"/>
      <c r="F630" s="483"/>
    </row>
    <row r="631">
      <c r="A631" s="507"/>
      <c r="F631" s="483"/>
    </row>
    <row r="632">
      <c r="A632" s="507"/>
      <c r="F632" s="483"/>
    </row>
    <row r="633">
      <c r="A633" s="507"/>
      <c r="F633" s="483"/>
    </row>
    <row r="634">
      <c r="A634" s="507"/>
      <c r="F634" s="483"/>
    </row>
    <row r="635">
      <c r="A635" s="507"/>
      <c r="F635" s="483"/>
    </row>
    <row r="636">
      <c r="A636" s="507"/>
      <c r="F636" s="483"/>
    </row>
    <row r="637">
      <c r="A637" s="507"/>
      <c r="F637" s="483"/>
    </row>
    <row r="638">
      <c r="A638" s="507"/>
      <c r="F638" s="483"/>
    </row>
    <row r="639">
      <c r="A639" s="507"/>
      <c r="F639" s="483"/>
    </row>
    <row r="640">
      <c r="A640" s="507"/>
      <c r="F640" s="483"/>
    </row>
    <row r="641">
      <c r="A641" s="507"/>
      <c r="F641" s="483"/>
    </row>
    <row r="642">
      <c r="A642" s="507"/>
      <c r="F642" s="483"/>
    </row>
    <row r="643">
      <c r="A643" s="507"/>
      <c r="F643" s="483"/>
    </row>
    <row r="644">
      <c r="A644" s="507"/>
      <c r="F644" s="483"/>
    </row>
    <row r="645">
      <c r="A645" s="507"/>
      <c r="F645" s="483"/>
    </row>
    <row r="646">
      <c r="A646" s="507"/>
      <c r="F646" s="483"/>
    </row>
    <row r="647">
      <c r="A647" s="507"/>
      <c r="F647" s="483"/>
    </row>
    <row r="648">
      <c r="A648" s="507"/>
      <c r="F648" s="483"/>
    </row>
    <row r="649">
      <c r="A649" s="507"/>
      <c r="F649" s="483"/>
    </row>
    <row r="650">
      <c r="A650" s="507"/>
      <c r="F650" s="483"/>
    </row>
    <row r="651">
      <c r="A651" s="507"/>
      <c r="F651" s="483"/>
    </row>
    <row r="652">
      <c r="A652" s="507"/>
      <c r="F652" s="483"/>
    </row>
    <row r="653">
      <c r="A653" s="507"/>
      <c r="F653" s="483"/>
    </row>
    <row r="654">
      <c r="A654" s="507"/>
      <c r="F654" s="483"/>
    </row>
    <row r="655">
      <c r="A655" s="507"/>
      <c r="F655" s="483"/>
    </row>
    <row r="656">
      <c r="A656" s="507"/>
      <c r="F656" s="483"/>
    </row>
    <row r="657">
      <c r="A657" s="507"/>
      <c r="F657" s="483"/>
    </row>
    <row r="658">
      <c r="A658" s="507"/>
      <c r="F658" s="483"/>
    </row>
    <row r="659">
      <c r="A659" s="507"/>
      <c r="F659" s="483"/>
    </row>
    <row r="660">
      <c r="A660" s="507"/>
      <c r="F660" s="483"/>
    </row>
    <row r="661">
      <c r="A661" s="507"/>
      <c r="F661" s="483"/>
    </row>
    <row r="662">
      <c r="A662" s="507"/>
      <c r="F662" s="483"/>
    </row>
    <row r="663">
      <c r="A663" s="507"/>
      <c r="F663" s="483"/>
    </row>
    <row r="664">
      <c r="A664" s="507"/>
      <c r="F664" s="483"/>
    </row>
    <row r="665">
      <c r="A665" s="507"/>
      <c r="F665" s="483"/>
    </row>
    <row r="666">
      <c r="A666" s="507"/>
      <c r="F666" s="483"/>
    </row>
    <row r="667">
      <c r="A667" s="507"/>
      <c r="F667" s="483"/>
    </row>
    <row r="668">
      <c r="A668" s="507"/>
      <c r="F668" s="483"/>
    </row>
    <row r="669">
      <c r="A669" s="507"/>
      <c r="F669" s="483"/>
    </row>
    <row r="670">
      <c r="A670" s="507"/>
      <c r="F670" s="483"/>
    </row>
    <row r="671">
      <c r="A671" s="507"/>
      <c r="F671" s="483"/>
    </row>
    <row r="672">
      <c r="A672" s="507"/>
      <c r="F672" s="483"/>
    </row>
    <row r="673">
      <c r="A673" s="507"/>
      <c r="F673" s="483"/>
    </row>
    <row r="674">
      <c r="A674" s="507"/>
      <c r="F674" s="483"/>
    </row>
    <row r="675">
      <c r="A675" s="507"/>
      <c r="F675" s="483"/>
    </row>
    <row r="676">
      <c r="A676" s="507"/>
      <c r="F676" s="483"/>
    </row>
    <row r="677">
      <c r="A677" s="507"/>
      <c r="F677" s="483"/>
    </row>
    <row r="678">
      <c r="A678" s="507"/>
      <c r="F678" s="483"/>
    </row>
    <row r="679">
      <c r="A679" s="507"/>
      <c r="F679" s="483"/>
    </row>
    <row r="680">
      <c r="A680" s="507"/>
      <c r="F680" s="483"/>
    </row>
    <row r="681">
      <c r="A681" s="507"/>
      <c r="F681" s="483"/>
    </row>
    <row r="682">
      <c r="A682" s="507"/>
      <c r="F682" s="483"/>
    </row>
    <row r="683">
      <c r="A683" s="507"/>
      <c r="F683" s="483"/>
    </row>
    <row r="684">
      <c r="A684" s="507"/>
      <c r="F684" s="483"/>
    </row>
    <row r="685">
      <c r="A685" s="507"/>
      <c r="F685" s="483"/>
    </row>
    <row r="686">
      <c r="A686" s="507"/>
      <c r="F686" s="483"/>
    </row>
    <row r="687">
      <c r="A687" s="507"/>
      <c r="F687" s="483"/>
    </row>
    <row r="688">
      <c r="A688" s="507"/>
      <c r="F688" s="483"/>
    </row>
    <row r="689">
      <c r="A689" s="507"/>
      <c r="F689" s="483"/>
    </row>
    <row r="690">
      <c r="A690" s="507"/>
      <c r="F690" s="483"/>
    </row>
    <row r="691">
      <c r="A691" s="507"/>
      <c r="F691" s="483"/>
    </row>
    <row r="692">
      <c r="A692" s="507"/>
      <c r="F692" s="483"/>
    </row>
    <row r="693">
      <c r="A693" s="507"/>
      <c r="F693" s="483"/>
    </row>
    <row r="694">
      <c r="A694" s="507"/>
      <c r="F694" s="483"/>
    </row>
    <row r="695">
      <c r="A695" s="507"/>
      <c r="F695" s="483"/>
    </row>
    <row r="696">
      <c r="A696" s="507"/>
      <c r="F696" s="483"/>
    </row>
    <row r="697">
      <c r="A697" s="507"/>
      <c r="F697" s="483"/>
    </row>
    <row r="698">
      <c r="A698" s="507"/>
      <c r="F698" s="483"/>
    </row>
    <row r="699">
      <c r="A699" s="507"/>
      <c r="F699" s="483"/>
    </row>
    <row r="700">
      <c r="A700" s="507"/>
      <c r="F700" s="483"/>
    </row>
    <row r="701">
      <c r="A701" s="507"/>
      <c r="F701" s="483"/>
    </row>
    <row r="702">
      <c r="A702" s="507"/>
      <c r="F702" s="483"/>
    </row>
    <row r="703">
      <c r="A703" s="507"/>
      <c r="F703" s="483"/>
    </row>
    <row r="704">
      <c r="A704" s="507"/>
      <c r="F704" s="483"/>
    </row>
    <row r="705">
      <c r="A705" s="507"/>
      <c r="F705" s="483"/>
    </row>
    <row r="706">
      <c r="A706" s="507"/>
      <c r="F706" s="483"/>
    </row>
    <row r="707">
      <c r="A707" s="507"/>
      <c r="F707" s="483"/>
    </row>
    <row r="708">
      <c r="A708" s="507"/>
      <c r="F708" s="483"/>
    </row>
    <row r="709">
      <c r="A709" s="507"/>
      <c r="F709" s="483"/>
    </row>
    <row r="710">
      <c r="A710" s="507"/>
      <c r="F710" s="483"/>
    </row>
    <row r="711">
      <c r="A711" s="507"/>
      <c r="F711" s="483"/>
    </row>
    <row r="712">
      <c r="A712" s="507"/>
      <c r="F712" s="483"/>
    </row>
    <row r="713">
      <c r="A713" s="507"/>
      <c r="F713" s="483"/>
    </row>
    <row r="714">
      <c r="A714" s="507"/>
      <c r="F714" s="483"/>
    </row>
    <row r="715">
      <c r="A715" s="507"/>
      <c r="F715" s="483"/>
    </row>
    <row r="716">
      <c r="A716" s="507"/>
      <c r="F716" s="483"/>
    </row>
    <row r="717">
      <c r="A717" s="507"/>
      <c r="F717" s="483"/>
    </row>
    <row r="718">
      <c r="A718" s="507"/>
      <c r="F718" s="483"/>
    </row>
    <row r="719">
      <c r="A719" s="507"/>
      <c r="F719" s="483"/>
    </row>
    <row r="720">
      <c r="A720" s="507"/>
      <c r="F720" s="483"/>
    </row>
    <row r="721">
      <c r="A721" s="507"/>
      <c r="F721" s="483"/>
    </row>
    <row r="722">
      <c r="A722" s="507"/>
      <c r="F722" s="483"/>
    </row>
    <row r="723">
      <c r="A723" s="507"/>
      <c r="F723" s="483"/>
    </row>
    <row r="724">
      <c r="A724" s="507"/>
      <c r="F724" s="483"/>
    </row>
    <row r="725">
      <c r="A725" s="507"/>
      <c r="F725" s="483"/>
    </row>
    <row r="726">
      <c r="A726" s="507"/>
      <c r="F726" s="483"/>
    </row>
    <row r="727">
      <c r="A727" s="507"/>
      <c r="F727" s="483"/>
    </row>
    <row r="728">
      <c r="A728" s="507"/>
      <c r="F728" s="483"/>
    </row>
    <row r="729">
      <c r="A729" s="507"/>
      <c r="F729" s="483"/>
    </row>
    <row r="730">
      <c r="A730" s="507"/>
      <c r="F730" s="483"/>
    </row>
    <row r="731">
      <c r="A731" s="507"/>
      <c r="F731" s="483"/>
    </row>
    <row r="732">
      <c r="A732" s="507"/>
      <c r="F732" s="483"/>
    </row>
    <row r="733">
      <c r="A733" s="507"/>
      <c r="F733" s="483"/>
    </row>
    <row r="734">
      <c r="A734" s="507"/>
      <c r="F734" s="483"/>
    </row>
    <row r="735">
      <c r="A735" s="507"/>
      <c r="F735" s="483"/>
    </row>
    <row r="736">
      <c r="A736" s="507"/>
      <c r="F736" s="483"/>
    </row>
    <row r="737">
      <c r="A737" s="507"/>
      <c r="F737" s="483"/>
    </row>
    <row r="738">
      <c r="A738" s="507"/>
      <c r="F738" s="483"/>
    </row>
    <row r="739">
      <c r="A739" s="507"/>
      <c r="F739" s="483"/>
    </row>
    <row r="740">
      <c r="A740" s="507"/>
      <c r="F740" s="483"/>
    </row>
    <row r="741">
      <c r="A741" s="507"/>
      <c r="F741" s="483"/>
    </row>
    <row r="742">
      <c r="A742" s="507"/>
      <c r="F742" s="483"/>
    </row>
    <row r="743">
      <c r="A743" s="507"/>
      <c r="F743" s="483"/>
    </row>
    <row r="744">
      <c r="A744" s="507"/>
      <c r="F744" s="483"/>
    </row>
    <row r="745">
      <c r="A745" s="507"/>
      <c r="F745" s="483"/>
    </row>
    <row r="746">
      <c r="A746" s="507"/>
      <c r="F746" s="483"/>
    </row>
    <row r="747">
      <c r="A747" s="507"/>
      <c r="F747" s="483"/>
    </row>
    <row r="748">
      <c r="A748" s="507"/>
      <c r="F748" s="483"/>
    </row>
    <row r="749">
      <c r="A749" s="507"/>
      <c r="F749" s="483"/>
    </row>
    <row r="750">
      <c r="A750" s="507"/>
      <c r="F750" s="483"/>
    </row>
    <row r="751">
      <c r="A751" s="507"/>
      <c r="F751" s="483"/>
    </row>
    <row r="752">
      <c r="A752" s="507"/>
      <c r="F752" s="483"/>
    </row>
    <row r="753">
      <c r="A753" s="507"/>
      <c r="F753" s="483"/>
    </row>
    <row r="754">
      <c r="A754" s="507"/>
      <c r="F754" s="483"/>
    </row>
    <row r="755">
      <c r="A755" s="507"/>
      <c r="F755" s="483"/>
    </row>
    <row r="756">
      <c r="A756" s="507"/>
      <c r="F756" s="483"/>
    </row>
    <row r="757">
      <c r="A757" s="507"/>
      <c r="F757" s="483"/>
    </row>
    <row r="758">
      <c r="A758" s="507"/>
      <c r="F758" s="483"/>
    </row>
    <row r="759">
      <c r="A759" s="507"/>
      <c r="F759" s="483"/>
    </row>
    <row r="760">
      <c r="A760" s="507"/>
      <c r="F760" s="483"/>
    </row>
    <row r="761">
      <c r="A761" s="507"/>
      <c r="F761" s="483"/>
    </row>
    <row r="762">
      <c r="A762" s="507"/>
      <c r="F762" s="483"/>
    </row>
    <row r="763">
      <c r="A763" s="507"/>
      <c r="F763" s="483"/>
    </row>
    <row r="764">
      <c r="A764" s="507"/>
      <c r="F764" s="483"/>
    </row>
    <row r="765">
      <c r="A765" s="507"/>
      <c r="F765" s="483"/>
    </row>
    <row r="766">
      <c r="A766" s="507"/>
      <c r="F766" s="483"/>
    </row>
    <row r="767">
      <c r="A767" s="507"/>
      <c r="F767" s="483"/>
    </row>
    <row r="768">
      <c r="A768" s="507"/>
      <c r="F768" s="483"/>
    </row>
    <row r="769">
      <c r="A769" s="507"/>
      <c r="F769" s="483"/>
    </row>
    <row r="770">
      <c r="A770" s="507"/>
      <c r="F770" s="483"/>
    </row>
    <row r="771">
      <c r="A771" s="507"/>
      <c r="F771" s="483"/>
    </row>
    <row r="772">
      <c r="A772" s="507"/>
      <c r="F772" s="483"/>
    </row>
    <row r="773">
      <c r="A773" s="507"/>
      <c r="F773" s="483"/>
    </row>
    <row r="774">
      <c r="A774" s="507"/>
      <c r="F774" s="483"/>
    </row>
    <row r="775">
      <c r="A775" s="507"/>
      <c r="F775" s="483"/>
    </row>
    <row r="776">
      <c r="A776" s="507"/>
      <c r="F776" s="483"/>
    </row>
    <row r="777">
      <c r="A777" s="507"/>
      <c r="F777" s="483"/>
    </row>
    <row r="778">
      <c r="A778" s="507"/>
      <c r="F778" s="483"/>
    </row>
    <row r="779">
      <c r="A779" s="507"/>
      <c r="F779" s="483"/>
    </row>
    <row r="780">
      <c r="A780" s="507"/>
      <c r="F780" s="483"/>
    </row>
    <row r="781">
      <c r="A781" s="507"/>
      <c r="F781" s="483"/>
    </row>
    <row r="782">
      <c r="A782" s="507"/>
      <c r="F782" s="483"/>
    </row>
    <row r="783">
      <c r="A783" s="507"/>
      <c r="F783" s="483"/>
    </row>
    <row r="784">
      <c r="A784" s="507"/>
      <c r="F784" s="483"/>
    </row>
    <row r="785">
      <c r="A785" s="507"/>
      <c r="F785" s="483"/>
    </row>
    <row r="786">
      <c r="A786" s="507"/>
      <c r="F786" s="483"/>
    </row>
    <row r="787">
      <c r="A787" s="507"/>
      <c r="F787" s="483"/>
    </row>
    <row r="788">
      <c r="A788" s="507"/>
      <c r="F788" s="483"/>
    </row>
    <row r="789">
      <c r="A789" s="507"/>
      <c r="F789" s="483"/>
    </row>
    <row r="790">
      <c r="A790" s="507"/>
      <c r="F790" s="483"/>
    </row>
    <row r="791">
      <c r="A791" s="507"/>
      <c r="F791" s="483"/>
    </row>
    <row r="792">
      <c r="A792" s="507"/>
      <c r="F792" s="483"/>
    </row>
    <row r="793">
      <c r="A793" s="507"/>
      <c r="F793" s="483"/>
    </row>
    <row r="794">
      <c r="A794" s="507"/>
      <c r="F794" s="483"/>
    </row>
    <row r="795">
      <c r="A795" s="507"/>
      <c r="F795" s="483"/>
    </row>
    <row r="796">
      <c r="A796" s="507"/>
      <c r="F796" s="483"/>
    </row>
    <row r="797">
      <c r="A797" s="507"/>
      <c r="F797" s="483"/>
    </row>
    <row r="798">
      <c r="A798" s="507"/>
      <c r="F798" s="483"/>
    </row>
    <row r="799">
      <c r="A799" s="507"/>
      <c r="F799" s="483"/>
    </row>
    <row r="800">
      <c r="A800" s="507"/>
      <c r="F800" s="483"/>
    </row>
    <row r="801">
      <c r="A801" s="507"/>
      <c r="F801" s="483"/>
    </row>
    <row r="802">
      <c r="A802" s="507"/>
      <c r="F802" s="483"/>
    </row>
    <row r="803">
      <c r="A803" s="507"/>
      <c r="F803" s="483"/>
    </row>
    <row r="804">
      <c r="A804" s="507"/>
      <c r="F804" s="483"/>
    </row>
    <row r="805">
      <c r="A805" s="507"/>
      <c r="F805" s="483"/>
    </row>
    <row r="806">
      <c r="A806" s="507"/>
      <c r="F806" s="483"/>
    </row>
    <row r="807">
      <c r="A807" s="507"/>
      <c r="F807" s="483"/>
    </row>
    <row r="808">
      <c r="A808" s="507"/>
      <c r="F808" s="483"/>
    </row>
    <row r="809">
      <c r="A809" s="507"/>
      <c r="F809" s="483"/>
    </row>
    <row r="810">
      <c r="A810" s="507"/>
      <c r="F810" s="483"/>
    </row>
    <row r="811">
      <c r="A811" s="507"/>
      <c r="F811" s="483"/>
    </row>
    <row r="812">
      <c r="A812" s="507"/>
      <c r="F812" s="483"/>
    </row>
    <row r="813">
      <c r="A813" s="507"/>
      <c r="F813" s="483"/>
    </row>
    <row r="814">
      <c r="A814" s="507"/>
      <c r="F814" s="483"/>
    </row>
    <row r="815">
      <c r="A815" s="507"/>
      <c r="F815" s="483"/>
    </row>
    <row r="816">
      <c r="A816" s="507"/>
      <c r="F816" s="483"/>
    </row>
    <row r="817">
      <c r="A817" s="507"/>
      <c r="F817" s="483"/>
    </row>
    <row r="818">
      <c r="A818" s="507"/>
      <c r="F818" s="483"/>
    </row>
    <row r="819">
      <c r="A819" s="507"/>
      <c r="F819" s="483"/>
    </row>
    <row r="820">
      <c r="A820" s="507"/>
      <c r="F820" s="483"/>
    </row>
    <row r="821">
      <c r="A821" s="507"/>
      <c r="F821" s="483"/>
    </row>
    <row r="822">
      <c r="A822" s="507"/>
      <c r="F822" s="483"/>
    </row>
    <row r="823">
      <c r="A823" s="507"/>
      <c r="F823" s="483"/>
    </row>
    <row r="824">
      <c r="A824" s="507"/>
      <c r="F824" s="483"/>
    </row>
    <row r="825">
      <c r="A825" s="507"/>
      <c r="F825" s="483"/>
    </row>
    <row r="826">
      <c r="A826" s="507"/>
      <c r="F826" s="483"/>
    </row>
    <row r="827">
      <c r="A827" s="507"/>
      <c r="F827" s="483"/>
    </row>
    <row r="828">
      <c r="A828" s="507"/>
      <c r="F828" s="483"/>
    </row>
    <row r="829">
      <c r="A829" s="507"/>
      <c r="F829" s="483"/>
    </row>
    <row r="830">
      <c r="A830" s="507"/>
      <c r="F830" s="483"/>
    </row>
    <row r="831">
      <c r="A831" s="507"/>
      <c r="F831" s="483"/>
    </row>
    <row r="832">
      <c r="A832" s="507"/>
      <c r="F832" s="483"/>
    </row>
    <row r="833">
      <c r="A833" s="507"/>
      <c r="F833" s="483"/>
    </row>
    <row r="834">
      <c r="A834" s="507"/>
      <c r="F834" s="483"/>
    </row>
    <row r="835">
      <c r="A835" s="507"/>
      <c r="F835" s="483"/>
    </row>
    <row r="836">
      <c r="A836" s="507"/>
      <c r="F836" s="483"/>
    </row>
    <row r="837">
      <c r="A837" s="507"/>
      <c r="F837" s="483"/>
    </row>
    <row r="838">
      <c r="A838" s="507"/>
      <c r="F838" s="483"/>
    </row>
    <row r="839">
      <c r="A839" s="507"/>
      <c r="F839" s="483"/>
    </row>
    <row r="840">
      <c r="A840" s="507"/>
      <c r="F840" s="483"/>
    </row>
    <row r="841">
      <c r="A841" s="507"/>
      <c r="F841" s="483"/>
    </row>
    <row r="842">
      <c r="A842" s="507"/>
      <c r="F842" s="483"/>
    </row>
    <row r="843">
      <c r="A843" s="507"/>
      <c r="F843" s="483"/>
    </row>
    <row r="844">
      <c r="A844" s="507"/>
      <c r="F844" s="483"/>
    </row>
    <row r="845">
      <c r="A845" s="507"/>
      <c r="F845" s="483"/>
    </row>
    <row r="846">
      <c r="A846" s="507"/>
      <c r="F846" s="483"/>
    </row>
    <row r="847">
      <c r="A847" s="507"/>
      <c r="F847" s="483"/>
    </row>
    <row r="848">
      <c r="A848" s="507"/>
      <c r="F848" s="483"/>
    </row>
    <row r="849">
      <c r="A849" s="507"/>
      <c r="F849" s="483"/>
    </row>
    <row r="850">
      <c r="A850" s="507"/>
      <c r="F850" s="483"/>
    </row>
    <row r="851">
      <c r="A851" s="507"/>
      <c r="F851" s="483"/>
    </row>
    <row r="852">
      <c r="A852" s="507"/>
      <c r="F852" s="483"/>
    </row>
    <row r="853">
      <c r="A853" s="507"/>
      <c r="F853" s="483"/>
    </row>
    <row r="854">
      <c r="A854" s="507"/>
      <c r="F854" s="483"/>
    </row>
    <row r="855">
      <c r="A855" s="507"/>
      <c r="F855" s="483"/>
    </row>
    <row r="856">
      <c r="A856" s="507"/>
      <c r="F856" s="483"/>
    </row>
    <row r="857">
      <c r="A857" s="507"/>
      <c r="F857" s="483"/>
    </row>
    <row r="858">
      <c r="A858" s="507"/>
      <c r="F858" s="483"/>
    </row>
    <row r="859">
      <c r="A859" s="507"/>
      <c r="F859" s="483"/>
    </row>
    <row r="860">
      <c r="A860" s="507"/>
      <c r="F860" s="483"/>
    </row>
    <row r="861">
      <c r="A861" s="507"/>
      <c r="F861" s="483"/>
    </row>
    <row r="862">
      <c r="A862" s="507"/>
      <c r="F862" s="483"/>
    </row>
    <row r="863">
      <c r="A863" s="507"/>
      <c r="F863" s="483"/>
    </row>
    <row r="864">
      <c r="A864" s="507"/>
      <c r="F864" s="483"/>
    </row>
    <row r="865">
      <c r="A865" s="507"/>
      <c r="F865" s="483"/>
    </row>
    <row r="866">
      <c r="A866" s="507"/>
      <c r="F866" s="483"/>
    </row>
    <row r="867">
      <c r="A867" s="507"/>
      <c r="F867" s="483"/>
    </row>
    <row r="868">
      <c r="A868" s="507"/>
      <c r="F868" s="483"/>
    </row>
    <row r="869">
      <c r="A869" s="507"/>
      <c r="F869" s="483"/>
    </row>
    <row r="870">
      <c r="A870" s="507"/>
      <c r="F870" s="483"/>
    </row>
    <row r="871">
      <c r="A871" s="507"/>
      <c r="F871" s="483"/>
    </row>
    <row r="872">
      <c r="A872" s="507"/>
      <c r="F872" s="483"/>
    </row>
    <row r="873">
      <c r="A873" s="507"/>
      <c r="F873" s="483"/>
    </row>
    <row r="874">
      <c r="A874" s="507"/>
      <c r="F874" s="483"/>
    </row>
    <row r="875">
      <c r="A875" s="507"/>
      <c r="F875" s="483"/>
    </row>
    <row r="876">
      <c r="A876" s="507"/>
      <c r="F876" s="483"/>
    </row>
    <row r="877">
      <c r="A877" s="507"/>
      <c r="F877" s="483"/>
    </row>
    <row r="878">
      <c r="A878" s="507"/>
      <c r="F878" s="483"/>
    </row>
    <row r="879">
      <c r="A879" s="507"/>
      <c r="F879" s="483"/>
    </row>
    <row r="880">
      <c r="A880" s="507"/>
      <c r="F880" s="483"/>
    </row>
    <row r="881">
      <c r="A881" s="507"/>
      <c r="F881" s="483"/>
    </row>
    <row r="882">
      <c r="A882" s="507"/>
      <c r="F882" s="483"/>
    </row>
    <row r="883">
      <c r="A883" s="507"/>
      <c r="F883" s="483"/>
    </row>
    <row r="884">
      <c r="A884" s="507"/>
      <c r="F884" s="483"/>
    </row>
    <row r="885">
      <c r="A885" s="507"/>
      <c r="F885" s="483"/>
    </row>
    <row r="886">
      <c r="A886" s="507"/>
      <c r="F886" s="483"/>
    </row>
    <row r="887">
      <c r="A887" s="507"/>
      <c r="F887" s="483"/>
    </row>
    <row r="888">
      <c r="A888" s="507"/>
      <c r="F888" s="483"/>
    </row>
    <row r="889">
      <c r="A889" s="507"/>
      <c r="F889" s="483"/>
    </row>
    <row r="890">
      <c r="A890" s="507"/>
      <c r="F890" s="483"/>
    </row>
    <row r="891">
      <c r="A891" s="507"/>
      <c r="F891" s="483"/>
    </row>
    <row r="892">
      <c r="A892" s="507"/>
      <c r="F892" s="483"/>
    </row>
    <row r="893">
      <c r="A893" s="507"/>
      <c r="F893" s="483"/>
    </row>
    <row r="894">
      <c r="A894" s="507"/>
      <c r="F894" s="483"/>
    </row>
    <row r="895">
      <c r="A895" s="507"/>
      <c r="F895" s="483"/>
    </row>
    <row r="896">
      <c r="A896" s="507"/>
      <c r="F896" s="483"/>
    </row>
    <row r="897">
      <c r="A897" s="507"/>
      <c r="F897" s="483"/>
    </row>
    <row r="898">
      <c r="A898" s="507"/>
      <c r="F898" s="483"/>
    </row>
    <row r="899">
      <c r="A899" s="507"/>
      <c r="F899" s="483"/>
    </row>
    <row r="900">
      <c r="A900" s="507"/>
      <c r="F900" s="483"/>
    </row>
    <row r="901">
      <c r="A901" s="507"/>
      <c r="F901" s="483"/>
    </row>
    <row r="902">
      <c r="A902" s="507"/>
      <c r="F902" s="483"/>
    </row>
    <row r="903">
      <c r="A903" s="507"/>
      <c r="F903" s="483"/>
    </row>
    <row r="904">
      <c r="A904" s="507"/>
      <c r="F904" s="483"/>
    </row>
    <row r="905">
      <c r="A905" s="507"/>
      <c r="F905" s="483"/>
    </row>
    <row r="906">
      <c r="A906" s="507"/>
      <c r="F906" s="483"/>
    </row>
    <row r="907">
      <c r="A907" s="507"/>
      <c r="F907" s="483"/>
    </row>
    <row r="908">
      <c r="A908" s="507"/>
      <c r="F908" s="483"/>
    </row>
    <row r="909">
      <c r="A909" s="507"/>
      <c r="F909" s="483"/>
    </row>
    <row r="910">
      <c r="A910" s="507"/>
      <c r="F910" s="483"/>
    </row>
    <row r="911">
      <c r="A911" s="507"/>
      <c r="F911" s="483"/>
    </row>
    <row r="912">
      <c r="A912" s="507"/>
      <c r="F912" s="483"/>
    </row>
    <row r="913">
      <c r="A913" s="507"/>
      <c r="F913" s="483"/>
    </row>
    <row r="914">
      <c r="A914" s="507"/>
      <c r="F914" s="483"/>
    </row>
    <row r="915">
      <c r="A915" s="507"/>
      <c r="F915" s="483"/>
    </row>
    <row r="916">
      <c r="A916" s="507"/>
      <c r="F916" s="483"/>
    </row>
    <row r="917">
      <c r="A917" s="507"/>
      <c r="F917" s="483"/>
    </row>
    <row r="918">
      <c r="A918" s="507"/>
      <c r="F918" s="483"/>
    </row>
    <row r="919">
      <c r="A919" s="507"/>
      <c r="F919" s="483"/>
    </row>
    <row r="920">
      <c r="A920" s="507"/>
      <c r="F920" s="483"/>
    </row>
    <row r="921">
      <c r="A921" s="507"/>
      <c r="F921" s="483"/>
    </row>
    <row r="922">
      <c r="A922" s="507"/>
      <c r="F922" s="483"/>
    </row>
    <row r="923">
      <c r="A923" s="507"/>
      <c r="F923" s="483"/>
    </row>
    <row r="924">
      <c r="A924" s="507"/>
      <c r="F924" s="483"/>
    </row>
    <row r="925">
      <c r="A925" s="507"/>
      <c r="F925" s="483"/>
    </row>
    <row r="926">
      <c r="A926" s="507"/>
      <c r="F926" s="483"/>
    </row>
    <row r="927">
      <c r="A927" s="507"/>
      <c r="F927" s="483"/>
    </row>
    <row r="928">
      <c r="A928" s="507"/>
      <c r="F928" s="483"/>
    </row>
    <row r="929">
      <c r="A929" s="507"/>
      <c r="F929" s="483"/>
    </row>
    <row r="930">
      <c r="A930" s="507"/>
      <c r="F930" s="483"/>
    </row>
    <row r="931">
      <c r="A931" s="507"/>
      <c r="F931" s="483"/>
    </row>
    <row r="932">
      <c r="A932" s="507"/>
      <c r="F932" s="483"/>
    </row>
    <row r="933">
      <c r="A933" s="507"/>
      <c r="F933" s="483"/>
    </row>
    <row r="934">
      <c r="A934" s="507"/>
      <c r="F934" s="483"/>
    </row>
    <row r="935">
      <c r="A935" s="507"/>
      <c r="F935" s="483"/>
    </row>
    <row r="936">
      <c r="A936" s="507"/>
      <c r="F936" s="483"/>
    </row>
    <row r="937">
      <c r="A937" s="507"/>
      <c r="F937" s="483"/>
    </row>
    <row r="938">
      <c r="A938" s="507"/>
      <c r="F938" s="483"/>
    </row>
    <row r="939">
      <c r="A939" s="507"/>
      <c r="F939" s="483"/>
    </row>
    <row r="940">
      <c r="A940" s="507"/>
      <c r="F940" s="483"/>
    </row>
    <row r="941">
      <c r="A941" s="507"/>
      <c r="F941" s="483"/>
    </row>
    <row r="942">
      <c r="A942" s="507"/>
      <c r="F942" s="483"/>
    </row>
    <row r="943">
      <c r="A943" s="507"/>
      <c r="F943" s="483"/>
    </row>
    <row r="944">
      <c r="A944" s="507"/>
      <c r="F944" s="483"/>
    </row>
    <row r="945">
      <c r="A945" s="507"/>
      <c r="F945" s="483"/>
    </row>
    <row r="946">
      <c r="A946" s="507"/>
      <c r="F946" s="483"/>
    </row>
    <row r="947">
      <c r="A947" s="507"/>
      <c r="F947" s="483"/>
    </row>
    <row r="948">
      <c r="A948" s="507"/>
      <c r="F948" s="483"/>
    </row>
    <row r="949">
      <c r="A949" s="507"/>
      <c r="F949" s="483"/>
    </row>
    <row r="950">
      <c r="A950" s="507"/>
      <c r="F950" s="483"/>
    </row>
    <row r="951">
      <c r="A951" s="507"/>
      <c r="F951" s="483"/>
    </row>
    <row r="952">
      <c r="A952" s="507"/>
      <c r="F952" s="483"/>
    </row>
    <row r="953">
      <c r="A953" s="507"/>
      <c r="F953" s="483"/>
    </row>
    <row r="954">
      <c r="A954" s="507"/>
      <c r="F954" s="483"/>
    </row>
    <row r="955">
      <c r="A955" s="507"/>
      <c r="F955" s="483"/>
    </row>
    <row r="956">
      <c r="A956" s="507"/>
      <c r="F956" s="483"/>
    </row>
    <row r="957">
      <c r="A957" s="507"/>
      <c r="F957" s="483"/>
    </row>
    <row r="958">
      <c r="A958" s="507"/>
      <c r="F958" s="483"/>
    </row>
    <row r="959">
      <c r="A959" s="507"/>
      <c r="F959" s="483"/>
    </row>
    <row r="960">
      <c r="A960" s="507"/>
      <c r="F960" s="483"/>
    </row>
    <row r="961">
      <c r="A961" s="507"/>
      <c r="F961" s="483"/>
    </row>
    <row r="962">
      <c r="A962" s="507"/>
      <c r="F962" s="483"/>
    </row>
    <row r="963">
      <c r="A963" s="507"/>
      <c r="F963" s="483"/>
    </row>
    <row r="964">
      <c r="A964" s="507"/>
      <c r="F964" s="483"/>
    </row>
    <row r="965">
      <c r="A965" s="507"/>
      <c r="F965" s="483"/>
    </row>
    <row r="966">
      <c r="A966" s="507"/>
      <c r="F966" s="483"/>
    </row>
    <row r="967">
      <c r="A967" s="507"/>
      <c r="F967" s="483"/>
    </row>
    <row r="968">
      <c r="A968" s="507"/>
      <c r="F968" s="483"/>
    </row>
    <row r="969">
      <c r="A969" s="507"/>
      <c r="F969" s="483"/>
    </row>
    <row r="970">
      <c r="A970" s="507"/>
      <c r="F970" s="483"/>
    </row>
    <row r="971">
      <c r="A971" s="507"/>
      <c r="F971" s="483"/>
    </row>
    <row r="972">
      <c r="A972" s="507"/>
      <c r="F972" s="483"/>
    </row>
    <row r="973">
      <c r="A973" s="507"/>
      <c r="F973" s="483"/>
    </row>
    <row r="974">
      <c r="A974" s="507"/>
      <c r="F974" s="483"/>
    </row>
    <row r="975">
      <c r="A975" s="507"/>
      <c r="F975" s="483"/>
    </row>
    <row r="976">
      <c r="A976" s="507"/>
      <c r="F976" s="483"/>
    </row>
    <row r="977">
      <c r="A977" s="507"/>
      <c r="F977" s="483"/>
    </row>
    <row r="978">
      <c r="A978" s="507"/>
      <c r="F978" s="483"/>
    </row>
    <row r="979">
      <c r="A979" s="507"/>
      <c r="F979" s="483"/>
    </row>
    <row r="980">
      <c r="A980" s="507"/>
      <c r="F980" s="483"/>
    </row>
    <row r="981">
      <c r="A981" s="507"/>
      <c r="F981" s="483"/>
    </row>
    <row r="982">
      <c r="A982" s="507"/>
      <c r="F982" s="483"/>
    </row>
    <row r="983">
      <c r="A983" s="507"/>
      <c r="F983" s="483"/>
    </row>
    <row r="984">
      <c r="A984" s="507"/>
      <c r="F984" s="483"/>
    </row>
    <row r="985">
      <c r="A985" s="507"/>
      <c r="F985" s="483"/>
    </row>
    <row r="986">
      <c r="A986" s="507"/>
      <c r="F986" s="483"/>
    </row>
    <row r="987">
      <c r="A987" s="507"/>
      <c r="F987" s="483"/>
    </row>
    <row r="988">
      <c r="A988" s="507"/>
      <c r="F988" s="483"/>
    </row>
    <row r="989">
      <c r="A989" s="507"/>
      <c r="F989" s="483"/>
    </row>
    <row r="990">
      <c r="A990" s="507"/>
      <c r="F990" s="483"/>
    </row>
    <row r="991">
      <c r="A991" s="507"/>
      <c r="F991" s="483"/>
    </row>
    <row r="992">
      <c r="A992" s="507"/>
      <c r="F992" s="483"/>
    </row>
    <row r="993">
      <c r="A993" s="507"/>
      <c r="F993" s="483"/>
    </row>
    <row r="994">
      <c r="A994" s="507"/>
      <c r="F994" s="483"/>
    </row>
    <row r="995">
      <c r="A995" s="507"/>
      <c r="F995" s="483"/>
    </row>
    <row r="996">
      <c r="A996" s="507"/>
      <c r="F996" s="483"/>
    </row>
    <row r="997">
      <c r="A997" s="507"/>
      <c r="F997" s="483"/>
    </row>
  </sheetData>
  <autoFilter ref="$A$1:$X$997">
    <sortState ref="A1:X997">
      <sortCondition ref="A1:A997"/>
      <sortCondition ref="F1:F997"/>
    </sortState>
  </autoFilter>
  <mergeCells count="2">
    <mergeCell ref="C57:D57"/>
    <mergeCell ref="C64:F64"/>
  </mergeCells>
  <hyperlinks>
    <hyperlink r:id="rId1" ref="K2"/>
    <hyperlink r:id="rId2" location="slide=id.g2edd551b383_0_910" ref="C64"/>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5.75"/>
    <col customWidth="1" min="3" max="3" width="33.0"/>
    <col customWidth="1" min="4" max="4" width="32.25"/>
    <col customWidth="1" min="5" max="6" width="18.88"/>
    <col customWidth="1" min="7" max="7" width="40.0"/>
    <col customWidth="1" min="8" max="8" width="9.13"/>
    <col customWidth="1" min="9" max="9" width="34.5"/>
  </cols>
  <sheetData>
    <row r="1">
      <c r="A1" s="162" t="s">
        <v>161</v>
      </c>
      <c r="B1" s="648" t="s">
        <v>672</v>
      </c>
      <c r="C1" s="649" t="s">
        <v>673</v>
      </c>
      <c r="D1" s="649" t="s">
        <v>674</v>
      </c>
      <c r="E1" s="162" t="s">
        <v>675</v>
      </c>
      <c r="F1" s="648" t="s">
        <v>676</v>
      </c>
      <c r="G1" s="162" t="s">
        <v>677</v>
      </c>
      <c r="H1" s="162" t="s">
        <v>307</v>
      </c>
      <c r="I1" s="162" t="s">
        <v>377</v>
      </c>
      <c r="J1" s="12"/>
      <c r="K1" s="163"/>
      <c r="L1" s="163"/>
      <c r="M1" s="163"/>
      <c r="N1" s="163"/>
      <c r="O1" s="163"/>
      <c r="P1" s="163"/>
      <c r="Q1" s="163"/>
      <c r="R1" s="163"/>
      <c r="S1" s="163"/>
      <c r="T1" s="163"/>
      <c r="U1" s="163"/>
      <c r="V1" s="163"/>
      <c r="W1" s="163"/>
      <c r="X1" s="163"/>
      <c r="Y1" s="163"/>
      <c r="Z1" s="163"/>
      <c r="AA1" s="163"/>
      <c r="AB1" s="163"/>
    </row>
    <row r="2">
      <c r="A2" s="22" t="s">
        <v>207</v>
      </c>
      <c r="B2" s="652">
        <v>1.94998449769085E11</v>
      </c>
      <c r="C2" s="654">
        <f>4.1*10^9</f>
        <v>4100000000</v>
      </c>
      <c r="D2" s="654">
        <f>10.4*10^9</f>
        <v>10400000000</v>
      </c>
      <c r="E2" s="655">
        <f t="shared" ref="E2:E18" si="1">(C2+D2)/B2</f>
        <v>0.07435956551</v>
      </c>
      <c r="F2" s="656">
        <f t="shared" ref="F2:F18" si="2">C2+D2</f>
        <v>14500000000</v>
      </c>
      <c r="G2" s="318" t="str">
        <f t="shared" ref="G2:G18" si="3">IF(E2 =0, "None", IF(E2 &lt;=0.005, "Medium", "High"))</f>
        <v>High</v>
      </c>
      <c r="H2" s="658">
        <f t="shared" ref="H2:H18" si="4">IF(E2 =0, (1/3), IF(E2 &lt;=0.005, (2/3), 1))</f>
        <v>1</v>
      </c>
      <c r="I2" s="317" t="s">
        <v>678</v>
      </c>
    </row>
    <row r="3">
      <c r="A3" s="22" t="s">
        <v>240</v>
      </c>
      <c r="B3" s="652">
        <v>1.06782770714619E11</v>
      </c>
      <c r="C3" s="654">
        <f>0.6*10^9</f>
        <v>600000000</v>
      </c>
      <c r="D3" s="654">
        <f>3.3*10^9</f>
        <v>3300000000</v>
      </c>
      <c r="E3" s="655">
        <f t="shared" si="1"/>
        <v>0.03652274589</v>
      </c>
      <c r="F3" s="656">
        <f t="shared" si="2"/>
        <v>3900000000</v>
      </c>
      <c r="G3" s="318" t="str">
        <f t="shared" si="3"/>
        <v>High</v>
      </c>
      <c r="H3" s="658">
        <f t="shared" si="4"/>
        <v>1</v>
      </c>
      <c r="I3" s="317" t="s">
        <v>685</v>
      </c>
      <c r="J3" s="661"/>
    </row>
    <row r="4">
      <c r="A4" s="22" t="s">
        <v>268</v>
      </c>
      <c r="B4" s="652">
        <v>1.73967926995489E10</v>
      </c>
      <c r="C4" s="654">
        <f t="shared" ref="C4:C16" si="5">0*10^9</f>
        <v>0</v>
      </c>
      <c r="D4" s="654">
        <f>0.1*10^9</f>
        <v>100000000</v>
      </c>
      <c r="E4" s="655">
        <f t="shared" si="1"/>
        <v>0.005748185986</v>
      </c>
      <c r="F4" s="656">
        <f t="shared" si="2"/>
        <v>100000000</v>
      </c>
      <c r="G4" s="318" t="str">
        <f t="shared" si="3"/>
        <v>High</v>
      </c>
      <c r="H4" s="658">
        <f t="shared" si="4"/>
        <v>1</v>
      </c>
    </row>
    <row r="5">
      <c r="A5" s="22" t="s">
        <v>329</v>
      </c>
      <c r="B5" s="652">
        <v>2.03555419628512E10</v>
      </c>
      <c r="C5" s="654">
        <f t="shared" si="5"/>
        <v>0</v>
      </c>
      <c r="D5" s="654">
        <f>0*10^9</f>
        <v>0</v>
      </c>
      <c r="E5" s="655">
        <f t="shared" si="1"/>
        <v>0</v>
      </c>
      <c r="F5" s="656">
        <f t="shared" si="2"/>
        <v>0</v>
      </c>
      <c r="G5" s="318" t="str">
        <f t="shared" si="3"/>
        <v>None</v>
      </c>
      <c r="H5" s="658">
        <f t="shared" si="4"/>
        <v>0.3333333333</v>
      </c>
    </row>
    <row r="6">
      <c r="A6" s="22" t="s">
        <v>331</v>
      </c>
      <c r="B6" s="652">
        <v>1.88200647978379E10</v>
      </c>
      <c r="C6" s="654">
        <f t="shared" si="5"/>
        <v>0</v>
      </c>
      <c r="D6" s="654">
        <f>0.1*10^9</f>
        <v>100000000</v>
      </c>
      <c r="E6" s="655">
        <f t="shared" si="1"/>
        <v>0.005313477986</v>
      </c>
      <c r="F6" s="656">
        <f t="shared" si="2"/>
        <v>100000000</v>
      </c>
      <c r="G6" s="318" t="str">
        <f t="shared" si="3"/>
        <v>High</v>
      </c>
      <c r="H6" s="658">
        <f t="shared" si="4"/>
        <v>1</v>
      </c>
    </row>
    <row r="7">
      <c r="A7" s="22" t="s">
        <v>333</v>
      </c>
      <c r="B7" s="652">
        <v>3.33872282766241E9</v>
      </c>
      <c r="C7" s="654">
        <f t="shared" si="5"/>
        <v>0</v>
      </c>
      <c r="D7" s="654">
        <f t="shared" ref="D7:D8" si="6">0*10^9</f>
        <v>0</v>
      </c>
      <c r="E7" s="655">
        <f t="shared" si="1"/>
        <v>0</v>
      </c>
      <c r="F7" s="656">
        <f t="shared" si="2"/>
        <v>0</v>
      </c>
      <c r="G7" s="318" t="str">
        <f t="shared" si="3"/>
        <v>None</v>
      </c>
      <c r="H7" s="658">
        <f t="shared" si="4"/>
        <v>0.3333333333</v>
      </c>
    </row>
    <row r="8">
      <c r="A8" s="22" t="s">
        <v>225</v>
      </c>
      <c r="B8" s="652">
        <v>2.22686213408787E9</v>
      </c>
      <c r="C8" s="654">
        <f t="shared" si="5"/>
        <v>0</v>
      </c>
      <c r="D8" s="654">
        <f t="shared" si="6"/>
        <v>0</v>
      </c>
      <c r="E8" s="655">
        <f t="shared" si="1"/>
        <v>0</v>
      </c>
      <c r="F8" s="656">
        <f t="shared" si="2"/>
        <v>0</v>
      </c>
      <c r="G8" s="318" t="str">
        <f t="shared" si="3"/>
        <v>None</v>
      </c>
      <c r="H8" s="658">
        <f t="shared" si="4"/>
        <v>0.3333333333</v>
      </c>
    </row>
    <row r="9">
      <c r="A9" s="22" t="s">
        <v>338</v>
      </c>
      <c r="B9" s="652">
        <v>4.3644068310851E10</v>
      </c>
      <c r="C9" s="654">
        <f t="shared" si="5"/>
        <v>0</v>
      </c>
      <c r="D9" s="654">
        <f>0.1*10^9</f>
        <v>100000000</v>
      </c>
      <c r="E9" s="655">
        <f t="shared" si="1"/>
        <v>0.002291262109</v>
      </c>
      <c r="F9" s="656">
        <f t="shared" si="2"/>
        <v>100000000</v>
      </c>
      <c r="G9" s="318" t="str">
        <f t="shared" si="3"/>
        <v>Medium</v>
      </c>
      <c r="H9" s="658">
        <f t="shared" si="4"/>
        <v>0.6666666667</v>
      </c>
    </row>
    <row r="10">
      <c r="A10" s="22" t="s">
        <v>340</v>
      </c>
      <c r="B10" s="652">
        <v>2.38261861501694E9</v>
      </c>
      <c r="C10" s="654">
        <f t="shared" si="5"/>
        <v>0</v>
      </c>
      <c r="D10" s="654">
        <f t="shared" ref="D10:D13" si="7">0*10^9</f>
        <v>0</v>
      </c>
      <c r="E10" s="655">
        <f t="shared" si="1"/>
        <v>0</v>
      </c>
      <c r="F10" s="656">
        <f t="shared" si="2"/>
        <v>0</v>
      </c>
      <c r="G10" s="318" t="str">
        <f t="shared" si="3"/>
        <v>None</v>
      </c>
      <c r="H10" s="658">
        <f t="shared" si="4"/>
        <v>0.3333333333</v>
      </c>
    </row>
    <row r="11">
      <c r="A11" s="22" t="s">
        <v>342</v>
      </c>
      <c r="B11" s="652">
        <v>1.27041498402283E10</v>
      </c>
      <c r="C11" s="654">
        <f t="shared" si="5"/>
        <v>0</v>
      </c>
      <c r="D11" s="654">
        <f t="shared" si="7"/>
        <v>0</v>
      </c>
      <c r="E11" s="655">
        <f t="shared" si="1"/>
        <v>0</v>
      </c>
      <c r="F11" s="656">
        <f t="shared" si="2"/>
        <v>0</v>
      </c>
      <c r="G11" s="318" t="str">
        <f t="shared" si="3"/>
        <v>None</v>
      </c>
      <c r="H11" s="658">
        <f t="shared" si="4"/>
        <v>0.3333333333</v>
      </c>
    </row>
    <row r="12">
      <c r="A12" s="22" t="s">
        <v>346</v>
      </c>
      <c r="B12" s="652">
        <v>1.24251940727815E9</v>
      </c>
      <c r="C12" s="654">
        <f t="shared" si="5"/>
        <v>0</v>
      </c>
      <c r="D12" s="654">
        <f t="shared" si="7"/>
        <v>0</v>
      </c>
      <c r="E12" s="655">
        <f t="shared" si="1"/>
        <v>0</v>
      </c>
      <c r="F12" s="656">
        <f t="shared" si="2"/>
        <v>0</v>
      </c>
      <c r="G12" s="318" t="str">
        <f t="shared" si="3"/>
        <v>None</v>
      </c>
      <c r="H12" s="658">
        <f t="shared" si="4"/>
        <v>0.3333333333</v>
      </c>
    </row>
    <row r="13">
      <c r="A13" s="22" t="s">
        <v>351</v>
      </c>
      <c r="B13" s="652">
        <v>1.58169966545788E10</v>
      </c>
      <c r="C13" s="654">
        <f t="shared" si="5"/>
        <v>0</v>
      </c>
      <c r="D13" s="654">
        <f t="shared" si="7"/>
        <v>0</v>
      </c>
      <c r="E13" s="655">
        <f t="shared" si="1"/>
        <v>0</v>
      </c>
      <c r="F13" s="656">
        <f t="shared" si="2"/>
        <v>0</v>
      </c>
      <c r="G13" s="318" t="str">
        <f t="shared" si="3"/>
        <v>None</v>
      </c>
      <c r="H13" s="658">
        <f t="shared" si="4"/>
        <v>0.3333333333</v>
      </c>
    </row>
    <row r="14">
      <c r="A14" s="22" t="s">
        <v>356</v>
      </c>
      <c r="B14" s="652">
        <v>7.00187150168293E10</v>
      </c>
      <c r="C14" s="654">
        <f t="shared" si="5"/>
        <v>0</v>
      </c>
      <c r="D14" s="654">
        <f>0.1*10^9</f>
        <v>100000000</v>
      </c>
      <c r="E14" s="655">
        <f t="shared" si="1"/>
        <v>0.001428189592</v>
      </c>
      <c r="F14" s="656">
        <f t="shared" si="2"/>
        <v>100000000</v>
      </c>
      <c r="G14" s="318" t="str">
        <f t="shared" si="3"/>
        <v>Medium</v>
      </c>
      <c r="H14" s="658">
        <f t="shared" si="4"/>
        <v>0.6666666667</v>
      </c>
    </row>
    <row r="15">
      <c r="A15" s="22" t="s">
        <v>357</v>
      </c>
      <c r="B15" s="652">
        <v>3.51510885995465E9</v>
      </c>
      <c r="C15" s="654">
        <f t="shared" si="5"/>
        <v>0</v>
      </c>
      <c r="D15" s="654">
        <f t="shared" ref="D15:D16" si="8">0*10^9</f>
        <v>0</v>
      </c>
      <c r="E15" s="655">
        <f t="shared" si="1"/>
        <v>0</v>
      </c>
      <c r="F15" s="656">
        <f t="shared" si="2"/>
        <v>0</v>
      </c>
      <c r="G15" s="318" t="str">
        <f t="shared" si="3"/>
        <v>None</v>
      </c>
      <c r="H15" s="658">
        <f t="shared" si="4"/>
        <v>0.3333333333</v>
      </c>
    </row>
    <row r="16">
      <c r="A16" s="22" t="s">
        <v>276</v>
      </c>
      <c r="B16" s="652">
        <v>6.4718641221216E10</v>
      </c>
      <c r="C16" s="654">
        <f t="shared" si="5"/>
        <v>0</v>
      </c>
      <c r="D16" s="654">
        <f t="shared" si="8"/>
        <v>0</v>
      </c>
      <c r="E16" s="655">
        <f t="shared" si="1"/>
        <v>0</v>
      </c>
      <c r="F16" s="656">
        <f t="shared" si="2"/>
        <v>0</v>
      </c>
      <c r="G16" s="318" t="str">
        <f t="shared" si="3"/>
        <v>None</v>
      </c>
      <c r="H16" s="658">
        <f t="shared" si="4"/>
        <v>0.3333333333</v>
      </c>
    </row>
    <row r="17">
      <c r="A17" s="22" t="s">
        <v>285</v>
      </c>
      <c r="B17" s="652">
        <v>4.76747720364742E11</v>
      </c>
      <c r="C17" s="654">
        <f>3.1*10^9</f>
        <v>3100000000</v>
      </c>
      <c r="D17" s="667">
        <f>11.7*10^9</f>
        <v>11700000000</v>
      </c>
      <c r="E17" s="655">
        <f t="shared" si="1"/>
        <v>0.0310436723</v>
      </c>
      <c r="F17" s="656">
        <f t="shared" si="2"/>
        <v>14800000000</v>
      </c>
      <c r="G17" s="318" t="str">
        <f t="shared" si="3"/>
        <v>High</v>
      </c>
      <c r="H17" s="658">
        <f t="shared" si="4"/>
        <v>1</v>
      </c>
    </row>
    <row r="18">
      <c r="A18" s="22" t="s">
        <v>360</v>
      </c>
      <c r="B18" s="652">
        <v>1.2029633746519E10</v>
      </c>
      <c r="C18" s="654">
        <f>0*10^9</f>
        <v>0</v>
      </c>
      <c r="D18" s="654">
        <f>0.1*10^9</f>
        <v>100000000</v>
      </c>
      <c r="E18" s="655">
        <f t="shared" si="1"/>
        <v>0.008312805037</v>
      </c>
      <c r="F18" s="656">
        <f t="shared" si="2"/>
        <v>100000000</v>
      </c>
      <c r="G18" s="318" t="str">
        <f t="shared" si="3"/>
        <v>High</v>
      </c>
      <c r="H18" s="658">
        <f t="shared" si="4"/>
        <v>1</v>
      </c>
    </row>
    <row r="19">
      <c r="A19" s="22" t="s">
        <v>362</v>
      </c>
      <c r="B19" s="652">
        <v>2.06500162601626E9</v>
      </c>
      <c r="C19" s="671" t="s">
        <v>382</v>
      </c>
      <c r="D19" s="671" t="s">
        <v>382</v>
      </c>
      <c r="E19" s="342" t="s">
        <v>382</v>
      </c>
      <c r="F19" s="673" t="s">
        <v>382</v>
      </c>
      <c r="G19" s="674" t="s">
        <v>382</v>
      </c>
      <c r="H19" s="675" t="s">
        <v>382</v>
      </c>
    </row>
    <row r="20">
      <c r="A20" s="22" t="s">
        <v>363</v>
      </c>
      <c r="B20" s="652">
        <v>4.7909220656101E9</v>
      </c>
      <c r="C20" s="671" t="s">
        <v>382</v>
      </c>
      <c r="D20" s="671" t="s">
        <v>382</v>
      </c>
      <c r="E20" s="342" t="s">
        <v>382</v>
      </c>
      <c r="F20" s="673" t="s">
        <v>382</v>
      </c>
      <c r="G20" s="674" t="s">
        <v>382</v>
      </c>
      <c r="H20" s="675" t="s">
        <v>382</v>
      </c>
    </row>
    <row r="21">
      <c r="A21" s="22" t="s">
        <v>255</v>
      </c>
      <c r="B21" s="652">
        <v>1.26783471597671E11</v>
      </c>
      <c r="C21" s="654">
        <f>2.6*10^9</f>
        <v>2600000000</v>
      </c>
      <c r="D21" s="654">
        <f>0*10^9</f>
        <v>0</v>
      </c>
      <c r="E21" s="655">
        <f t="shared" ref="E21:E55" si="10">(C21+D21)/B21</f>
        <v>0.02050740501</v>
      </c>
      <c r="F21" s="656">
        <f t="shared" ref="F21:F55" si="11">C21+D21</f>
        <v>2600000000</v>
      </c>
      <c r="G21" s="318" t="str">
        <f t="shared" ref="G21:G55" si="12">IF(E21 =0, "None", IF(E21 &lt;=0.005, "Medium", "High"))</f>
        <v>High</v>
      </c>
      <c r="H21" s="658">
        <f t="shared" ref="H21:H55" si="13">IF(E21 =0, (1/3), IF(E21 &lt;=0.005, (2/3), 1))</f>
        <v>1</v>
      </c>
    </row>
    <row r="22">
      <c r="A22" s="22" t="s">
        <v>374</v>
      </c>
      <c r="B22" s="652">
        <v>2.10717392248918E10</v>
      </c>
      <c r="C22" s="654">
        <f t="shared" ref="C22:D22" si="9">0*10^9</f>
        <v>0</v>
      </c>
      <c r="D22" s="654">
        <f t="shared" si="9"/>
        <v>0</v>
      </c>
      <c r="E22" s="655">
        <f t="shared" si="10"/>
        <v>0</v>
      </c>
      <c r="F22" s="656">
        <f t="shared" si="11"/>
        <v>0</v>
      </c>
      <c r="G22" s="318" t="str">
        <f t="shared" si="12"/>
        <v>None</v>
      </c>
      <c r="H22" s="658">
        <f t="shared" si="13"/>
        <v>0.3333333333</v>
      </c>
    </row>
    <row r="23">
      <c r="A23" s="22" t="s">
        <v>263</v>
      </c>
      <c r="B23" s="652">
        <v>2.18719456348605E9</v>
      </c>
      <c r="C23" s="654">
        <f t="shared" ref="C23:D23" si="14">0*10^9</f>
        <v>0</v>
      </c>
      <c r="D23" s="654">
        <f t="shared" si="14"/>
        <v>0</v>
      </c>
      <c r="E23" s="655">
        <f t="shared" si="10"/>
        <v>0</v>
      </c>
      <c r="F23" s="656">
        <f t="shared" si="11"/>
        <v>0</v>
      </c>
      <c r="G23" s="318" t="str">
        <f t="shared" si="12"/>
        <v>None</v>
      </c>
      <c r="H23" s="658">
        <f t="shared" si="13"/>
        <v>0.3333333333</v>
      </c>
    </row>
    <row r="24">
      <c r="A24" s="22" t="s">
        <v>266</v>
      </c>
      <c r="B24" s="652">
        <v>7.37660524515256E10</v>
      </c>
      <c r="C24" s="654">
        <f t="shared" ref="C24:D24" si="15">0*10^9</f>
        <v>0</v>
      </c>
      <c r="D24" s="654">
        <f t="shared" si="15"/>
        <v>0</v>
      </c>
      <c r="E24" s="655">
        <f t="shared" si="10"/>
        <v>0</v>
      </c>
      <c r="F24" s="656">
        <f t="shared" si="11"/>
        <v>0</v>
      </c>
      <c r="G24" s="318" t="str">
        <f t="shared" si="12"/>
        <v>None</v>
      </c>
      <c r="H24" s="658">
        <f t="shared" si="13"/>
        <v>0.3333333333</v>
      </c>
    </row>
    <row r="25">
      <c r="A25" s="22" t="s">
        <v>385</v>
      </c>
      <c r="B25" s="652">
        <v>2.09992292604955E10</v>
      </c>
      <c r="C25" s="654">
        <f t="shared" ref="C25:D25" si="16">0*10^9</f>
        <v>0</v>
      </c>
      <c r="D25" s="654">
        <f t="shared" si="16"/>
        <v>0</v>
      </c>
      <c r="E25" s="655">
        <f t="shared" si="10"/>
        <v>0</v>
      </c>
      <c r="F25" s="656">
        <f t="shared" si="11"/>
        <v>0</v>
      </c>
      <c r="G25" s="318" t="str">
        <f t="shared" si="12"/>
        <v>None</v>
      </c>
      <c r="H25" s="658">
        <f t="shared" si="13"/>
        <v>0.3333333333</v>
      </c>
    </row>
    <row r="26">
      <c r="A26" s="22" t="s">
        <v>386</v>
      </c>
      <c r="B26" s="652">
        <v>1.63355909208861E9</v>
      </c>
      <c r="C26" s="654">
        <f t="shared" ref="C26:D26" si="17">0*10^9</f>
        <v>0</v>
      </c>
      <c r="D26" s="654">
        <f t="shared" si="17"/>
        <v>0</v>
      </c>
      <c r="E26" s="655">
        <f t="shared" si="10"/>
        <v>0</v>
      </c>
      <c r="F26" s="656">
        <f t="shared" si="11"/>
        <v>0</v>
      </c>
      <c r="G26" s="318" t="str">
        <f t="shared" si="12"/>
        <v>None</v>
      </c>
      <c r="H26" s="658">
        <f t="shared" si="13"/>
        <v>0.3333333333</v>
      </c>
    </row>
    <row r="27">
      <c r="A27" s="22" t="s">
        <v>280</v>
      </c>
      <c r="B27" s="652">
        <v>1.13420008178793E11</v>
      </c>
      <c r="C27" s="654">
        <f t="shared" ref="C27:D27" si="18">0*10^9</f>
        <v>0</v>
      </c>
      <c r="D27" s="654">
        <f t="shared" si="18"/>
        <v>0</v>
      </c>
      <c r="E27" s="655">
        <f t="shared" si="10"/>
        <v>0</v>
      </c>
      <c r="F27" s="656">
        <f t="shared" si="11"/>
        <v>0</v>
      </c>
      <c r="G27" s="318" t="str">
        <f t="shared" si="12"/>
        <v>None</v>
      </c>
      <c r="H27" s="658">
        <f t="shared" si="13"/>
        <v>0.3333333333</v>
      </c>
    </row>
    <row r="28">
      <c r="A28" s="22" t="s">
        <v>392</v>
      </c>
      <c r="B28" s="652">
        <v>2.23650212416956E9</v>
      </c>
      <c r="C28" s="654">
        <f t="shared" ref="C28:D28" si="19">0*10^9</f>
        <v>0</v>
      </c>
      <c r="D28" s="654">
        <f t="shared" si="19"/>
        <v>0</v>
      </c>
      <c r="E28" s="655">
        <f t="shared" si="10"/>
        <v>0</v>
      </c>
      <c r="F28" s="656">
        <f t="shared" si="11"/>
        <v>0</v>
      </c>
      <c r="G28" s="318" t="str">
        <f t="shared" si="12"/>
        <v>None</v>
      </c>
      <c r="H28" s="658">
        <f t="shared" si="13"/>
        <v>0.3333333333</v>
      </c>
    </row>
    <row r="29">
      <c r="A29" s="22" t="s">
        <v>394</v>
      </c>
      <c r="B29" s="652">
        <v>4.00104697E9</v>
      </c>
      <c r="C29" s="654">
        <f t="shared" ref="C29:D29" si="20">0*10^9</f>
        <v>0</v>
      </c>
      <c r="D29" s="654">
        <f t="shared" si="20"/>
        <v>0</v>
      </c>
      <c r="E29" s="655">
        <f t="shared" si="10"/>
        <v>0</v>
      </c>
      <c r="F29" s="656">
        <f t="shared" si="11"/>
        <v>0</v>
      </c>
      <c r="G29" s="318" t="str">
        <f t="shared" si="12"/>
        <v>None</v>
      </c>
      <c r="H29" s="658">
        <f t="shared" si="13"/>
        <v>0.3333333333</v>
      </c>
    </row>
    <row r="30">
      <c r="A30" s="22" t="s">
        <v>396</v>
      </c>
      <c r="B30" s="652">
        <v>4.57523360359846E10</v>
      </c>
      <c r="C30" s="654">
        <f>1.3*10^9</f>
        <v>1300000000</v>
      </c>
      <c r="D30" s="654">
        <f>0.4*10^9</f>
        <v>400000000</v>
      </c>
      <c r="E30" s="655">
        <f t="shared" si="10"/>
        <v>0.0371565727</v>
      </c>
      <c r="F30" s="656">
        <f t="shared" si="11"/>
        <v>1700000000</v>
      </c>
      <c r="G30" s="318" t="str">
        <f t="shared" si="12"/>
        <v>High</v>
      </c>
      <c r="H30" s="658">
        <f t="shared" si="13"/>
        <v>1</v>
      </c>
    </row>
    <row r="31">
      <c r="A31" s="22" t="s">
        <v>336</v>
      </c>
      <c r="B31" s="652">
        <v>1.52971927989771E10</v>
      </c>
      <c r="C31" s="654">
        <f t="shared" ref="C31:C39" si="21">0*10^9</f>
        <v>0</v>
      </c>
      <c r="D31" s="654">
        <f>0.1*10^9</f>
        <v>100000000</v>
      </c>
      <c r="E31" s="655">
        <f t="shared" si="10"/>
        <v>0.00653714713</v>
      </c>
      <c r="F31" s="656">
        <f t="shared" si="11"/>
        <v>100000000</v>
      </c>
      <c r="G31" s="318" t="str">
        <f t="shared" si="12"/>
        <v>High</v>
      </c>
      <c r="H31" s="658">
        <f t="shared" si="13"/>
        <v>1</v>
      </c>
    </row>
    <row r="32">
      <c r="A32" s="22" t="s">
        <v>343</v>
      </c>
      <c r="B32" s="652">
        <v>1.31646676269363E10</v>
      </c>
      <c r="C32" s="654">
        <f t="shared" si="21"/>
        <v>0</v>
      </c>
      <c r="D32" s="654">
        <f t="shared" ref="D32:D39" si="22">0*10^9</f>
        <v>0</v>
      </c>
      <c r="E32" s="655">
        <f t="shared" si="10"/>
        <v>0</v>
      </c>
      <c r="F32" s="656">
        <f t="shared" si="11"/>
        <v>0</v>
      </c>
      <c r="G32" s="318" t="str">
        <f t="shared" si="12"/>
        <v>None</v>
      </c>
      <c r="H32" s="658">
        <f t="shared" si="13"/>
        <v>0.3333333333</v>
      </c>
    </row>
    <row r="33">
      <c r="A33" s="22" t="s">
        <v>399</v>
      </c>
      <c r="B33" s="652">
        <v>1.88271765296983E10</v>
      </c>
      <c r="C33" s="654">
        <f t="shared" si="21"/>
        <v>0</v>
      </c>
      <c r="D33" s="654">
        <f t="shared" si="22"/>
        <v>0</v>
      </c>
      <c r="E33" s="655">
        <f t="shared" si="10"/>
        <v>0</v>
      </c>
      <c r="F33" s="656">
        <f t="shared" si="11"/>
        <v>0</v>
      </c>
      <c r="G33" s="318" t="str">
        <f t="shared" si="12"/>
        <v>None</v>
      </c>
      <c r="H33" s="658">
        <f t="shared" si="13"/>
        <v>0.3333333333</v>
      </c>
    </row>
    <row r="34">
      <c r="A34" s="22" t="s">
        <v>401</v>
      </c>
      <c r="B34" s="652">
        <v>9.78086357897688E9</v>
      </c>
      <c r="C34" s="654">
        <f t="shared" si="21"/>
        <v>0</v>
      </c>
      <c r="D34" s="654">
        <f t="shared" si="22"/>
        <v>0</v>
      </c>
      <c r="E34" s="655">
        <f t="shared" si="10"/>
        <v>0</v>
      </c>
      <c r="F34" s="656">
        <f t="shared" si="11"/>
        <v>0</v>
      </c>
      <c r="G34" s="318" t="str">
        <f t="shared" si="12"/>
        <v>None</v>
      </c>
      <c r="H34" s="658">
        <f t="shared" si="13"/>
        <v>0.3333333333</v>
      </c>
    </row>
    <row r="35">
      <c r="A35" s="22" t="s">
        <v>354</v>
      </c>
      <c r="B35" s="652">
        <v>1.2948726653811E10</v>
      </c>
      <c r="C35" s="654">
        <f t="shared" si="21"/>
        <v>0</v>
      </c>
      <c r="D35" s="654">
        <f t="shared" si="22"/>
        <v>0</v>
      </c>
      <c r="E35" s="655">
        <f t="shared" si="10"/>
        <v>0</v>
      </c>
      <c r="F35" s="656">
        <f t="shared" si="11"/>
        <v>0</v>
      </c>
      <c r="G35" s="318" t="str">
        <f t="shared" si="12"/>
        <v>None</v>
      </c>
      <c r="H35" s="658">
        <f t="shared" si="13"/>
        <v>0.3333333333</v>
      </c>
    </row>
    <row r="36">
      <c r="A36" s="22" t="s">
        <v>290</v>
      </c>
      <c r="B36" s="652">
        <v>1.3091255882984E11</v>
      </c>
      <c r="C36" s="654">
        <f t="shared" si="21"/>
        <v>0</v>
      </c>
      <c r="D36" s="654">
        <f t="shared" si="22"/>
        <v>0</v>
      </c>
      <c r="E36" s="655">
        <f t="shared" si="10"/>
        <v>0</v>
      </c>
      <c r="F36" s="656">
        <f t="shared" si="11"/>
        <v>0</v>
      </c>
      <c r="G36" s="318" t="str">
        <f t="shared" si="12"/>
        <v>None</v>
      </c>
      <c r="H36" s="658">
        <f t="shared" si="13"/>
        <v>0.3333333333</v>
      </c>
    </row>
    <row r="37">
      <c r="A37" s="22" t="s">
        <v>291</v>
      </c>
      <c r="B37" s="652">
        <v>1.84068359546695E10</v>
      </c>
      <c r="C37" s="654">
        <f t="shared" si="21"/>
        <v>0</v>
      </c>
      <c r="D37" s="654">
        <f t="shared" si="22"/>
        <v>0</v>
      </c>
      <c r="E37" s="655">
        <f t="shared" si="10"/>
        <v>0</v>
      </c>
      <c r="F37" s="656">
        <f t="shared" si="11"/>
        <v>0</v>
      </c>
      <c r="G37" s="318" t="str">
        <f t="shared" si="12"/>
        <v>None</v>
      </c>
      <c r="H37" s="658">
        <f t="shared" si="13"/>
        <v>0.3333333333</v>
      </c>
    </row>
    <row r="38">
      <c r="A38" s="22" t="s">
        <v>296</v>
      </c>
      <c r="B38" s="652">
        <v>1.2914932655685E10</v>
      </c>
      <c r="C38" s="654">
        <f t="shared" si="21"/>
        <v>0</v>
      </c>
      <c r="D38" s="654">
        <f t="shared" si="22"/>
        <v>0</v>
      </c>
      <c r="E38" s="655">
        <f t="shared" si="10"/>
        <v>0</v>
      </c>
      <c r="F38" s="656">
        <f t="shared" si="11"/>
        <v>0</v>
      </c>
      <c r="G38" s="318" t="str">
        <f t="shared" si="12"/>
        <v>None</v>
      </c>
      <c r="H38" s="658">
        <f t="shared" si="13"/>
        <v>0.3333333333</v>
      </c>
    </row>
    <row r="39">
      <c r="A39" s="22" t="s">
        <v>407</v>
      </c>
      <c r="B39" s="652">
        <v>1.53422789194009E10</v>
      </c>
      <c r="C39" s="654">
        <f t="shared" si="21"/>
        <v>0</v>
      </c>
      <c r="D39" s="654">
        <f t="shared" si="22"/>
        <v>0</v>
      </c>
      <c r="E39" s="655">
        <f t="shared" si="10"/>
        <v>0</v>
      </c>
      <c r="F39" s="656">
        <f t="shared" si="11"/>
        <v>0</v>
      </c>
      <c r="G39" s="318" t="str">
        <f t="shared" si="12"/>
        <v>None</v>
      </c>
      <c r="H39" s="658">
        <f t="shared" si="13"/>
        <v>0.3333333333</v>
      </c>
    </row>
    <row r="40">
      <c r="A40" s="22" t="s">
        <v>299</v>
      </c>
      <c r="B40" s="652">
        <v>4.72624597402898E11</v>
      </c>
      <c r="C40" s="654">
        <f>2.6*10^9</f>
        <v>2600000000</v>
      </c>
      <c r="D40" s="667">
        <f>1*10^9</f>
        <v>1000000000</v>
      </c>
      <c r="E40" s="655">
        <f t="shared" si="10"/>
        <v>0.00761703902</v>
      </c>
      <c r="F40" s="656">
        <f t="shared" si="11"/>
        <v>3600000000</v>
      </c>
      <c r="G40" s="318" t="str">
        <f t="shared" si="12"/>
        <v>High</v>
      </c>
      <c r="H40" s="658">
        <f t="shared" si="13"/>
        <v>1</v>
      </c>
    </row>
    <row r="41">
      <c r="A41" s="22" t="s">
        <v>302</v>
      </c>
      <c r="B41" s="652">
        <v>1.33114874450686E10</v>
      </c>
      <c r="C41" s="667">
        <f t="shared" ref="C41:D41" si="23">0*10^9</f>
        <v>0</v>
      </c>
      <c r="D41" s="667">
        <f t="shared" si="23"/>
        <v>0</v>
      </c>
      <c r="E41" s="655">
        <f t="shared" si="10"/>
        <v>0</v>
      </c>
      <c r="F41" s="656">
        <f t="shared" si="11"/>
        <v>0</v>
      </c>
      <c r="G41" s="318" t="str">
        <f t="shared" si="12"/>
        <v>None</v>
      </c>
      <c r="H41" s="658">
        <f t="shared" si="13"/>
        <v>0.3333333333</v>
      </c>
    </row>
    <row r="42">
      <c r="A42" s="22" t="s">
        <v>410</v>
      </c>
      <c r="B42" s="652">
        <v>5.42686976457587E8</v>
      </c>
      <c r="C42" s="667">
        <f t="shared" ref="C42:D42" si="24">0*10^9</f>
        <v>0</v>
      </c>
      <c r="D42" s="667">
        <f t="shared" si="24"/>
        <v>0</v>
      </c>
      <c r="E42" s="655">
        <f t="shared" si="10"/>
        <v>0</v>
      </c>
      <c r="F42" s="656">
        <f t="shared" si="11"/>
        <v>0</v>
      </c>
      <c r="G42" s="318" t="str">
        <f t="shared" si="12"/>
        <v>None</v>
      </c>
      <c r="H42" s="658">
        <f t="shared" si="13"/>
        <v>0.3333333333</v>
      </c>
    </row>
    <row r="43">
      <c r="A43" s="22" t="s">
        <v>411</v>
      </c>
      <c r="B43" s="652">
        <v>2.76842647482324E10</v>
      </c>
      <c r="C43" s="667">
        <f t="shared" ref="C43:D43" si="25">0*10^9</f>
        <v>0</v>
      </c>
      <c r="D43" s="667">
        <f t="shared" si="25"/>
        <v>0</v>
      </c>
      <c r="E43" s="655">
        <f t="shared" si="10"/>
        <v>0</v>
      </c>
      <c r="F43" s="656">
        <f t="shared" si="11"/>
        <v>0</v>
      </c>
      <c r="G43" s="318" t="str">
        <f t="shared" si="12"/>
        <v>None</v>
      </c>
      <c r="H43" s="658">
        <f t="shared" si="13"/>
        <v>0.3333333333</v>
      </c>
    </row>
    <row r="44">
      <c r="A44" s="22" t="s">
        <v>309</v>
      </c>
      <c r="B44" s="652">
        <v>1.58843814437685E9</v>
      </c>
      <c r="C44" s="667">
        <f t="shared" ref="C44:D44" si="26">0*10^9</f>
        <v>0</v>
      </c>
      <c r="D44" s="667">
        <f t="shared" si="26"/>
        <v>0</v>
      </c>
      <c r="E44" s="655">
        <f t="shared" si="10"/>
        <v>0</v>
      </c>
      <c r="F44" s="656">
        <f t="shared" si="11"/>
        <v>0</v>
      </c>
      <c r="G44" s="318" t="str">
        <f t="shared" si="12"/>
        <v>None</v>
      </c>
      <c r="H44" s="658">
        <f t="shared" si="13"/>
        <v>0.3333333333</v>
      </c>
    </row>
    <row r="45">
      <c r="A45" s="22" t="s">
        <v>412</v>
      </c>
      <c r="B45" s="652">
        <v>4.09456385943556E9</v>
      </c>
      <c r="C45" s="667">
        <f t="shared" ref="C45:D45" si="27">0*10^9</f>
        <v>0</v>
      </c>
      <c r="D45" s="667">
        <f t="shared" si="27"/>
        <v>0</v>
      </c>
      <c r="E45" s="655">
        <f t="shared" si="10"/>
        <v>0</v>
      </c>
      <c r="F45" s="656">
        <f t="shared" si="11"/>
        <v>0</v>
      </c>
      <c r="G45" s="318" t="str">
        <f t="shared" si="12"/>
        <v>None</v>
      </c>
      <c r="H45" s="658">
        <f t="shared" si="13"/>
        <v>0.3333333333</v>
      </c>
    </row>
    <row r="46">
      <c r="A46" s="22" t="s">
        <v>415</v>
      </c>
      <c r="B46" s="652">
        <v>1.04195412020382E10</v>
      </c>
      <c r="C46" s="667">
        <f t="shared" ref="C46:D46" si="28">0*10^9</f>
        <v>0</v>
      </c>
      <c r="D46" s="667">
        <f t="shared" si="28"/>
        <v>0</v>
      </c>
      <c r="E46" s="655">
        <f t="shared" si="10"/>
        <v>0</v>
      </c>
      <c r="F46" s="656">
        <f t="shared" si="11"/>
        <v>0</v>
      </c>
      <c r="G46" s="318" t="str">
        <f t="shared" si="12"/>
        <v>None</v>
      </c>
      <c r="H46" s="658">
        <f t="shared" si="13"/>
        <v>0.3333333333</v>
      </c>
    </row>
    <row r="47">
      <c r="A47" s="22" t="s">
        <v>313</v>
      </c>
      <c r="B47" s="652">
        <v>4.05270850099387E11</v>
      </c>
      <c r="C47" s="667">
        <f t="shared" ref="C47:D47" si="29">0*10^9</f>
        <v>0</v>
      </c>
      <c r="D47" s="667">
        <f t="shared" si="29"/>
        <v>0</v>
      </c>
      <c r="E47" s="655">
        <f t="shared" si="10"/>
        <v>0</v>
      </c>
      <c r="F47" s="656">
        <f t="shared" si="11"/>
        <v>0</v>
      </c>
      <c r="G47" s="318" t="str">
        <f t="shared" si="12"/>
        <v>None</v>
      </c>
      <c r="H47" s="658">
        <f t="shared" si="13"/>
        <v>0.3333333333</v>
      </c>
    </row>
    <row r="48">
      <c r="A48" s="22" t="s">
        <v>416</v>
      </c>
      <c r="B48" s="652">
        <v>1.19978007602242E10</v>
      </c>
      <c r="C48" s="667">
        <f t="shared" ref="C48:D48" si="30">0*10^9</f>
        <v>0</v>
      </c>
      <c r="D48" s="667">
        <f t="shared" si="30"/>
        <v>0</v>
      </c>
      <c r="E48" s="655">
        <f t="shared" si="10"/>
        <v>0</v>
      </c>
      <c r="F48" s="656">
        <f t="shared" si="11"/>
        <v>0</v>
      </c>
      <c r="G48" s="318" t="str">
        <f t="shared" si="12"/>
        <v>None</v>
      </c>
      <c r="H48" s="658">
        <f t="shared" si="13"/>
        <v>0.3333333333</v>
      </c>
    </row>
    <row r="49">
      <c r="A49" s="22" t="s">
        <v>417</v>
      </c>
      <c r="B49" s="652">
        <v>5.16622417750629E10</v>
      </c>
      <c r="C49" s="667">
        <f>0.6*10^9</f>
        <v>600000000</v>
      </c>
      <c r="D49" s="654">
        <f>1.4*10^9</f>
        <v>1400000000</v>
      </c>
      <c r="E49" s="655">
        <f t="shared" si="10"/>
        <v>0.03871299292</v>
      </c>
      <c r="F49" s="656">
        <f t="shared" si="11"/>
        <v>2000000000</v>
      </c>
      <c r="G49" s="318" t="str">
        <f t="shared" si="12"/>
        <v>High</v>
      </c>
      <c r="H49" s="658">
        <f t="shared" si="13"/>
        <v>1</v>
      </c>
    </row>
    <row r="50">
      <c r="A50" s="22" t="s">
        <v>418</v>
      </c>
      <c r="B50" s="652">
        <v>7.5732311666039E10</v>
      </c>
      <c r="C50" s="667">
        <f t="shared" ref="C50:D50" si="31">0*10^9</f>
        <v>0</v>
      </c>
      <c r="D50" s="667">
        <f t="shared" si="31"/>
        <v>0</v>
      </c>
      <c r="E50" s="655">
        <f t="shared" si="10"/>
        <v>0</v>
      </c>
      <c r="F50" s="656">
        <f t="shared" si="11"/>
        <v>0</v>
      </c>
      <c r="G50" s="318" t="str">
        <f t="shared" si="12"/>
        <v>None</v>
      </c>
      <c r="H50" s="658">
        <f t="shared" si="13"/>
        <v>0.3333333333</v>
      </c>
    </row>
    <row r="51">
      <c r="A51" s="22" t="s">
        <v>398</v>
      </c>
      <c r="B51" s="652">
        <v>8.34122524145693E9</v>
      </c>
      <c r="C51" s="667">
        <f t="shared" ref="C51:D51" si="32">0*10^9</f>
        <v>0</v>
      </c>
      <c r="D51" s="667">
        <f t="shared" si="32"/>
        <v>0</v>
      </c>
      <c r="E51" s="655">
        <f t="shared" si="10"/>
        <v>0</v>
      </c>
      <c r="F51" s="656">
        <f t="shared" si="11"/>
        <v>0</v>
      </c>
      <c r="G51" s="318" t="str">
        <f t="shared" si="12"/>
        <v>None</v>
      </c>
      <c r="H51" s="658">
        <f t="shared" si="13"/>
        <v>0.3333333333</v>
      </c>
    </row>
    <row r="52">
      <c r="A52" s="22" t="s">
        <v>318</v>
      </c>
      <c r="B52" s="652">
        <v>4.63035524493542E10</v>
      </c>
      <c r="C52" s="667">
        <f t="shared" ref="C52:C55" si="33">0*10^9</f>
        <v>0</v>
      </c>
      <c r="D52" s="667">
        <f>0.9*10^9</f>
        <v>900000000</v>
      </c>
      <c r="E52" s="655">
        <f t="shared" si="10"/>
        <v>0.01943695359</v>
      </c>
      <c r="F52" s="656">
        <f t="shared" si="11"/>
        <v>900000000</v>
      </c>
      <c r="G52" s="318" t="str">
        <f t="shared" si="12"/>
        <v>High</v>
      </c>
      <c r="H52" s="658">
        <f t="shared" si="13"/>
        <v>1</v>
      </c>
    </row>
    <row r="53">
      <c r="A53" s="22" t="s">
        <v>405</v>
      </c>
      <c r="B53" s="652">
        <v>4.55673046084764E10</v>
      </c>
      <c r="C53" s="667">
        <f t="shared" si="33"/>
        <v>0</v>
      </c>
      <c r="D53" s="667">
        <f t="shared" ref="D53:D55" si="34">0*10^9</f>
        <v>0</v>
      </c>
      <c r="E53" s="655">
        <f t="shared" si="10"/>
        <v>0</v>
      </c>
      <c r="F53" s="656">
        <f t="shared" si="11"/>
        <v>0</v>
      </c>
      <c r="G53" s="318" t="str">
        <f t="shared" si="12"/>
        <v>None</v>
      </c>
      <c r="H53" s="658">
        <f t="shared" si="13"/>
        <v>0.3333333333</v>
      </c>
    </row>
    <row r="54">
      <c r="A54" s="22" t="s">
        <v>408</v>
      </c>
      <c r="B54" s="652">
        <v>2.91637821383415E10</v>
      </c>
      <c r="C54" s="667">
        <f t="shared" si="33"/>
        <v>0</v>
      </c>
      <c r="D54" s="667">
        <f t="shared" si="34"/>
        <v>0</v>
      </c>
      <c r="E54" s="655">
        <f t="shared" si="10"/>
        <v>0</v>
      </c>
      <c r="F54" s="656">
        <f t="shared" si="11"/>
        <v>0</v>
      </c>
      <c r="G54" s="318" t="str">
        <f t="shared" si="12"/>
        <v>None</v>
      </c>
      <c r="H54" s="658">
        <f t="shared" si="13"/>
        <v>0.3333333333</v>
      </c>
    </row>
    <row r="55">
      <c r="A55" s="244" t="s">
        <v>320</v>
      </c>
      <c r="B55" s="680">
        <v>2.73666271530852E10</v>
      </c>
      <c r="C55" s="681">
        <f t="shared" si="33"/>
        <v>0</v>
      </c>
      <c r="D55" s="681">
        <f t="shared" si="34"/>
        <v>0</v>
      </c>
      <c r="E55" s="682">
        <f t="shared" si="10"/>
        <v>0</v>
      </c>
      <c r="F55" s="683">
        <f t="shared" si="11"/>
        <v>0</v>
      </c>
      <c r="G55" s="399" t="str">
        <f t="shared" si="12"/>
        <v>None</v>
      </c>
      <c r="H55" s="684">
        <f t="shared" si="13"/>
        <v>0.3333333333</v>
      </c>
    </row>
    <row r="56">
      <c r="B56" s="685"/>
      <c r="C56" s="685"/>
      <c r="D56" s="685"/>
      <c r="F56" s="685"/>
    </row>
    <row r="57">
      <c r="C57" s="685"/>
      <c r="D57" s="685"/>
      <c r="E57" s="685"/>
      <c r="F57" s="685"/>
    </row>
    <row r="58">
      <c r="C58" s="686" t="s">
        <v>702</v>
      </c>
      <c r="D58" s="62"/>
      <c r="E58" s="418" t="s">
        <v>421</v>
      </c>
    </row>
    <row r="59">
      <c r="C59" s="687" t="s">
        <v>422</v>
      </c>
      <c r="D59" s="688">
        <f>max(F2:F55)</f>
        <v>14800000000</v>
      </c>
      <c r="E59" s="689" t="s">
        <v>207</v>
      </c>
    </row>
    <row r="60">
      <c r="C60" s="687" t="s">
        <v>423</v>
      </c>
      <c r="D60" s="688">
        <f>MIN(F2:F55)</f>
        <v>0</v>
      </c>
      <c r="E60" s="690" t="s">
        <v>244</v>
      </c>
    </row>
    <row r="61">
      <c r="C61" s="687" t="s">
        <v>424</v>
      </c>
      <c r="D61" s="688">
        <f>average(F2:F55)</f>
        <v>857692307.7</v>
      </c>
      <c r="E61" s="685"/>
    </row>
    <row r="62">
      <c r="C62" s="687" t="s">
        <v>425</v>
      </c>
      <c r="D62" s="688">
        <f>median(F2:F55)</f>
        <v>0</v>
      </c>
      <c r="E62" s="685"/>
    </row>
    <row r="63">
      <c r="C63" s="691" t="s">
        <v>446</v>
      </c>
      <c r="D63" s="692">
        <f>STDEV(F2:F55)</f>
        <v>2916238926</v>
      </c>
      <c r="E63" s="685"/>
    </row>
    <row r="64">
      <c r="C64" s="685"/>
      <c r="D64" s="685"/>
      <c r="E64" s="685"/>
    </row>
    <row r="65">
      <c r="C65" s="686" t="s">
        <v>703</v>
      </c>
      <c r="D65" s="62"/>
      <c r="E65" s="418" t="s">
        <v>421</v>
      </c>
    </row>
    <row r="66">
      <c r="C66" s="687" t="s">
        <v>422</v>
      </c>
      <c r="D66" s="693">
        <f>max(E2:E55)</f>
        <v>0.07435956551</v>
      </c>
      <c r="E66" s="694" t="s">
        <v>207</v>
      </c>
    </row>
    <row r="67">
      <c r="C67" s="687" t="s">
        <v>423</v>
      </c>
      <c r="D67" s="693">
        <f>MIN(E2:E55)</f>
        <v>0</v>
      </c>
      <c r="E67" s="690" t="s">
        <v>244</v>
      </c>
    </row>
    <row r="68">
      <c r="C68" s="687" t="s">
        <v>424</v>
      </c>
      <c r="D68" s="693">
        <f>average(E2:E55)</f>
        <v>0.005672846438</v>
      </c>
      <c r="E68" s="685"/>
    </row>
    <row r="69">
      <c r="C69" s="687" t="s">
        <v>425</v>
      </c>
      <c r="D69" s="693">
        <f>median(E2:E55)</f>
        <v>0</v>
      </c>
      <c r="E69" s="685"/>
    </row>
    <row r="70">
      <c r="C70" s="691" t="s">
        <v>446</v>
      </c>
      <c r="D70" s="695">
        <f>STDEV(E2:E55)</f>
        <v>0.01405146003</v>
      </c>
      <c r="E70" s="685"/>
    </row>
    <row r="71">
      <c r="B71" s="685"/>
      <c r="C71" s="685"/>
      <c r="D71" s="685"/>
    </row>
    <row r="72">
      <c r="B72" s="685"/>
      <c r="C72" s="696" t="s">
        <v>325</v>
      </c>
    </row>
    <row r="73">
      <c r="B73" s="685"/>
      <c r="C73" s="706" t="str">
        <f t="array" ref="C73:C90">{"INDICATOR INFORMATION";
  "Index Category: "&amp;CHAR(10)&amp;
  "EV Impact Index - Measures broader benefits of EV adoption";
  "";
  "Sub-Category: "&amp;CHAR(10)&amp;
  "Financial";
  "";
  "Indicator Name: "&amp;CHAR(10)&amp;
  "Fossil Fuel Subsidy Burden";
  "";
  "Description: "&amp;CHAR(10)&amp;
  "State expenditure on explicit subsidies for gasoline and diesel consumers expressed as a % of GDP";
  "";
  "Calculation Method: "&amp;CHAR(10)&amp;
  "See methodology note";
  "";
  "Summary Statistics: "&amp;CHAR(10)&amp;
  "• Average: 0.57%"&amp;CHAR(10)&amp;
  "• Median: 0%"&amp;CHAR(10)&amp;
  "• Note: 48 out of 54 African countries recorded no explicit subsidies";
  "";
  "Scoring Categories: "&amp;CHAR(10)&amp;
  "• Low (0%) = Low Impact (1/3)"&amp;CHAR(10)&amp;
  "• Medium (&gt;0% to 0.5%) = Medium Impact (2/3)"&amp;CHAR(10)&amp;
  "• High (&gt;0.5%) = High Impact (3/3)";
  "";
  "Scoring Rationale: "&amp;CHAR(10)&amp;
  "• Fuel subsidies can be costly expense for state treasuries"&amp;CHAR(10)&amp;
  "• Subsidy burden as % of GDP provides a comparable data point between countries"&amp;CHAR(10)&amp;
  "• Average subsidy burden in Africa (0.57%) used as guide for medium category";
  "";
  "Components Measured: "&amp;CHAR(10)&amp;
  "• Explicit subsidies for gasoline consumers"&amp;CHAR(10)&amp;
  "• Explicit subsidies for diesel consumers"&amp;CHAR(10)&amp;
  "• Expressed as percentage of national GDP"}
</f>
        <v>INDICATOR INFORMATION</v>
      </c>
      <c r="D73" s="708"/>
      <c r="E73" s="659"/>
      <c r="F73" s="710"/>
      <c r="G73" s="432"/>
    </row>
    <row r="74">
      <c r="B74" s="685"/>
      <c r="C74" s="711" t="s">
        <v>631</v>
      </c>
      <c r="D74" s="685"/>
      <c r="F74" s="711"/>
    </row>
    <row r="75">
      <c r="B75" s="685"/>
      <c r="C75" s="711" t="s">
        <v>126</v>
      </c>
      <c r="D75" s="685"/>
      <c r="F75" s="711"/>
    </row>
    <row r="76">
      <c r="B76" s="685"/>
      <c r="C76" s="711" t="s">
        <v>679</v>
      </c>
      <c r="D76" s="685"/>
      <c r="F76" s="711"/>
    </row>
    <row r="77">
      <c r="B77" s="685"/>
      <c r="C77" s="711" t="s">
        <v>126</v>
      </c>
      <c r="D77" s="685"/>
      <c r="F77" s="711"/>
    </row>
    <row r="78">
      <c r="B78" s="685"/>
      <c r="C78" s="711" t="s">
        <v>714</v>
      </c>
      <c r="D78" s="685"/>
      <c r="F78" s="711"/>
    </row>
    <row r="79">
      <c r="B79" s="685"/>
      <c r="C79" s="711" t="s">
        <v>126</v>
      </c>
      <c r="D79" s="685"/>
      <c r="F79" s="711"/>
    </row>
    <row r="80">
      <c r="B80" s="685"/>
      <c r="C80" s="711" t="s">
        <v>715</v>
      </c>
      <c r="D80" s="685"/>
      <c r="F80" s="711"/>
    </row>
    <row r="81">
      <c r="B81" s="685"/>
      <c r="C81" s="711" t="s">
        <v>126</v>
      </c>
      <c r="D81" s="685"/>
      <c r="F81" s="711"/>
    </row>
    <row r="82">
      <c r="B82" s="685"/>
      <c r="C82" s="711" t="s">
        <v>434</v>
      </c>
      <c r="D82" s="685"/>
      <c r="F82" s="711"/>
    </row>
    <row r="83">
      <c r="B83" s="685"/>
      <c r="C83" s="711" t="s">
        <v>126</v>
      </c>
      <c r="D83" s="685"/>
      <c r="F83" s="711"/>
    </row>
    <row r="84">
      <c r="B84" s="685"/>
      <c r="C84" s="711" t="s">
        <v>716</v>
      </c>
      <c r="D84" s="685"/>
      <c r="F84" s="711"/>
    </row>
    <row r="85">
      <c r="B85" s="685"/>
      <c r="C85" s="711" t="s">
        <v>126</v>
      </c>
      <c r="D85" s="685"/>
      <c r="F85" s="711"/>
    </row>
    <row r="86">
      <c r="B86" s="685"/>
      <c r="C86" s="711" t="s">
        <v>718</v>
      </c>
      <c r="D86" s="685"/>
      <c r="F86" s="711"/>
    </row>
    <row r="87">
      <c r="B87" s="685"/>
      <c r="C87" s="711" t="s">
        <v>126</v>
      </c>
      <c r="D87" s="685"/>
      <c r="F87" s="711"/>
    </row>
    <row r="88">
      <c r="B88" s="685"/>
      <c r="C88" s="711" t="s">
        <v>719</v>
      </c>
      <c r="D88" s="685"/>
      <c r="F88" s="711"/>
    </row>
    <row r="89">
      <c r="B89" s="685"/>
      <c r="C89" s="711" t="s">
        <v>126</v>
      </c>
      <c r="D89" s="685"/>
      <c r="F89" s="711"/>
    </row>
    <row r="90">
      <c r="B90" s="685"/>
      <c r="C90" s="711" t="s">
        <v>720</v>
      </c>
      <c r="D90" s="685"/>
      <c r="F90" s="711"/>
    </row>
    <row r="91">
      <c r="B91" s="685"/>
      <c r="C91" s="714"/>
      <c r="D91" s="715"/>
      <c r="E91" s="283"/>
      <c r="F91" s="711"/>
    </row>
    <row r="92">
      <c r="B92" s="685"/>
      <c r="C92" s="685"/>
      <c r="D92" s="685"/>
      <c r="F92" s="685"/>
    </row>
    <row r="93">
      <c r="B93" s="685"/>
      <c r="C93" s="685"/>
      <c r="D93" s="685"/>
      <c r="F93" s="685"/>
    </row>
    <row r="94">
      <c r="B94" s="685"/>
      <c r="C94" s="685"/>
      <c r="D94" s="685"/>
      <c r="F94" s="685"/>
    </row>
    <row r="95">
      <c r="B95" s="685"/>
      <c r="C95" s="685"/>
      <c r="D95" s="685"/>
      <c r="F95" s="685"/>
    </row>
    <row r="96">
      <c r="B96" s="685"/>
      <c r="C96" s="685"/>
      <c r="D96" s="685"/>
      <c r="F96" s="685"/>
    </row>
    <row r="97">
      <c r="B97" s="685"/>
      <c r="C97" s="685"/>
      <c r="D97" s="685"/>
      <c r="F97" s="685"/>
    </row>
    <row r="98">
      <c r="B98" s="685"/>
      <c r="C98" s="685"/>
      <c r="D98" s="685"/>
      <c r="F98" s="685"/>
    </row>
    <row r="99">
      <c r="B99" s="685"/>
      <c r="C99" s="685"/>
      <c r="D99" s="685"/>
      <c r="F99" s="685"/>
    </row>
    <row r="100">
      <c r="B100" s="685"/>
      <c r="C100" s="685"/>
      <c r="D100" s="685"/>
      <c r="F100" s="685"/>
    </row>
    <row r="101">
      <c r="B101" s="685"/>
      <c r="C101" s="685"/>
      <c r="D101" s="685"/>
      <c r="F101" s="685"/>
    </row>
    <row r="102">
      <c r="B102" s="685"/>
      <c r="C102" s="685"/>
      <c r="D102" s="685"/>
      <c r="F102" s="685"/>
    </row>
    <row r="103">
      <c r="B103" s="685"/>
      <c r="C103" s="685"/>
      <c r="D103" s="685"/>
      <c r="F103" s="685"/>
    </row>
    <row r="104">
      <c r="B104" s="685"/>
      <c r="C104" s="685"/>
      <c r="D104" s="685"/>
      <c r="F104" s="685"/>
    </row>
    <row r="105">
      <c r="B105" s="685"/>
      <c r="C105" s="685"/>
      <c r="D105" s="685"/>
      <c r="F105" s="685"/>
    </row>
    <row r="106">
      <c r="B106" s="685"/>
      <c r="C106" s="685"/>
      <c r="D106" s="685"/>
      <c r="F106" s="685"/>
    </row>
    <row r="107">
      <c r="B107" s="685"/>
      <c r="C107" s="685"/>
      <c r="D107" s="685"/>
      <c r="F107" s="685"/>
    </row>
    <row r="108">
      <c r="B108" s="685"/>
      <c r="C108" s="685"/>
      <c r="D108" s="685"/>
      <c r="F108" s="685"/>
    </row>
    <row r="109">
      <c r="B109" s="685"/>
      <c r="C109" s="685"/>
      <c r="D109" s="685"/>
      <c r="F109" s="685"/>
    </row>
    <row r="110">
      <c r="B110" s="685"/>
      <c r="C110" s="685"/>
      <c r="D110" s="685"/>
      <c r="F110" s="685"/>
    </row>
    <row r="111">
      <c r="B111" s="685"/>
      <c r="C111" s="685"/>
      <c r="D111" s="685"/>
      <c r="F111" s="685"/>
    </row>
    <row r="112">
      <c r="B112" s="685"/>
      <c r="C112" s="685"/>
      <c r="D112" s="685"/>
      <c r="F112" s="685"/>
    </row>
    <row r="113">
      <c r="B113" s="685"/>
      <c r="C113" s="685"/>
      <c r="D113" s="685"/>
      <c r="F113" s="685"/>
    </row>
    <row r="114">
      <c r="B114" s="685"/>
      <c r="C114" s="685"/>
      <c r="D114" s="685"/>
      <c r="F114" s="685"/>
    </row>
    <row r="115">
      <c r="B115" s="685"/>
      <c r="C115" s="685"/>
      <c r="D115" s="685"/>
      <c r="F115" s="685"/>
    </row>
    <row r="116">
      <c r="B116" s="685"/>
      <c r="C116" s="685"/>
      <c r="D116" s="685"/>
      <c r="F116" s="685"/>
    </row>
    <row r="117">
      <c r="B117" s="685"/>
      <c r="C117" s="685"/>
      <c r="D117" s="685"/>
      <c r="F117" s="685"/>
    </row>
    <row r="118">
      <c r="B118" s="685"/>
      <c r="C118" s="685"/>
      <c r="D118" s="685"/>
      <c r="F118" s="685"/>
    </row>
    <row r="119">
      <c r="B119" s="685"/>
      <c r="C119" s="685"/>
      <c r="D119" s="685"/>
      <c r="F119" s="685"/>
    </row>
    <row r="120">
      <c r="B120" s="685"/>
      <c r="C120" s="685"/>
      <c r="D120" s="685"/>
      <c r="F120" s="685"/>
    </row>
    <row r="121">
      <c r="B121" s="685"/>
      <c r="C121" s="685"/>
      <c r="D121" s="685"/>
      <c r="F121" s="685"/>
    </row>
    <row r="122">
      <c r="B122" s="685"/>
      <c r="C122" s="685"/>
      <c r="D122" s="685"/>
      <c r="F122" s="685"/>
    </row>
    <row r="123">
      <c r="B123" s="685"/>
      <c r="C123" s="685"/>
      <c r="D123" s="685"/>
      <c r="F123" s="685"/>
    </row>
    <row r="124">
      <c r="B124" s="685"/>
      <c r="C124" s="685"/>
      <c r="D124" s="685"/>
      <c r="F124" s="685"/>
    </row>
    <row r="125">
      <c r="B125" s="685"/>
      <c r="C125" s="685"/>
      <c r="D125" s="685"/>
      <c r="F125" s="685"/>
    </row>
    <row r="126">
      <c r="B126" s="685"/>
      <c r="C126" s="685"/>
      <c r="D126" s="685"/>
      <c r="F126" s="685"/>
    </row>
    <row r="127">
      <c r="B127" s="685"/>
      <c r="C127" s="685"/>
      <c r="D127" s="685"/>
      <c r="F127" s="685"/>
    </row>
    <row r="128">
      <c r="B128" s="685"/>
      <c r="C128" s="685"/>
      <c r="D128" s="685"/>
      <c r="F128" s="685"/>
    </row>
    <row r="129">
      <c r="B129" s="685"/>
      <c r="C129" s="685"/>
      <c r="D129" s="685"/>
      <c r="F129" s="685"/>
    </row>
    <row r="130">
      <c r="B130" s="685"/>
      <c r="C130" s="685"/>
      <c r="D130" s="685"/>
      <c r="F130" s="685"/>
    </row>
    <row r="131">
      <c r="B131" s="685"/>
      <c r="C131" s="685"/>
      <c r="D131" s="685"/>
      <c r="F131" s="685"/>
    </row>
    <row r="132">
      <c r="B132" s="685"/>
      <c r="C132" s="685"/>
      <c r="D132" s="685"/>
      <c r="F132" s="685"/>
    </row>
    <row r="133">
      <c r="B133" s="685"/>
      <c r="C133" s="685"/>
      <c r="D133" s="685"/>
      <c r="F133" s="685"/>
    </row>
    <row r="134">
      <c r="B134" s="685"/>
      <c r="C134" s="685"/>
      <c r="D134" s="685"/>
      <c r="F134" s="685"/>
    </row>
    <row r="135">
      <c r="B135" s="685"/>
      <c r="C135" s="685"/>
      <c r="D135" s="685"/>
      <c r="F135" s="685"/>
    </row>
    <row r="136">
      <c r="B136" s="685"/>
      <c r="C136" s="685"/>
      <c r="D136" s="685"/>
      <c r="F136" s="685"/>
    </row>
    <row r="137">
      <c r="B137" s="685"/>
      <c r="C137" s="685"/>
      <c r="D137" s="685"/>
      <c r="F137" s="685"/>
    </row>
    <row r="138">
      <c r="B138" s="685"/>
      <c r="C138" s="685"/>
      <c r="D138" s="685"/>
      <c r="F138" s="685"/>
    </row>
    <row r="139">
      <c r="B139" s="685"/>
      <c r="C139" s="685"/>
      <c r="D139" s="685"/>
      <c r="F139" s="685"/>
    </row>
    <row r="140">
      <c r="B140" s="685"/>
      <c r="C140" s="685"/>
      <c r="D140" s="685"/>
      <c r="F140" s="685"/>
    </row>
    <row r="141">
      <c r="B141" s="685"/>
      <c r="C141" s="685"/>
      <c r="D141" s="685"/>
      <c r="F141" s="685"/>
    </row>
    <row r="142">
      <c r="B142" s="685"/>
      <c r="C142" s="685"/>
      <c r="D142" s="685"/>
      <c r="F142" s="685"/>
    </row>
    <row r="143">
      <c r="B143" s="685"/>
      <c r="C143" s="685"/>
      <c r="D143" s="685"/>
      <c r="F143" s="685"/>
    </row>
    <row r="144">
      <c r="B144" s="685"/>
      <c r="C144" s="685"/>
      <c r="D144" s="685"/>
      <c r="F144" s="685"/>
    </row>
    <row r="145">
      <c r="B145" s="685"/>
      <c r="C145" s="685"/>
      <c r="D145" s="685"/>
      <c r="F145" s="685"/>
    </row>
    <row r="146">
      <c r="B146" s="685"/>
      <c r="C146" s="685"/>
      <c r="D146" s="685"/>
      <c r="F146" s="685"/>
    </row>
    <row r="147">
      <c r="B147" s="685"/>
      <c r="C147" s="685"/>
      <c r="D147" s="685"/>
      <c r="F147" s="685"/>
    </row>
    <row r="148">
      <c r="B148" s="685"/>
      <c r="C148" s="685"/>
      <c r="D148" s="685"/>
      <c r="F148" s="685"/>
    </row>
    <row r="149">
      <c r="B149" s="685"/>
      <c r="C149" s="685"/>
      <c r="D149" s="685"/>
      <c r="F149" s="685"/>
    </row>
    <row r="150">
      <c r="B150" s="685"/>
      <c r="C150" s="685"/>
      <c r="D150" s="685"/>
      <c r="F150" s="685"/>
    </row>
    <row r="151">
      <c r="B151" s="685"/>
      <c r="C151" s="685"/>
      <c r="D151" s="685"/>
      <c r="F151" s="685"/>
    </row>
    <row r="152">
      <c r="B152" s="685"/>
      <c r="C152" s="685"/>
      <c r="D152" s="685"/>
      <c r="F152" s="685"/>
    </row>
    <row r="153">
      <c r="B153" s="685"/>
      <c r="C153" s="685"/>
      <c r="D153" s="685"/>
      <c r="F153" s="685"/>
    </row>
    <row r="154">
      <c r="B154" s="685"/>
      <c r="C154" s="685"/>
      <c r="D154" s="685"/>
      <c r="F154" s="685"/>
    </row>
    <row r="155">
      <c r="B155" s="685"/>
      <c r="C155" s="685"/>
      <c r="D155" s="685"/>
      <c r="F155" s="685"/>
    </row>
    <row r="156">
      <c r="B156" s="685"/>
      <c r="C156" s="685"/>
      <c r="D156" s="685"/>
      <c r="F156" s="685"/>
    </row>
    <row r="157">
      <c r="B157" s="685"/>
      <c r="C157" s="685"/>
      <c r="D157" s="685"/>
      <c r="F157" s="685"/>
    </row>
    <row r="158">
      <c r="B158" s="685"/>
      <c r="C158" s="685"/>
      <c r="D158" s="685"/>
      <c r="F158" s="685"/>
    </row>
    <row r="159">
      <c r="B159" s="685"/>
      <c r="C159" s="685"/>
      <c r="D159" s="685"/>
      <c r="F159" s="685"/>
    </row>
    <row r="160">
      <c r="B160" s="685"/>
      <c r="C160" s="685"/>
      <c r="D160" s="685"/>
      <c r="F160" s="685"/>
    </row>
    <row r="161">
      <c r="B161" s="685"/>
      <c r="C161" s="685"/>
      <c r="D161" s="685"/>
      <c r="F161" s="685"/>
    </row>
    <row r="162">
      <c r="B162" s="685"/>
      <c r="C162" s="685"/>
      <c r="D162" s="685"/>
      <c r="F162" s="685"/>
    </row>
    <row r="163">
      <c r="B163" s="685"/>
      <c r="C163" s="685"/>
      <c r="D163" s="685"/>
      <c r="F163" s="685"/>
    </row>
    <row r="164">
      <c r="B164" s="685"/>
      <c r="C164" s="685"/>
      <c r="D164" s="685"/>
      <c r="F164" s="685"/>
    </row>
    <row r="165">
      <c r="B165" s="685"/>
      <c r="C165" s="685"/>
      <c r="D165" s="685"/>
      <c r="F165" s="685"/>
    </row>
    <row r="166">
      <c r="B166" s="685"/>
      <c r="C166" s="685"/>
      <c r="D166" s="685"/>
      <c r="F166" s="685"/>
    </row>
    <row r="167">
      <c r="B167" s="685"/>
      <c r="C167" s="685"/>
      <c r="D167" s="685"/>
      <c r="F167" s="685"/>
    </row>
    <row r="168">
      <c r="B168" s="685"/>
      <c r="C168" s="685"/>
      <c r="D168" s="685"/>
      <c r="F168" s="685"/>
    </row>
    <row r="169">
      <c r="B169" s="685"/>
      <c r="C169" s="685"/>
      <c r="D169" s="685"/>
      <c r="F169" s="685"/>
    </row>
    <row r="170">
      <c r="B170" s="685"/>
      <c r="C170" s="685"/>
      <c r="D170" s="685"/>
      <c r="F170" s="685"/>
    </row>
    <row r="171">
      <c r="B171" s="685"/>
      <c r="C171" s="685"/>
      <c r="D171" s="685"/>
      <c r="F171" s="685"/>
    </row>
    <row r="172">
      <c r="B172" s="685"/>
      <c r="C172" s="685"/>
      <c r="D172" s="685"/>
      <c r="F172" s="685"/>
    </row>
    <row r="173">
      <c r="B173" s="685"/>
      <c r="C173" s="685"/>
      <c r="D173" s="685"/>
      <c r="F173" s="685"/>
    </row>
    <row r="174">
      <c r="B174" s="685"/>
      <c r="C174" s="685"/>
      <c r="D174" s="685"/>
      <c r="F174" s="685"/>
    </row>
    <row r="175">
      <c r="B175" s="685"/>
      <c r="C175" s="685"/>
      <c r="D175" s="685"/>
      <c r="F175" s="685"/>
    </row>
    <row r="176">
      <c r="B176" s="685"/>
      <c r="C176" s="685"/>
      <c r="D176" s="685"/>
      <c r="F176" s="685"/>
    </row>
    <row r="177">
      <c r="B177" s="685"/>
      <c r="C177" s="685"/>
      <c r="D177" s="685"/>
      <c r="F177" s="685"/>
    </row>
    <row r="178">
      <c r="B178" s="685"/>
      <c r="C178" s="685"/>
      <c r="D178" s="685"/>
      <c r="F178" s="685"/>
    </row>
    <row r="179">
      <c r="B179" s="685"/>
      <c r="C179" s="685"/>
      <c r="D179" s="685"/>
      <c r="F179" s="685"/>
    </row>
    <row r="180">
      <c r="B180" s="685"/>
      <c r="C180" s="685"/>
      <c r="D180" s="685"/>
      <c r="F180" s="685"/>
    </row>
    <row r="181">
      <c r="B181" s="685"/>
      <c r="C181" s="685"/>
      <c r="D181" s="685"/>
      <c r="F181" s="685"/>
    </row>
    <row r="182">
      <c r="B182" s="685"/>
      <c r="C182" s="685"/>
      <c r="D182" s="685"/>
      <c r="F182" s="685"/>
    </row>
    <row r="183">
      <c r="B183" s="685"/>
      <c r="C183" s="685"/>
      <c r="D183" s="685"/>
      <c r="F183" s="685"/>
    </row>
    <row r="184">
      <c r="B184" s="685"/>
      <c r="C184" s="685"/>
      <c r="D184" s="685"/>
      <c r="F184" s="685"/>
    </row>
    <row r="185">
      <c r="B185" s="685"/>
      <c r="C185" s="685"/>
      <c r="D185" s="685"/>
      <c r="F185" s="685"/>
    </row>
    <row r="186">
      <c r="B186" s="685"/>
      <c r="C186" s="685"/>
      <c r="D186" s="685"/>
      <c r="F186" s="685"/>
    </row>
    <row r="187">
      <c r="B187" s="685"/>
      <c r="C187" s="685"/>
      <c r="D187" s="685"/>
      <c r="F187" s="685"/>
    </row>
    <row r="188">
      <c r="B188" s="685"/>
      <c r="C188" s="685"/>
      <c r="D188" s="685"/>
      <c r="F188" s="685"/>
    </row>
    <row r="189">
      <c r="B189" s="685"/>
      <c r="C189" s="685"/>
      <c r="D189" s="685"/>
      <c r="F189" s="685"/>
    </row>
    <row r="190">
      <c r="B190" s="685"/>
      <c r="C190" s="685"/>
      <c r="D190" s="685"/>
      <c r="F190" s="685"/>
    </row>
    <row r="191">
      <c r="B191" s="685"/>
      <c r="C191" s="685"/>
      <c r="D191" s="685"/>
      <c r="F191" s="685"/>
    </row>
    <row r="192">
      <c r="B192" s="685"/>
      <c r="C192" s="685"/>
      <c r="D192" s="685"/>
      <c r="F192" s="685"/>
    </row>
    <row r="193">
      <c r="B193" s="685"/>
      <c r="C193" s="685"/>
      <c r="D193" s="685"/>
      <c r="F193" s="685"/>
    </row>
    <row r="194">
      <c r="B194" s="685"/>
      <c r="C194" s="685"/>
      <c r="D194" s="685"/>
      <c r="F194" s="685"/>
    </row>
    <row r="195">
      <c r="B195" s="685"/>
      <c r="C195" s="685"/>
      <c r="D195" s="685"/>
      <c r="F195" s="685"/>
    </row>
    <row r="196">
      <c r="B196" s="685"/>
      <c r="C196" s="685"/>
      <c r="D196" s="685"/>
      <c r="F196" s="685"/>
    </row>
    <row r="197">
      <c r="B197" s="685"/>
      <c r="C197" s="685"/>
      <c r="D197" s="685"/>
      <c r="F197" s="685"/>
    </row>
    <row r="198">
      <c r="B198" s="685"/>
      <c r="C198" s="685"/>
      <c r="D198" s="685"/>
      <c r="F198" s="685"/>
    </row>
    <row r="199">
      <c r="B199" s="685"/>
      <c r="C199" s="685"/>
      <c r="D199" s="685"/>
      <c r="F199" s="685"/>
    </row>
    <row r="200">
      <c r="B200" s="685"/>
      <c r="C200" s="685"/>
      <c r="D200" s="685"/>
      <c r="F200" s="685"/>
    </row>
    <row r="201">
      <c r="B201" s="685"/>
      <c r="C201" s="685"/>
      <c r="D201" s="685"/>
      <c r="F201" s="685"/>
    </row>
    <row r="202">
      <c r="B202" s="685"/>
      <c r="C202" s="685"/>
      <c r="D202" s="685"/>
      <c r="F202" s="685"/>
    </row>
    <row r="203">
      <c r="B203" s="685"/>
      <c r="C203" s="685"/>
      <c r="D203" s="685"/>
      <c r="F203" s="685"/>
    </row>
    <row r="204">
      <c r="B204" s="685"/>
      <c r="C204" s="685"/>
      <c r="D204" s="685"/>
      <c r="F204" s="685"/>
    </row>
    <row r="205">
      <c r="B205" s="685"/>
      <c r="C205" s="685"/>
      <c r="D205" s="685"/>
      <c r="F205" s="685"/>
    </row>
    <row r="206">
      <c r="B206" s="685"/>
      <c r="C206" s="685"/>
      <c r="D206" s="685"/>
      <c r="F206" s="685"/>
    </row>
    <row r="207">
      <c r="B207" s="685"/>
      <c r="C207" s="685"/>
      <c r="D207" s="685"/>
      <c r="F207" s="685"/>
    </row>
    <row r="208">
      <c r="B208" s="685"/>
      <c r="C208" s="685"/>
      <c r="D208" s="685"/>
      <c r="F208" s="685"/>
    </row>
    <row r="209">
      <c r="B209" s="685"/>
      <c r="C209" s="685"/>
      <c r="D209" s="685"/>
      <c r="F209" s="685"/>
    </row>
    <row r="210">
      <c r="B210" s="685"/>
      <c r="C210" s="685"/>
      <c r="D210" s="685"/>
      <c r="F210" s="685"/>
    </row>
    <row r="211">
      <c r="B211" s="685"/>
      <c r="C211" s="685"/>
      <c r="D211" s="685"/>
      <c r="F211" s="685"/>
    </row>
    <row r="212">
      <c r="B212" s="685"/>
      <c r="C212" s="685"/>
      <c r="D212" s="685"/>
      <c r="F212" s="685"/>
    </row>
    <row r="213">
      <c r="B213" s="685"/>
      <c r="C213" s="685"/>
      <c r="D213" s="685"/>
      <c r="F213" s="685"/>
    </row>
    <row r="214">
      <c r="B214" s="685"/>
      <c r="C214" s="685"/>
      <c r="D214" s="685"/>
      <c r="F214" s="685"/>
    </row>
    <row r="215">
      <c r="B215" s="685"/>
      <c r="C215" s="685"/>
      <c r="D215" s="685"/>
      <c r="F215" s="685"/>
    </row>
    <row r="216">
      <c r="B216" s="685"/>
      <c r="C216" s="685"/>
      <c r="D216" s="685"/>
      <c r="F216" s="685"/>
    </row>
    <row r="217">
      <c r="B217" s="685"/>
      <c r="C217" s="685"/>
      <c r="D217" s="685"/>
      <c r="F217" s="685"/>
    </row>
    <row r="218">
      <c r="B218" s="685"/>
      <c r="C218" s="685"/>
      <c r="D218" s="685"/>
      <c r="F218" s="685"/>
    </row>
    <row r="219">
      <c r="B219" s="685"/>
      <c r="C219" s="685"/>
      <c r="D219" s="685"/>
      <c r="F219" s="685"/>
    </row>
    <row r="220">
      <c r="B220" s="685"/>
      <c r="C220" s="685"/>
      <c r="D220" s="685"/>
      <c r="F220" s="685"/>
    </row>
    <row r="221">
      <c r="B221" s="685"/>
      <c r="C221" s="685"/>
      <c r="D221" s="685"/>
      <c r="F221" s="685"/>
    </row>
    <row r="222">
      <c r="B222" s="685"/>
      <c r="C222" s="685"/>
      <c r="D222" s="685"/>
      <c r="F222" s="685"/>
    </row>
    <row r="223">
      <c r="B223" s="685"/>
      <c r="C223" s="685"/>
      <c r="D223" s="685"/>
      <c r="F223" s="685"/>
    </row>
    <row r="224">
      <c r="B224" s="685"/>
      <c r="C224" s="685"/>
      <c r="D224" s="685"/>
      <c r="F224" s="685"/>
    </row>
    <row r="225">
      <c r="B225" s="685"/>
      <c r="C225" s="685"/>
      <c r="D225" s="685"/>
      <c r="F225" s="685"/>
    </row>
    <row r="226">
      <c r="B226" s="685"/>
      <c r="C226" s="685"/>
      <c r="D226" s="685"/>
      <c r="F226" s="685"/>
    </row>
    <row r="227">
      <c r="B227" s="685"/>
      <c r="C227" s="685"/>
      <c r="D227" s="685"/>
      <c r="F227" s="685"/>
    </row>
    <row r="228">
      <c r="B228" s="685"/>
      <c r="C228" s="685"/>
      <c r="D228" s="685"/>
      <c r="F228" s="685"/>
    </row>
    <row r="229">
      <c r="B229" s="685"/>
      <c r="C229" s="685"/>
      <c r="D229" s="685"/>
      <c r="F229" s="685"/>
    </row>
    <row r="230">
      <c r="B230" s="685"/>
      <c r="C230" s="685"/>
      <c r="D230" s="685"/>
      <c r="F230" s="685"/>
    </row>
    <row r="231">
      <c r="B231" s="685"/>
      <c r="C231" s="685"/>
      <c r="D231" s="685"/>
      <c r="F231" s="685"/>
    </row>
    <row r="232">
      <c r="B232" s="685"/>
      <c r="C232" s="685"/>
      <c r="D232" s="685"/>
      <c r="F232" s="685"/>
    </row>
    <row r="233">
      <c r="B233" s="685"/>
      <c r="C233" s="685"/>
      <c r="D233" s="685"/>
      <c r="F233" s="685"/>
    </row>
    <row r="234">
      <c r="B234" s="685"/>
      <c r="C234" s="685"/>
      <c r="D234" s="685"/>
      <c r="F234" s="685"/>
    </row>
    <row r="235">
      <c r="B235" s="685"/>
      <c r="C235" s="685"/>
      <c r="D235" s="685"/>
      <c r="F235" s="685"/>
    </row>
    <row r="236">
      <c r="B236" s="685"/>
      <c r="C236" s="685"/>
      <c r="D236" s="685"/>
      <c r="F236" s="685"/>
    </row>
    <row r="237">
      <c r="B237" s="685"/>
      <c r="C237" s="685"/>
      <c r="D237" s="685"/>
      <c r="F237" s="685"/>
    </row>
    <row r="238">
      <c r="B238" s="685"/>
      <c r="C238" s="685"/>
      <c r="D238" s="685"/>
      <c r="F238" s="685"/>
    </row>
    <row r="239">
      <c r="B239" s="685"/>
      <c r="C239" s="685"/>
      <c r="D239" s="685"/>
      <c r="F239" s="685"/>
    </row>
    <row r="240">
      <c r="B240" s="685"/>
      <c r="C240" s="685"/>
      <c r="D240" s="685"/>
      <c r="F240" s="685"/>
    </row>
    <row r="241">
      <c r="B241" s="685"/>
      <c r="C241" s="685"/>
      <c r="D241" s="685"/>
      <c r="F241" s="685"/>
    </row>
    <row r="242">
      <c r="B242" s="685"/>
      <c r="C242" s="685"/>
      <c r="D242" s="685"/>
      <c r="F242" s="685"/>
    </row>
    <row r="243">
      <c r="B243" s="685"/>
      <c r="C243" s="685"/>
      <c r="D243" s="685"/>
      <c r="F243" s="685"/>
    </row>
    <row r="244">
      <c r="B244" s="685"/>
      <c r="C244" s="685"/>
      <c r="D244" s="685"/>
      <c r="F244" s="685"/>
    </row>
    <row r="245">
      <c r="B245" s="685"/>
      <c r="C245" s="685"/>
      <c r="D245" s="685"/>
      <c r="F245" s="685"/>
    </row>
    <row r="246">
      <c r="B246" s="685"/>
      <c r="C246" s="685"/>
      <c r="D246" s="685"/>
      <c r="F246" s="685"/>
    </row>
    <row r="247">
      <c r="B247" s="685"/>
      <c r="C247" s="685"/>
      <c r="D247" s="685"/>
      <c r="F247" s="685"/>
    </row>
    <row r="248">
      <c r="B248" s="685"/>
      <c r="C248" s="685"/>
      <c r="D248" s="685"/>
      <c r="F248" s="685"/>
    </row>
    <row r="249">
      <c r="B249" s="685"/>
      <c r="C249" s="685"/>
      <c r="D249" s="685"/>
      <c r="F249" s="685"/>
    </row>
    <row r="250">
      <c r="B250" s="685"/>
      <c r="C250" s="685"/>
      <c r="D250" s="685"/>
      <c r="F250" s="685"/>
    </row>
    <row r="251">
      <c r="B251" s="685"/>
      <c r="C251" s="685"/>
      <c r="D251" s="685"/>
      <c r="F251" s="685"/>
    </row>
    <row r="252">
      <c r="B252" s="685"/>
      <c r="C252" s="685"/>
      <c r="D252" s="685"/>
      <c r="F252" s="685"/>
    </row>
    <row r="253">
      <c r="B253" s="685"/>
      <c r="C253" s="685"/>
      <c r="D253" s="685"/>
      <c r="F253" s="685"/>
    </row>
    <row r="254">
      <c r="B254" s="685"/>
      <c r="C254" s="685"/>
      <c r="D254" s="685"/>
      <c r="F254" s="685"/>
    </row>
    <row r="255">
      <c r="B255" s="685"/>
      <c r="C255" s="685"/>
      <c r="D255" s="685"/>
      <c r="F255" s="685"/>
    </row>
    <row r="256">
      <c r="B256" s="685"/>
      <c r="C256" s="685"/>
      <c r="D256" s="685"/>
      <c r="F256" s="685"/>
    </row>
    <row r="257">
      <c r="B257" s="685"/>
      <c r="C257" s="685"/>
      <c r="D257" s="685"/>
      <c r="F257" s="685"/>
    </row>
    <row r="258">
      <c r="B258" s="685"/>
      <c r="C258" s="685"/>
      <c r="D258" s="685"/>
      <c r="F258" s="685"/>
    </row>
    <row r="259">
      <c r="B259" s="685"/>
      <c r="C259" s="685"/>
      <c r="D259" s="685"/>
      <c r="F259" s="685"/>
    </row>
    <row r="260">
      <c r="B260" s="685"/>
      <c r="C260" s="685"/>
      <c r="D260" s="685"/>
      <c r="F260" s="685"/>
    </row>
    <row r="261">
      <c r="B261" s="685"/>
      <c r="C261" s="685"/>
      <c r="D261" s="685"/>
      <c r="F261" s="685"/>
    </row>
    <row r="262">
      <c r="B262" s="685"/>
      <c r="C262" s="685"/>
      <c r="D262" s="685"/>
      <c r="F262" s="685"/>
    </row>
    <row r="263">
      <c r="B263" s="685"/>
      <c r="C263" s="685"/>
      <c r="D263" s="685"/>
      <c r="F263" s="685"/>
    </row>
    <row r="264">
      <c r="B264" s="685"/>
      <c r="C264" s="685"/>
      <c r="D264" s="685"/>
      <c r="F264" s="685"/>
    </row>
    <row r="265">
      <c r="B265" s="685"/>
      <c r="C265" s="685"/>
      <c r="D265" s="685"/>
      <c r="F265" s="685"/>
    </row>
    <row r="266">
      <c r="B266" s="685"/>
      <c r="C266" s="685"/>
      <c r="D266" s="685"/>
      <c r="F266" s="685"/>
    </row>
    <row r="267">
      <c r="B267" s="685"/>
      <c r="C267" s="685"/>
      <c r="D267" s="685"/>
      <c r="F267" s="685"/>
    </row>
    <row r="268">
      <c r="B268" s="685"/>
      <c r="C268" s="685"/>
      <c r="D268" s="685"/>
      <c r="F268" s="685"/>
    </row>
    <row r="269">
      <c r="B269" s="685"/>
      <c r="C269" s="685"/>
      <c r="D269" s="685"/>
      <c r="F269" s="685"/>
    </row>
    <row r="270">
      <c r="B270" s="685"/>
      <c r="C270" s="685"/>
      <c r="D270" s="685"/>
      <c r="F270" s="685"/>
    </row>
    <row r="271">
      <c r="B271" s="685"/>
      <c r="C271" s="685"/>
      <c r="D271" s="685"/>
      <c r="F271" s="685"/>
    </row>
    <row r="272">
      <c r="B272" s="685"/>
      <c r="C272" s="685"/>
      <c r="D272" s="685"/>
      <c r="F272" s="685"/>
    </row>
    <row r="273">
      <c r="B273" s="685"/>
      <c r="C273" s="685"/>
      <c r="D273" s="685"/>
      <c r="F273" s="685"/>
    </row>
    <row r="274">
      <c r="B274" s="685"/>
      <c r="C274" s="685"/>
      <c r="D274" s="685"/>
      <c r="F274" s="685"/>
    </row>
    <row r="275">
      <c r="B275" s="685"/>
      <c r="C275" s="685"/>
      <c r="D275" s="685"/>
      <c r="F275" s="685"/>
    </row>
    <row r="276">
      <c r="B276" s="685"/>
      <c r="C276" s="685"/>
      <c r="D276" s="685"/>
      <c r="F276" s="685"/>
    </row>
    <row r="277">
      <c r="B277" s="685"/>
      <c r="C277" s="685"/>
      <c r="D277" s="685"/>
      <c r="F277" s="685"/>
    </row>
    <row r="278">
      <c r="B278" s="685"/>
      <c r="C278" s="685"/>
      <c r="D278" s="685"/>
      <c r="F278" s="685"/>
    </row>
    <row r="279">
      <c r="B279" s="685"/>
      <c r="C279" s="685"/>
      <c r="D279" s="685"/>
      <c r="F279" s="685"/>
    </row>
    <row r="280">
      <c r="B280" s="685"/>
      <c r="C280" s="685"/>
      <c r="D280" s="685"/>
      <c r="F280" s="685"/>
    </row>
    <row r="281">
      <c r="B281" s="685"/>
      <c r="C281" s="685"/>
      <c r="D281" s="685"/>
      <c r="F281" s="685"/>
    </row>
    <row r="282">
      <c r="B282" s="685"/>
      <c r="C282" s="685"/>
      <c r="D282" s="685"/>
      <c r="F282" s="685"/>
    </row>
    <row r="283">
      <c r="B283" s="685"/>
      <c r="C283" s="685"/>
      <c r="D283" s="685"/>
      <c r="F283" s="685"/>
    </row>
    <row r="284">
      <c r="B284" s="685"/>
      <c r="C284" s="685"/>
      <c r="D284" s="685"/>
      <c r="F284" s="685"/>
    </row>
    <row r="285">
      <c r="B285" s="685"/>
      <c r="C285" s="685"/>
      <c r="D285" s="685"/>
      <c r="F285" s="685"/>
    </row>
    <row r="286">
      <c r="B286" s="685"/>
      <c r="C286" s="685"/>
      <c r="D286" s="685"/>
      <c r="F286" s="685"/>
    </row>
    <row r="287">
      <c r="B287" s="685"/>
      <c r="C287" s="685"/>
      <c r="D287" s="685"/>
      <c r="F287" s="685"/>
    </row>
    <row r="288">
      <c r="B288" s="685"/>
      <c r="C288" s="685"/>
      <c r="D288" s="685"/>
      <c r="F288" s="685"/>
    </row>
    <row r="289">
      <c r="B289" s="685"/>
      <c r="C289" s="685"/>
      <c r="D289" s="685"/>
      <c r="F289" s="685"/>
    </row>
    <row r="290">
      <c r="B290" s="685"/>
      <c r="C290" s="685"/>
      <c r="D290" s="685"/>
      <c r="F290" s="685"/>
    </row>
    <row r="291">
      <c r="B291" s="685"/>
      <c r="C291" s="685"/>
      <c r="D291" s="685"/>
      <c r="F291" s="685"/>
    </row>
    <row r="292">
      <c r="B292" s="685"/>
      <c r="C292" s="685"/>
      <c r="D292" s="685"/>
      <c r="F292" s="685"/>
    </row>
    <row r="293">
      <c r="B293" s="685"/>
      <c r="C293" s="685"/>
      <c r="D293" s="685"/>
      <c r="F293" s="685"/>
    </row>
    <row r="294">
      <c r="B294" s="685"/>
      <c r="C294" s="685"/>
      <c r="D294" s="685"/>
      <c r="F294" s="685"/>
    </row>
    <row r="295">
      <c r="B295" s="685"/>
      <c r="C295" s="685"/>
      <c r="D295" s="685"/>
      <c r="F295" s="685"/>
    </row>
    <row r="296">
      <c r="B296" s="685"/>
      <c r="C296" s="685"/>
      <c r="D296" s="685"/>
      <c r="F296" s="685"/>
    </row>
    <row r="297">
      <c r="B297" s="685"/>
      <c r="C297" s="685"/>
      <c r="D297" s="685"/>
      <c r="F297" s="685"/>
    </row>
    <row r="298">
      <c r="B298" s="685"/>
      <c r="C298" s="685"/>
      <c r="D298" s="685"/>
      <c r="F298" s="685"/>
    </row>
    <row r="299">
      <c r="B299" s="685"/>
      <c r="C299" s="685"/>
      <c r="D299" s="685"/>
      <c r="F299" s="685"/>
    </row>
    <row r="300">
      <c r="B300" s="685"/>
      <c r="C300" s="685"/>
      <c r="D300" s="685"/>
      <c r="F300" s="685"/>
    </row>
    <row r="301">
      <c r="B301" s="685"/>
      <c r="C301" s="685"/>
      <c r="D301" s="685"/>
      <c r="F301" s="685"/>
    </row>
    <row r="302">
      <c r="B302" s="685"/>
      <c r="C302" s="685"/>
      <c r="D302" s="685"/>
      <c r="F302" s="685"/>
    </row>
    <row r="303">
      <c r="B303" s="685"/>
      <c r="C303" s="685"/>
      <c r="D303" s="685"/>
      <c r="F303" s="685"/>
    </row>
    <row r="304">
      <c r="B304" s="685"/>
      <c r="C304" s="685"/>
      <c r="D304" s="685"/>
      <c r="F304" s="685"/>
    </row>
    <row r="305">
      <c r="B305" s="685"/>
      <c r="C305" s="685"/>
      <c r="D305" s="685"/>
      <c r="F305" s="685"/>
    </row>
    <row r="306">
      <c r="B306" s="685"/>
      <c r="C306" s="685"/>
      <c r="D306" s="685"/>
      <c r="F306" s="685"/>
    </row>
    <row r="307">
      <c r="B307" s="685"/>
      <c r="C307" s="685"/>
      <c r="D307" s="685"/>
      <c r="F307" s="685"/>
    </row>
    <row r="308">
      <c r="B308" s="685"/>
      <c r="C308" s="685"/>
      <c r="D308" s="685"/>
      <c r="F308" s="685"/>
    </row>
    <row r="309">
      <c r="B309" s="685"/>
      <c r="C309" s="685"/>
      <c r="D309" s="685"/>
      <c r="F309" s="685"/>
    </row>
    <row r="310">
      <c r="B310" s="685"/>
      <c r="C310" s="685"/>
      <c r="D310" s="685"/>
      <c r="F310" s="685"/>
    </row>
    <row r="311">
      <c r="B311" s="685"/>
      <c r="C311" s="685"/>
      <c r="D311" s="685"/>
      <c r="F311" s="685"/>
    </row>
    <row r="312">
      <c r="B312" s="685"/>
      <c r="C312" s="685"/>
      <c r="D312" s="685"/>
      <c r="F312" s="685"/>
    </row>
    <row r="313">
      <c r="B313" s="685"/>
      <c r="C313" s="685"/>
      <c r="D313" s="685"/>
      <c r="F313" s="685"/>
    </row>
    <row r="314">
      <c r="B314" s="685"/>
      <c r="C314" s="685"/>
      <c r="D314" s="685"/>
      <c r="F314" s="685"/>
    </row>
    <row r="315">
      <c r="B315" s="685"/>
      <c r="C315" s="685"/>
      <c r="D315" s="685"/>
      <c r="F315" s="685"/>
    </row>
    <row r="316">
      <c r="B316" s="685"/>
      <c r="C316" s="685"/>
      <c r="D316" s="685"/>
      <c r="F316" s="685"/>
    </row>
    <row r="317">
      <c r="B317" s="685"/>
      <c r="C317" s="685"/>
      <c r="D317" s="685"/>
      <c r="F317" s="685"/>
    </row>
    <row r="318">
      <c r="B318" s="685"/>
      <c r="C318" s="685"/>
      <c r="D318" s="685"/>
      <c r="F318" s="685"/>
    </row>
    <row r="319">
      <c r="B319" s="685"/>
      <c r="C319" s="685"/>
      <c r="D319" s="685"/>
      <c r="F319" s="685"/>
    </row>
    <row r="320">
      <c r="B320" s="685"/>
      <c r="C320" s="685"/>
      <c r="D320" s="685"/>
      <c r="F320" s="685"/>
    </row>
    <row r="321">
      <c r="B321" s="685"/>
      <c r="C321" s="685"/>
      <c r="D321" s="685"/>
      <c r="F321" s="685"/>
    </row>
    <row r="322">
      <c r="B322" s="685"/>
      <c r="C322" s="685"/>
      <c r="D322" s="685"/>
      <c r="F322" s="685"/>
    </row>
    <row r="323">
      <c r="B323" s="685"/>
      <c r="C323" s="685"/>
      <c r="D323" s="685"/>
      <c r="F323" s="685"/>
    </row>
    <row r="324">
      <c r="B324" s="685"/>
      <c r="C324" s="685"/>
      <c r="D324" s="685"/>
      <c r="F324" s="685"/>
    </row>
    <row r="325">
      <c r="B325" s="685"/>
      <c r="C325" s="685"/>
      <c r="D325" s="685"/>
      <c r="F325" s="685"/>
    </row>
    <row r="326">
      <c r="B326" s="685"/>
      <c r="C326" s="685"/>
      <c r="D326" s="685"/>
      <c r="F326" s="685"/>
    </row>
    <row r="327">
      <c r="B327" s="685"/>
      <c r="C327" s="685"/>
      <c r="D327" s="685"/>
      <c r="F327" s="685"/>
    </row>
    <row r="328">
      <c r="B328" s="685"/>
      <c r="C328" s="685"/>
      <c r="D328" s="685"/>
      <c r="F328" s="685"/>
    </row>
    <row r="329">
      <c r="B329" s="685"/>
      <c r="C329" s="685"/>
      <c r="D329" s="685"/>
      <c r="F329" s="685"/>
    </row>
    <row r="330">
      <c r="B330" s="685"/>
      <c r="C330" s="685"/>
      <c r="D330" s="685"/>
      <c r="F330" s="685"/>
    </row>
    <row r="331">
      <c r="B331" s="685"/>
      <c r="C331" s="685"/>
      <c r="D331" s="685"/>
      <c r="F331" s="685"/>
    </row>
    <row r="332">
      <c r="B332" s="685"/>
      <c r="C332" s="685"/>
      <c r="D332" s="685"/>
      <c r="F332" s="685"/>
    </row>
    <row r="333">
      <c r="B333" s="685"/>
      <c r="C333" s="685"/>
      <c r="D333" s="685"/>
      <c r="F333" s="685"/>
    </row>
    <row r="334">
      <c r="B334" s="685"/>
      <c r="C334" s="685"/>
      <c r="D334" s="685"/>
      <c r="F334" s="685"/>
    </row>
    <row r="335">
      <c r="B335" s="685"/>
      <c r="C335" s="685"/>
      <c r="D335" s="685"/>
      <c r="F335" s="685"/>
    </row>
    <row r="336">
      <c r="B336" s="685"/>
      <c r="C336" s="685"/>
      <c r="D336" s="685"/>
      <c r="F336" s="685"/>
    </row>
    <row r="337">
      <c r="B337" s="685"/>
      <c r="C337" s="685"/>
      <c r="D337" s="685"/>
      <c r="F337" s="685"/>
    </row>
    <row r="338">
      <c r="B338" s="685"/>
      <c r="C338" s="685"/>
      <c r="D338" s="685"/>
      <c r="F338" s="685"/>
    </row>
    <row r="339">
      <c r="B339" s="685"/>
      <c r="C339" s="685"/>
      <c r="D339" s="685"/>
      <c r="F339" s="685"/>
    </row>
    <row r="340">
      <c r="B340" s="685"/>
      <c r="C340" s="685"/>
      <c r="D340" s="685"/>
      <c r="F340" s="685"/>
    </row>
    <row r="341">
      <c r="B341" s="685"/>
      <c r="C341" s="685"/>
      <c r="D341" s="685"/>
      <c r="F341" s="685"/>
    </row>
    <row r="342">
      <c r="B342" s="685"/>
      <c r="C342" s="685"/>
      <c r="D342" s="685"/>
      <c r="F342" s="685"/>
    </row>
    <row r="343">
      <c r="B343" s="685"/>
      <c r="C343" s="685"/>
      <c r="D343" s="685"/>
      <c r="F343" s="685"/>
    </row>
    <row r="344">
      <c r="B344" s="685"/>
      <c r="C344" s="685"/>
      <c r="D344" s="685"/>
      <c r="F344" s="685"/>
    </row>
    <row r="345">
      <c r="B345" s="685"/>
      <c r="C345" s="685"/>
      <c r="D345" s="685"/>
      <c r="F345" s="685"/>
    </row>
    <row r="346">
      <c r="B346" s="685"/>
      <c r="C346" s="685"/>
      <c r="D346" s="685"/>
      <c r="F346" s="685"/>
    </row>
    <row r="347">
      <c r="B347" s="685"/>
      <c r="C347" s="685"/>
      <c r="D347" s="685"/>
      <c r="F347" s="685"/>
    </row>
    <row r="348">
      <c r="B348" s="685"/>
      <c r="C348" s="685"/>
      <c r="D348" s="685"/>
      <c r="F348" s="685"/>
    </row>
    <row r="349">
      <c r="B349" s="685"/>
      <c r="C349" s="685"/>
      <c r="D349" s="685"/>
      <c r="F349" s="685"/>
    </row>
    <row r="350">
      <c r="B350" s="685"/>
      <c r="C350" s="685"/>
      <c r="D350" s="685"/>
      <c r="F350" s="685"/>
    </row>
    <row r="351">
      <c r="B351" s="685"/>
      <c r="C351" s="685"/>
      <c r="D351" s="685"/>
      <c r="F351" s="685"/>
    </row>
    <row r="352">
      <c r="B352" s="685"/>
      <c r="C352" s="685"/>
      <c r="D352" s="685"/>
      <c r="F352" s="685"/>
    </row>
    <row r="353">
      <c r="B353" s="685"/>
      <c r="C353" s="685"/>
      <c r="D353" s="685"/>
      <c r="F353" s="685"/>
    </row>
    <row r="354">
      <c r="B354" s="685"/>
      <c r="C354" s="685"/>
      <c r="D354" s="685"/>
      <c r="F354" s="685"/>
    </row>
    <row r="355">
      <c r="B355" s="685"/>
      <c r="C355" s="685"/>
      <c r="D355" s="685"/>
      <c r="F355" s="685"/>
    </row>
    <row r="356">
      <c r="B356" s="685"/>
      <c r="C356" s="685"/>
      <c r="D356" s="685"/>
      <c r="F356" s="685"/>
    </row>
    <row r="357">
      <c r="B357" s="685"/>
      <c r="C357" s="685"/>
      <c r="D357" s="685"/>
      <c r="F357" s="685"/>
    </row>
    <row r="358">
      <c r="B358" s="685"/>
      <c r="C358" s="685"/>
      <c r="D358" s="685"/>
      <c r="F358" s="685"/>
    </row>
    <row r="359">
      <c r="B359" s="685"/>
      <c r="C359" s="685"/>
      <c r="D359" s="685"/>
      <c r="F359" s="685"/>
    </row>
    <row r="360">
      <c r="B360" s="685"/>
      <c r="C360" s="685"/>
      <c r="D360" s="685"/>
      <c r="F360" s="685"/>
    </row>
    <row r="361">
      <c r="B361" s="685"/>
      <c r="C361" s="685"/>
      <c r="D361" s="685"/>
      <c r="F361" s="685"/>
    </row>
    <row r="362">
      <c r="B362" s="685"/>
      <c r="C362" s="685"/>
      <c r="D362" s="685"/>
      <c r="F362" s="685"/>
    </row>
    <row r="363">
      <c r="B363" s="685"/>
      <c r="C363" s="685"/>
      <c r="D363" s="685"/>
      <c r="F363" s="685"/>
    </row>
    <row r="364">
      <c r="B364" s="685"/>
      <c r="C364" s="685"/>
      <c r="D364" s="685"/>
      <c r="F364" s="685"/>
    </row>
    <row r="365">
      <c r="B365" s="685"/>
      <c r="C365" s="685"/>
      <c r="D365" s="685"/>
      <c r="F365" s="685"/>
    </row>
    <row r="366">
      <c r="B366" s="685"/>
      <c r="C366" s="685"/>
      <c r="D366" s="685"/>
      <c r="F366" s="685"/>
    </row>
    <row r="367">
      <c r="B367" s="685"/>
      <c r="C367" s="685"/>
      <c r="D367" s="685"/>
      <c r="F367" s="685"/>
    </row>
    <row r="368">
      <c r="B368" s="685"/>
      <c r="C368" s="685"/>
      <c r="D368" s="685"/>
      <c r="F368" s="685"/>
    </row>
    <row r="369">
      <c r="B369" s="685"/>
      <c r="C369" s="685"/>
      <c r="D369" s="685"/>
      <c r="F369" s="685"/>
    </row>
    <row r="370">
      <c r="B370" s="685"/>
      <c r="C370" s="685"/>
      <c r="D370" s="685"/>
      <c r="F370" s="685"/>
    </row>
    <row r="371">
      <c r="B371" s="685"/>
      <c r="C371" s="685"/>
      <c r="D371" s="685"/>
      <c r="F371" s="685"/>
    </row>
    <row r="372">
      <c r="B372" s="685"/>
      <c r="C372" s="685"/>
      <c r="D372" s="685"/>
      <c r="F372" s="685"/>
    </row>
    <row r="373">
      <c r="B373" s="685"/>
      <c r="C373" s="685"/>
      <c r="D373" s="685"/>
      <c r="F373" s="685"/>
    </row>
    <row r="374">
      <c r="B374" s="685"/>
      <c r="C374" s="685"/>
      <c r="D374" s="685"/>
      <c r="F374" s="685"/>
    </row>
    <row r="375">
      <c r="B375" s="685"/>
      <c r="C375" s="685"/>
      <c r="D375" s="685"/>
      <c r="F375" s="685"/>
    </row>
    <row r="376">
      <c r="B376" s="685"/>
      <c r="C376" s="685"/>
      <c r="D376" s="685"/>
      <c r="F376" s="685"/>
    </row>
    <row r="377">
      <c r="B377" s="685"/>
      <c r="C377" s="685"/>
      <c r="D377" s="685"/>
      <c r="F377" s="685"/>
    </row>
    <row r="378">
      <c r="B378" s="685"/>
      <c r="C378" s="685"/>
      <c r="D378" s="685"/>
      <c r="F378" s="685"/>
    </row>
    <row r="379">
      <c r="B379" s="685"/>
      <c r="C379" s="685"/>
      <c r="D379" s="685"/>
      <c r="F379" s="685"/>
    </row>
    <row r="380">
      <c r="B380" s="685"/>
      <c r="C380" s="685"/>
      <c r="D380" s="685"/>
      <c r="F380" s="685"/>
    </row>
    <row r="381">
      <c r="B381" s="685"/>
      <c r="C381" s="685"/>
      <c r="D381" s="685"/>
      <c r="F381" s="685"/>
    </row>
    <row r="382">
      <c r="B382" s="685"/>
      <c r="C382" s="685"/>
      <c r="D382" s="685"/>
      <c r="F382" s="685"/>
    </row>
    <row r="383">
      <c r="B383" s="685"/>
      <c r="C383" s="685"/>
      <c r="D383" s="685"/>
      <c r="F383" s="685"/>
    </row>
    <row r="384">
      <c r="B384" s="685"/>
      <c r="C384" s="685"/>
      <c r="D384" s="685"/>
      <c r="F384" s="685"/>
    </row>
    <row r="385">
      <c r="B385" s="685"/>
      <c r="C385" s="685"/>
      <c r="D385" s="685"/>
      <c r="F385" s="685"/>
    </row>
    <row r="386">
      <c r="B386" s="685"/>
      <c r="C386" s="685"/>
      <c r="D386" s="685"/>
      <c r="F386" s="685"/>
    </row>
    <row r="387">
      <c r="B387" s="685"/>
      <c r="C387" s="685"/>
      <c r="D387" s="685"/>
      <c r="F387" s="685"/>
    </row>
    <row r="388">
      <c r="B388" s="685"/>
      <c r="C388" s="685"/>
      <c r="D388" s="685"/>
      <c r="F388" s="685"/>
    </row>
    <row r="389">
      <c r="B389" s="685"/>
      <c r="C389" s="685"/>
      <c r="D389" s="685"/>
      <c r="F389" s="685"/>
    </row>
    <row r="390">
      <c r="B390" s="685"/>
      <c r="C390" s="685"/>
      <c r="D390" s="685"/>
      <c r="F390" s="685"/>
    </row>
    <row r="391">
      <c r="B391" s="685"/>
      <c r="C391" s="685"/>
      <c r="D391" s="685"/>
      <c r="F391" s="685"/>
    </row>
    <row r="392">
      <c r="B392" s="685"/>
      <c r="C392" s="685"/>
      <c r="D392" s="685"/>
      <c r="F392" s="685"/>
    </row>
    <row r="393">
      <c r="B393" s="685"/>
      <c r="C393" s="685"/>
      <c r="D393" s="685"/>
      <c r="F393" s="685"/>
    </row>
    <row r="394">
      <c r="B394" s="685"/>
      <c r="C394" s="685"/>
      <c r="D394" s="685"/>
      <c r="F394" s="685"/>
    </row>
    <row r="395">
      <c r="B395" s="685"/>
      <c r="C395" s="685"/>
      <c r="D395" s="685"/>
      <c r="F395" s="685"/>
    </row>
    <row r="396">
      <c r="B396" s="685"/>
      <c r="C396" s="685"/>
      <c r="D396" s="685"/>
      <c r="F396" s="685"/>
    </row>
    <row r="397">
      <c r="B397" s="685"/>
      <c r="C397" s="685"/>
      <c r="D397" s="685"/>
      <c r="F397" s="685"/>
    </row>
    <row r="398">
      <c r="B398" s="685"/>
      <c r="C398" s="685"/>
      <c r="D398" s="685"/>
      <c r="F398" s="685"/>
    </row>
    <row r="399">
      <c r="B399" s="685"/>
      <c r="C399" s="685"/>
      <c r="D399" s="685"/>
      <c r="F399" s="685"/>
    </row>
    <row r="400">
      <c r="B400" s="685"/>
      <c r="C400" s="685"/>
      <c r="D400" s="685"/>
      <c r="F400" s="685"/>
    </row>
    <row r="401">
      <c r="B401" s="685"/>
      <c r="C401" s="685"/>
      <c r="D401" s="685"/>
      <c r="F401" s="685"/>
    </row>
    <row r="402">
      <c r="B402" s="685"/>
      <c r="C402" s="685"/>
      <c r="D402" s="685"/>
      <c r="F402" s="685"/>
    </row>
    <row r="403">
      <c r="B403" s="685"/>
      <c r="C403" s="685"/>
      <c r="D403" s="685"/>
      <c r="F403" s="685"/>
    </row>
    <row r="404">
      <c r="B404" s="685"/>
      <c r="C404" s="685"/>
      <c r="D404" s="685"/>
      <c r="F404" s="685"/>
    </row>
    <row r="405">
      <c r="B405" s="685"/>
      <c r="C405" s="685"/>
      <c r="D405" s="685"/>
      <c r="F405" s="685"/>
    </row>
    <row r="406">
      <c r="B406" s="685"/>
      <c r="C406" s="685"/>
      <c r="D406" s="685"/>
      <c r="F406" s="685"/>
    </row>
    <row r="407">
      <c r="B407" s="685"/>
      <c r="C407" s="685"/>
      <c r="D407" s="685"/>
      <c r="F407" s="685"/>
    </row>
    <row r="408">
      <c r="B408" s="685"/>
      <c r="C408" s="685"/>
      <c r="D408" s="685"/>
      <c r="F408" s="685"/>
    </row>
    <row r="409">
      <c r="B409" s="685"/>
      <c r="C409" s="685"/>
      <c r="D409" s="685"/>
      <c r="F409" s="685"/>
    </row>
    <row r="410">
      <c r="B410" s="685"/>
      <c r="C410" s="685"/>
      <c r="D410" s="685"/>
      <c r="F410" s="685"/>
    </row>
    <row r="411">
      <c r="B411" s="685"/>
      <c r="C411" s="685"/>
      <c r="D411" s="685"/>
      <c r="F411" s="685"/>
    </row>
    <row r="412">
      <c r="B412" s="685"/>
      <c r="C412" s="685"/>
      <c r="D412" s="685"/>
      <c r="F412" s="685"/>
    </row>
    <row r="413">
      <c r="B413" s="685"/>
      <c r="C413" s="685"/>
      <c r="D413" s="685"/>
      <c r="F413" s="685"/>
    </row>
    <row r="414">
      <c r="B414" s="685"/>
      <c r="C414" s="685"/>
      <c r="D414" s="685"/>
      <c r="F414" s="685"/>
    </row>
    <row r="415">
      <c r="B415" s="685"/>
      <c r="C415" s="685"/>
      <c r="D415" s="685"/>
      <c r="F415" s="685"/>
    </row>
    <row r="416">
      <c r="B416" s="685"/>
      <c r="C416" s="685"/>
      <c r="D416" s="685"/>
      <c r="F416" s="685"/>
    </row>
    <row r="417">
      <c r="B417" s="685"/>
      <c r="C417" s="685"/>
      <c r="D417" s="685"/>
      <c r="F417" s="685"/>
    </row>
    <row r="418">
      <c r="B418" s="685"/>
      <c r="C418" s="685"/>
      <c r="D418" s="685"/>
      <c r="F418" s="685"/>
    </row>
    <row r="419">
      <c r="B419" s="685"/>
      <c r="C419" s="685"/>
      <c r="D419" s="685"/>
      <c r="F419" s="685"/>
    </row>
    <row r="420">
      <c r="B420" s="685"/>
      <c r="C420" s="685"/>
      <c r="D420" s="685"/>
      <c r="F420" s="685"/>
    </row>
    <row r="421">
      <c r="B421" s="685"/>
      <c r="C421" s="685"/>
      <c r="D421" s="685"/>
      <c r="F421" s="685"/>
    </row>
    <row r="422">
      <c r="B422" s="685"/>
      <c r="C422" s="685"/>
      <c r="D422" s="685"/>
      <c r="F422" s="685"/>
    </row>
    <row r="423">
      <c r="B423" s="685"/>
      <c r="C423" s="685"/>
      <c r="D423" s="685"/>
      <c r="F423" s="685"/>
    </row>
    <row r="424">
      <c r="B424" s="685"/>
      <c r="C424" s="685"/>
      <c r="D424" s="685"/>
      <c r="F424" s="685"/>
    </row>
    <row r="425">
      <c r="B425" s="685"/>
      <c r="C425" s="685"/>
      <c r="D425" s="685"/>
      <c r="F425" s="685"/>
    </row>
    <row r="426">
      <c r="B426" s="685"/>
      <c r="C426" s="685"/>
      <c r="D426" s="685"/>
      <c r="F426" s="685"/>
    </row>
    <row r="427">
      <c r="B427" s="685"/>
      <c r="C427" s="685"/>
      <c r="D427" s="685"/>
      <c r="F427" s="685"/>
    </row>
    <row r="428">
      <c r="B428" s="685"/>
      <c r="C428" s="685"/>
      <c r="D428" s="685"/>
      <c r="F428" s="685"/>
    </row>
    <row r="429">
      <c r="B429" s="685"/>
      <c r="C429" s="685"/>
      <c r="D429" s="685"/>
      <c r="F429" s="685"/>
    </row>
    <row r="430">
      <c r="B430" s="685"/>
      <c r="C430" s="685"/>
      <c r="D430" s="685"/>
      <c r="F430" s="685"/>
    </row>
    <row r="431">
      <c r="B431" s="685"/>
      <c r="C431" s="685"/>
      <c r="D431" s="685"/>
      <c r="F431" s="685"/>
    </row>
    <row r="432">
      <c r="B432" s="685"/>
      <c r="C432" s="685"/>
      <c r="D432" s="685"/>
      <c r="F432" s="685"/>
    </row>
    <row r="433">
      <c r="B433" s="685"/>
      <c r="C433" s="685"/>
      <c r="D433" s="685"/>
      <c r="F433" s="685"/>
    </row>
    <row r="434">
      <c r="B434" s="685"/>
      <c r="C434" s="685"/>
      <c r="D434" s="685"/>
      <c r="F434" s="685"/>
    </row>
    <row r="435">
      <c r="B435" s="685"/>
      <c r="C435" s="685"/>
      <c r="D435" s="685"/>
      <c r="F435" s="685"/>
    </row>
    <row r="436">
      <c r="B436" s="685"/>
      <c r="C436" s="685"/>
      <c r="D436" s="685"/>
      <c r="F436" s="685"/>
    </row>
    <row r="437">
      <c r="B437" s="685"/>
      <c r="C437" s="685"/>
      <c r="D437" s="685"/>
      <c r="F437" s="685"/>
    </row>
    <row r="438">
      <c r="B438" s="685"/>
      <c r="C438" s="685"/>
      <c r="D438" s="685"/>
      <c r="F438" s="685"/>
    </row>
    <row r="439">
      <c r="B439" s="685"/>
      <c r="C439" s="685"/>
      <c r="D439" s="685"/>
      <c r="F439" s="685"/>
    </row>
    <row r="440">
      <c r="B440" s="685"/>
      <c r="C440" s="685"/>
      <c r="D440" s="685"/>
      <c r="F440" s="685"/>
    </row>
    <row r="441">
      <c r="B441" s="685"/>
      <c r="C441" s="685"/>
      <c r="D441" s="685"/>
      <c r="F441" s="685"/>
    </row>
    <row r="442">
      <c r="B442" s="685"/>
      <c r="C442" s="685"/>
      <c r="D442" s="685"/>
      <c r="F442" s="685"/>
    </row>
    <row r="443">
      <c r="B443" s="685"/>
      <c r="C443" s="685"/>
      <c r="D443" s="685"/>
      <c r="F443" s="685"/>
    </row>
    <row r="444">
      <c r="B444" s="685"/>
      <c r="C444" s="685"/>
      <c r="D444" s="685"/>
      <c r="F444" s="685"/>
    </row>
    <row r="445">
      <c r="B445" s="685"/>
      <c r="C445" s="685"/>
      <c r="D445" s="685"/>
      <c r="F445" s="685"/>
    </row>
    <row r="446">
      <c r="B446" s="685"/>
      <c r="C446" s="685"/>
      <c r="D446" s="685"/>
      <c r="F446" s="685"/>
    </row>
    <row r="447">
      <c r="B447" s="685"/>
      <c r="C447" s="685"/>
      <c r="D447" s="685"/>
      <c r="F447" s="685"/>
    </row>
    <row r="448">
      <c r="B448" s="685"/>
      <c r="C448" s="685"/>
      <c r="D448" s="685"/>
      <c r="F448" s="685"/>
    </row>
    <row r="449">
      <c r="B449" s="685"/>
      <c r="C449" s="685"/>
      <c r="D449" s="685"/>
      <c r="F449" s="685"/>
    </row>
    <row r="450">
      <c r="B450" s="685"/>
      <c r="C450" s="685"/>
      <c r="D450" s="685"/>
      <c r="F450" s="685"/>
    </row>
    <row r="451">
      <c r="B451" s="685"/>
      <c r="C451" s="685"/>
      <c r="D451" s="685"/>
      <c r="F451" s="685"/>
    </row>
    <row r="452">
      <c r="B452" s="685"/>
      <c r="C452" s="685"/>
      <c r="D452" s="685"/>
      <c r="F452" s="685"/>
    </row>
    <row r="453">
      <c r="B453" s="685"/>
      <c r="C453" s="685"/>
      <c r="D453" s="685"/>
      <c r="F453" s="685"/>
    </row>
    <row r="454">
      <c r="B454" s="685"/>
      <c r="C454" s="685"/>
      <c r="D454" s="685"/>
      <c r="F454" s="685"/>
    </row>
    <row r="455">
      <c r="B455" s="685"/>
      <c r="C455" s="685"/>
      <c r="D455" s="685"/>
      <c r="F455" s="685"/>
    </row>
    <row r="456">
      <c r="B456" s="685"/>
      <c r="C456" s="685"/>
      <c r="D456" s="685"/>
      <c r="F456" s="685"/>
    </row>
    <row r="457">
      <c r="B457" s="685"/>
      <c r="C457" s="685"/>
      <c r="D457" s="685"/>
      <c r="F457" s="685"/>
    </row>
    <row r="458">
      <c r="B458" s="685"/>
      <c r="C458" s="685"/>
      <c r="D458" s="685"/>
      <c r="F458" s="685"/>
    </row>
    <row r="459">
      <c r="B459" s="685"/>
      <c r="C459" s="685"/>
      <c r="D459" s="685"/>
      <c r="F459" s="685"/>
    </row>
    <row r="460">
      <c r="B460" s="685"/>
      <c r="C460" s="685"/>
      <c r="D460" s="685"/>
      <c r="F460" s="685"/>
    </row>
    <row r="461">
      <c r="B461" s="685"/>
      <c r="C461" s="685"/>
      <c r="D461" s="685"/>
      <c r="F461" s="685"/>
    </row>
    <row r="462">
      <c r="B462" s="685"/>
      <c r="C462" s="685"/>
      <c r="D462" s="685"/>
      <c r="F462" s="685"/>
    </row>
    <row r="463">
      <c r="B463" s="685"/>
      <c r="C463" s="685"/>
      <c r="D463" s="685"/>
      <c r="F463" s="685"/>
    </row>
    <row r="464">
      <c r="B464" s="685"/>
      <c r="C464" s="685"/>
      <c r="D464" s="685"/>
      <c r="F464" s="685"/>
    </row>
    <row r="465">
      <c r="B465" s="685"/>
      <c r="C465" s="685"/>
      <c r="D465" s="685"/>
      <c r="F465" s="685"/>
    </row>
    <row r="466">
      <c r="B466" s="685"/>
      <c r="C466" s="685"/>
      <c r="D466" s="685"/>
      <c r="F466" s="685"/>
    </row>
    <row r="467">
      <c r="B467" s="685"/>
      <c r="C467" s="685"/>
      <c r="D467" s="685"/>
      <c r="F467" s="685"/>
    </row>
    <row r="468">
      <c r="B468" s="685"/>
      <c r="C468" s="685"/>
      <c r="D468" s="685"/>
      <c r="F468" s="685"/>
    </row>
    <row r="469">
      <c r="B469" s="685"/>
      <c r="C469" s="685"/>
      <c r="D469" s="685"/>
      <c r="F469" s="685"/>
    </row>
    <row r="470">
      <c r="B470" s="685"/>
      <c r="C470" s="685"/>
      <c r="D470" s="685"/>
      <c r="F470" s="685"/>
    </row>
    <row r="471">
      <c r="B471" s="685"/>
      <c r="C471" s="685"/>
      <c r="D471" s="685"/>
      <c r="F471" s="685"/>
    </row>
    <row r="472">
      <c r="B472" s="685"/>
      <c r="C472" s="685"/>
      <c r="D472" s="685"/>
      <c r="F472" s="685"/>
    </row>
    <row r="473">
      <c r="B473" s="685"/>
      <c r="C473" s="685"/>
      <c r="D473" s="685"/>
      <c r="F473" s="685"/>
    </row>
    <row r="474">
      <c r="B474" s="685"/>
      <c r="C474" s="685"/>
      <c r="D474" s="685"/>
      <c r="F474" s="685"/>
    </row>
    <row r="475">
      <c r="B475" s="685"/>
      <c r="C475" s="685"/>
      <c r="D475" s="685"/>
      <c r="F475" s="685"/>
    </row>
    <row r="476">
      <c r="B476" s="685"/>
      <c r="C476" s="685"/>
      <c r="D476" s="685"/>
      <c r="F476" s="685"/>
    </row>
    <row r="477">
      <c r="B477" s="685"/>
      <c r="C477" s="685"/>
      <c r="D477" s="685"/>
      <c r="F477" s="685"/>
    </row>
    <row r="478">
      <c r="B478" s="685"/>
      <c r="C478" s="685"/>
      <c r="D478" s="685"/>
      <c r="F478" s="685"/>
    </row>
    <row r="479">
      <c r="B479" s="685"/>
      <c r="C479" s="685"/>
      <c r="D479" s="685"/>
      <c r="F479" s="685"/>
    </row>
    <row r="480">
      <c r="B480" s="685"/>
      <c r="C480" s="685"/>
      <c r="D480" s="685"/>
      <c r="F480" s="685"/>
    </row>
    <row r="481">
      <c r="B481" s="685"/>
      <c r="C481" s="685"/>
      <c r="D481" s="685"/>
      <c r="F481" s="685"/>
    </row>
    <row r="482">
      <c r="B482" s="685"/>
      <c r="C482" s="685"/>
      <c r="D482" s="685"/>
      <c r="F482" s="685"/>
    </row>
    <row r="483">
      <c r="B483" s="685"/>
      <c r="C483" s="685"/>
      <c r="D483" s="685"/>
      <c r="F483" s="685"/>
    </row>
    <row r="484">
      <c r="B484" s="685"/>
      <c r="C484" s="685"/>
      <c r="D484" s="685"/>
      <c r="F484" s="685"/>
    </row>
    <row r="485">
      <c r="B485" s="685"/>
      <c r="C485" s="685"/>
      <c r="D485" s="685"/>
      <c r="F485" s="685"/>
    </row>
    <row r="486">
      <c r="B486" s="685"/>
      <c r="C486" s="685"/>
      <c r="D486" s="685"/>
      <c r="F486" s="685"/>
    </row>
    <row r="487">
      <c r="B487" s="685"/>
      <c r="C487" s="685"/>
      <c r="D487" s="685"/>
      <c r="F487" s="685"/>
    </row>
    <row r="488">
      <c r="B488" s="685"/>
      <c r="C488" s="685"/>
      <c r="D488" s="685"/>
      <c r="F488" s="685"/>
    </row>
    <row r="489">
      <c r="B489" s="685"/>
      <c r="C489" s="685"/>
      <c r="D489" s="685"/>
      <c r="F489" s="685"/>
    </row>
    <row r="490">
      <c r="B490" s="685"/>
      <c r="C490" s="685"/>
      <c r="D490" s="685"/>
      <c r="F490" s="685"/>
    </row>
    <row r="491">
      <c r="B491" s="685"/>
      <c r="C491" s="685"/>
      <c r="D491" s="685"/>
      <c r="F491" s="685"/>
    </row>
    <row r="492">
      <c r="B492" s="685"/>
      <c r="C492" s="685"/>
      <c r="D492" s="685"/>
      <c r="F492" s="685"/>
    </row>
    <row r="493">
      <c r="B493" s="685"/>
      <c r="C493" s="685"/>
      <c r="D493" s="685"/>
      <c r="F493" s="685"/>
    </row>
    <row r="494">
      <c r="B494" s="685"/>
      <c r="C494" s="685"/>
      <c r="D494" s="685"/>
      <c r="F494" s="685"/>
    </row>
    <row r="495">
      <c r="B495" s="685"/>
      <c r="C495" s="685"/>
      <c r="D495" s="685"/>
      <c r="F495" s="685"/>
    </row>
    <row r="496">
      <c r="B496" s="685"/>
      <c r="C496" s="685"/>
      <c r="D496" s="685"/>
      <c r="F496" s="685"/>
    </row>
    <row r="497">
      <c r="B497" s="685"/>
      <c r="C497" s="685"/>
      <c r="D497" s="685"/>
      <c r="F497" s="685"/>
    </row>
    <row r="498">
      <c r="B498" s="685"/>
      <c r="C498" s="685"/>
      <c r="D498" s="685"/>
      <c r="F498" s="685"/>
    </row>
    <row r="499">
      <c r="B499" s="685"/>
      <c r="C499" s="685"/>
      <c r="D499" s="685"/>
      <c r="F499" s="685"/>
    </row>
    <row r="500">
      <c r="B500" s="685"/>
      <c r="C500" s="685"/>
      <c r="D500" s="685"/>
      <c r="F500" s="685"/>
    </row>
    <row r="501">
      <c r="B501" s="685"/>
      <c r="C501" s="685"/>
      <c r="D501" s="685"/>
      <c r="F501" s="685"/>
    </row>
    <row r="502">
      <c r="B502" s="685"/>
      <c r="C502" s="685"/>
      <c r="D502" s="685"/>
      <c r="F502" s="685"/>
    </row>
    <row r="503">
      <c r="B503" s="685"/>
      <c r="C503" s="685"/>
      <c r="D503" s="685"/>
      <c r="F503" s="685"/>
    </row>
    <row r="504">
      <c r="B504" s="685"/>
      <c r="C504" s="685"/>
      <c r="D504" s="685"/>
      <c r="F504" s="685"/>
    </row>
    <row r="505">
      <c r="B505" s="685"/>
      <c r="C505" s="685"/>
      <c r="D505" s="685"/>
      <c r="F505" s="685"/>
    </row>
    <row r="506">
      <c r="B506" s="685"/>
      <c r="C506" s="685"/>
      <c r="D506" s="685"/>
      <c r="F506" s="685"/>
    </row>
    <row r="507">
      <c r="B507" s="685"/>
      <c r="C507" s="685"/>
      <c r="D507" s="685"/>
      <c r="F507" s="685"/>
    </row>
    <row r="508">
      <c r="B508" s="685"/>
      <c r="C508" s="685"/>
      <c r="D508" s="685"/>
      <c r="F508" s="685"/>
    </row>
    <row r="509">
      <c r="B509" s="685"/>
      <c r="C509" s="685"/>
      <c r="D509" s="685"/>
      <c r="F509" s="685"/>
    </row>
    <row r="510">
      <c r="B510" s="685"/>
      <c r="C510" s="685"/>
      <c r="D510" s="685"/>
      <c r="F510" s="685"/>
    </row>
    <row r="511">
      <c r="B511" s="685"/>
      <c r="C511" s="685"/>
      <c r="D511" s="685"/>
      <c r="F511" s="685"/>
    </row>
    <row r="512">
      <c r="B512" s="685"/>
      <c r="C512" s="685"/>
      <c r="D512" s="685"/>
      <c r="F512" s="685"/>
    </row>
    <row r="513">
      <c r="B513" s="685"/>
      <c r="C513" s="685"/>
      <c r="D513" s="685"/>
      <c r="F513" s="685"/>
    </row>
    <row r="514">
      <c r="B514" s="685"/>
      <c r="C514" s="685"/>
      <c r="D514" s="685"/>
      <c r="F514" s="685"/>
    </row>
    <row r="515">
      <c r="B515" s="685"/>
      <c r="C515" s="685"/>
      <c r="D515" s="685"/>
      <c r="F515" s="685"/>
    </row>
    <row r="516">
      <c r="B516" s="685"/>
      <c r="C516" s="685"/>
      <c r="D516" s="685"/>
      <c r="F516" s="685"/>
    </row>
    <row r="517">
      <c r="B517" s="685"/>
      <c r="C517" s="685"/>
      <c r="D517" s="685"/>
      <c r="F517" s="685"/>
    </row>
    <row r="518">
      <c r="B518" s="685"/>
      <c r="C518" s="685"/>
      <c r="D518" s="685"/>
      <c r="F518" s="685"/>
    </row>
    <row r="519">
      <c r="B519" s="685"/>
      <c r="C519" s="685"/>
      <c r="D519" s="685"/>
      <c r="F519" s="685"/>
    </row>
    <row r="520">
      <c r="B520" s="685"/>
      <c r="C520" s="685"/>
      <c r="D520" s="685"/>
      <c r="F520" s="685"/>
    </row>
    <row r="521">
      <c r="B521" s="685"/>
      <c r="C521" s="685"/>
      <c r="D521" s="685"/>
      <c r="F521" s="685"/>
    </row>
    <row r="522">
      <c r="B522" s="685"/>
      <c r="C522" s="685"/>
      <c r="D522" s="685"/>
      <c r="F522" s="685"/>
    </row>
    <row r="523">
      <c r="B523" s="685"/>
      <c r="C523" s="685"/>
      <c r="D523" s="685"/>
      <c r="F523" s="685"/>
    </row>
    <row r="524">
      <c r="B524" s="685"/>
      <c r="C524" s="685"/>
      <c r="D524" s="685"/>
      <c r="F524" s="685"/>
    </row>
    <row r="525">
      <c r="B525" s="685"/>
      <c r="C525" s="685"/>
      <c r="D525" s="685"/>
      <c r="F525" s="685"/>
    </row>
    <row r="526">
      <c r="B526" s="685"/>
      <c r="C526" s="685"/>
      <c r="D526" s="685"/>
      <c r="F526" s="685"/>
    </row>
    <row r="527">
      <c r="B527" s="685"/>
      <c r="C527" s="685"/>
      <c r="D527" s="685"/>
      <c r="F527" s="685"/>
    </row>
    <row r="528">
      <c r="B528" s="685"/>
      <c r="C528" s="685"/>
      <c r="D528" s="685"/>
      <c r="F528" s="685"/>
    </row>
    <row r="529">
      <c r="B529" s="685"/>
      <c r="C529" s="685"/>
      <c r="D529" s="685"/>
      <c r="F529" s="685"/>
    </row>
    <row r="530">
      <c r="B530" s="685"/>
      <c r="C530" s="685"/>
      <c r="D530" s="685"/>
      <c r="F530" s="685"/>
    </row>
    <row r="531">
      <c r="B531" s="685"/>
      <c r="C531" s="685"/>
      <c r="D531" s="685"/>
      <c r="F531" s="685"/>
    </row>
    <row r="532">
      <c r="B532" s="685"/>
      <c r="C532" s="685"/>
      <c r="D532" s="685"/>
      <c r="F532" s="685"/>
    </row>
    <row r="533">
      <c r="B533" s="685"/>
      <c r="C533" s="685"/>
      <c r="D533" s="685"/>
      <c r="F533" s="685"/>
    </row>
    <row r="534">
      <c r="B534" s="685"/>
      <c r="C534" s="685"/>
      <c r="D534" s="685"/>
      <c r="F534" s="685"/>
    </row>
    <row r="535">
      <c r="B535" s="685"/>
      <c r="C535" s="685"/>
      <c r="D535" s="685"/>
      <c r="F535" s="685"/>
    </row>
    <row r="536">
      <c r="B536" s="685"/>
      <c r="C536" s="685"/>
      <c r="D536" s="685"/>
      <c r="F536" s="685"/>
    </row>
    <row r="537">
      <c r="B537" s="685"/>
      <c r="C537" s="685"/>
      <c r="D537" s="685"/>
      <c r="F537" s="685"/>
    </row>
    <row r="538">
      <c r="B538" s="685"/>
      <c r="C538" s="685"/>
      <c r="D538" s="685"/>
      <c r="F538" s="685"/>
    </row>
    <row r="539">
      <c r="B539" s="685"/>
      <c r="C539" s="685"/>
      <c r="D539" s="685"/>
      <c r="F539" s="685"/>
    </row>
    <row r="540">
      <c r="B540" s="685"/>
      <c r="C540" s="685"/>
      <c r="D540" s="685"/>
      <c r="F540" s="685"/>
    </row>
    <row r="541">
      <c r="B541" s="685"/>
      <c r="C541" s="685"/>
      <c r="D541" s="685"/>
      <c r="F541" s="685"/>
    </row>
    <row r="542">
      <c r="B542" s="685"/>
      <c r="C542" s="685"/>
      <c r="D542" s="685"/>
      <c r="F542" s="685"/>
    </row>
    <row r="543">
      <c r="B543" s="685"/>
      <c r="C543" s="685"/>
      <c r="D543" s="685"/>
      <c r="F543" s="685"/>
    </row>
    <row r="544">
      <c r="B544" s="685"/>
      <c r="C544" s="685"/>
      <c r="D544" s="685"/>
      <c r="F544" s="685"/>
    </row>
    <row r="545">
      <c r="B545" s="685"/>
      <c r="C545" s="685"/>
      <c r="D545" s="685"/>
      <c r="F545" s="685"/>
    </row>
    <row r="546">
      <c r="B546" s="685"/>
      <c r="C546" s="685"/>
      <c r="D546" s="685"/>
      <c r="F546" s="685"/>
    </row>
    <row r="547">
      <c r="B547" s="685"/>
      <c r="C547" s="685"/>
      <c r="D547" s="685"/>
      <c r="F547" s="685"/>
    </row>
    <row r="548">
      <c r="B548" s="685"/>
      <c r="C548" s="685"/>
      <c r="D548" s="685"/>
      <c r="F548" s="685"/>
    </row>
    <row r="549">
      <c r="B549" s="685"/>
      <c r="C549" s="685"/>
      <c r="D549" s="685"/>
      <c r="F549" s="685"/>
    </row>
    <row r="550">
      <c r="B550" s="685"/>
      <c r="C550" s="685"/>
      <c r="D550" s="685"/>
      <c r="F550" s="685"/>
    </row>
    <row r="551">
      <c r="B551" s="685"/>
      <c r="C551" s="685"/>
      <c r="D551" s="685"/>
      <c r="F551" s="685"/>
    </row>
    <row r="552">
      <c r="B552" s="685"/>
      <c r="C552" s="685"/>
      <c r="D552" s="685"/>
      <c r="F552" s="685"/>
    </row>
    <row r="553">
      <c r="B553" s="685"/>
      <c r="C553" s="685"/>
      <c r="D553" s="685"/>
      <c r="F553" s="685"/>
    </row>
    <row r="554">
      <c r="B554" s="685"/>
      <c r="C554" s="685"/>
      <c r="D554" s="685"/>
      <c r="F554" s="685"/>
    </row>
    <row r="555">
      <c r="B555" s="685"/>
      <c r="C555" s="685"/>
      <c r="D555" s="685"/>
      <c r="F555" s="685"/>
    </row>
    <row r="556">
      <c r="B556" s="685"/>
      <c r="C556" s="685"/>
      <c r="D556" s="685"/>
      <c r="F556" s="685"/>
    </row>
    <row r="557">
      <c r="B557" s="685"/>
      <c r="C557" s="685"/>
      <c r="D557" s="685"/>
      <c r="F557" s="685"/>
    </row>
    <row r="558">
      <c r="B558" s="685"/>
      <c r="C558" s="685"/>
      <c r="D558" s="685"/>
      <c r="F558" s="685"/>
    </row>
    <row r="559">
      <c r="B559" s="685"/>
      <c r="C559" s="685"/>
      <c r="D559" s="685"/>
      <c r="F559" s="685"/>
    </row>
    <row r="560">
      <c r="B560" s="685"/>
      <c r="C560" s="685"/>
      <c r="D560" s="685"/>
      <c r="F560" s="685"/>
    </row>
    <row r="561">
      <c r="B561" s="685"/>
      <c r="C561" s="685"/>
      <c r="D561" s="685"/>
      <c r="F561" s="685"/>
    </row>
    <row r="562">
      <c r="B562" s="685"/>
      <c r="C562" s="685"/>
      <c r="D562" s="685"/>
      <c r="F562" s="685"/>
    </row>
    <row r="563">
      <c r="B563" s="685"/>
      <c r="C563" s="685"/>
      <c r="D563" s="685"/>
      <c r="F563" s="685"/>
    </row>
    <row r="564">
      <c r="B564" s="685"/>
      <c r="C564" s="685"/>
      <c r="D564" s="685"/>
      <c r="F564" s="685"/>
    </row>
    <row r="565">
      <c r="B565" s="685"/>
      <c r="C565" s="685"/>
      <c r="D565" s="685"/>
      <c r="F565" s="685"/>
    </row>
    <row r="566">
      <c r="B566" s="685"/>
      <c r="C566" s="685"/>
      <c r="D566" s="685"/>
      <c r="F566" s="685"/>
    </row>
    <row r="567">
      <c r="B567" s="685"/>
      <c r="C567" s="685"/>
      <c r="D567" s="685"/>
      <c r="F567" s="685"/>
    </row>
    <row r="568">
      <c r="B568" s="685"/>
      <c r="C568" s="685"/>
      <c r="D568" s="685"/>
      <c r="F568" s="685"/>
    </row>
    <row r="569">
      <c r="B569" s="685"/>
      <c r="C569" s="685"/>
      <c r="D569" s="685"/>
      <c r="F569" s="685"/>
    </row>
    <row r="570">
      <c r="B570" s="685"/>
      <c r="C570" s="685"/>
      <c r="D570" s="685"/>
      <c r="F570" s="685"/>
    </row>
    <row r="571">
      <c r="B571" s="685"/>
      <c r="C571" s="685"/>
      <c r="D571" s="685"/>
      <c r="F571" s="685"/>
    </row>
    <row r="572">
      <c r="B572" s="685"/>
      <c r="C572" s="685"/>
      <c r="D572" s="685"/>
      <c r="F572" s="685"/>
    </row>
    <row r="573">
      <c r="B573" s="685"/>
      <c r="C573" s="685"/>
      <c r="D573" s="685"/>
      <c r="F573" s="685"/>
    </row>
    <row r="574">
      <c r="B574" s="685"/>
      <c r="C574" s="685"/>
      <c r="D574" s="685"/>
      <c r="F574" s="685"/>
    </row>
    <row r="575">
      <c r="B575" s="685"/>
      <c r="C575" s="685"/>
      <c r="D575" s="685"/>
      <c r="F575" s="685"/>
    </row>
    <row r="576">
      <c r="B576" s="685"/>
      <c r="C576" s="685"/>
      <c r="D576" s="685"/>
      <c r="F576" s="685"/>
    </row>
    <row r="577">
      <c r="B577" s="685"/>
      <c r="C577" s="685"/>
      <c r="D577" s="685"/>
      <c r="F577" s="685"/>
    </row>
    <row r="578">
      <c r="B578" s="685"/>
      <c r="C578" s="685"/>
      <c r="D578" s="685"/>
      <c r="F578" s="685"/>
    </row>
    <row r="579">
      <c r="B579" s="685"/>
      <c r="C579" s="685"/>
      <c r="D579" s="685"/>
      <c r="F579" s="685"/>
    </row>
    <row r="580">
      <c r="B580" s="685"/>
      <c r="C580" s="685"/>
      <c r="D580" s="685"/>
      <c r="F580" s="685"/>
    </row>
    <row r="581">
      <c r="B581" s="685"/>
      <c r="C581" s="685"/>
      <c r="D581" s="685"/>
      <c r="F581" s="685"/>
    </row>
    <row r="582">
      <c r="B582" s="685"/>
      <c r="C582" s="685"/>
      <c r="D582" s="685"/>
      <c r="F582" s="685"/>
    </row>
    <row r="583">
      <c r="B583" s="685"/>
      <c r="C583" s="685"/>
      <c r="D583" s="685"/>
      <c r="F583" s="685"/>
    </row>
    <row r="584">
      <c r="B584" s="685"/>
      <c r="C584" s="685"/>
      <c r="D584" s="685"/>
      <c r="F584" s="685"/>
    </row>
    <row r="585">
      <c r="B585" s="685"/>
      <c r="C585" s="685"/>
      <c r="D585" s="685"/>
      <c r="F585" s="685"/>
    </row>
    <row r="586">
      <c r="B586" s="685"/>
      <c r="C586" s="685"/>
      <c r="D586" s="685"/>
      <c r="F586" s="685"/>
    </row>
    <row r="587">
      <c r="B587" s="685"/>
      <c r="C587" s="685"/>
      <c r="D587" s="685"/>
      <c r="F587" s="685"/>
    </row>
    <row r="588">
      <c r="B588" s="685"/>
      <c r="C588" s="685"/>
      <c r="D588" s="685"/>
      <c r="F588" s="685"/>
    </row>
    <row r="589">
      <c r="B589" s="685"/>
      <c r="C589" s="685"/>
      <c r="D589" s="685"/>
      <c r="F589" s="685"/>
    </row>
    <row r="590">
      <c r="B590" s="685"/>
      <c r="C590" s="685"/>
      <c r="D590" s="685"/>
      <c r="F590" s="685"/>
    </row>
    <row r="591">
      <c r="B591" s="685"/>
      <c r="C591" s="685"/>
      <c r="D591" s="685"/>
      <c r="F591" s="685"/>
    </row>
    <row r="592">
      <c r="B592" s="685"/>
      <c r="C592" s="685"/>
      <c r="D592" s="685"/>
      <c r="F592" s="685"/>
    </row>
    <row r="593">
      <c r="B593" s="685"/>
      <c r="C593" s="685"/>
      <c r="D593" s="685"/>
      <c r="F593" s="685"/>
    </row>
    <row r="594">
      <c r="B594" s="685"/>
      <c r="C594" s="685"/>
      <c r="D594" s="685"/>
      <c r="F594" s="685"/>
    </row>
    <row r="595">
      <c r="B595" s="685"/>
      <c r="C595" s="685"/>
      <c r="D595" s="685"/>
      <c r="F595" s="685"/>
    </row>
    <row r="596">
      <c r="B596" s="685"/>
      <c r="C596" s="685"/>
      <c r="D596" s="685"/>
      <c r="F596" s="685"/>
    </row>
    <row r="597">
      <c r="B597" s="685"/>
      <c r="C597" s="685"/>
      <c r="D597" s="685"/>
      <c r="F597" s="685"/>
    </row>
    <row r="598">
      <c r="B598" s="685"/>
      <c r="C598" s="685"/>
      <c r="D598" s="685"/>
      <c r="F598" s="685"/>
    </row>
    <row r="599">
      <c r="B599" s="685"/>
      <c r="C599" s="685"/>
      <c r="D599" s="685"/>
      <c r="F599" s="685"/>
    </row>
    <row r="600">
      <c r="B600" s="685"/>
      <c r="C600" s="685"/>
      <c r="D600" s="685"/>
      <c r="F600" s="685"/>
    </row>
    <row r="601">
      <c r="B601" s="685"/>
      <c r="C601" s="685"/>
      <c r="D601" s="685"/>
      <c r="F601" s="685"/>
    </row>
    <row r="602">
      <c r="B602" s="685"/>
      <c r="C602" s="685"/>
      <c r="D602" s="685"/>
      <c r="F602" s="685"/>
    </row>
    <row r="603">
      <c r="B603" s="685"/>
      <c r="C603" s="685"/>
      <c r="D603" s="685"/>
      <c r="F603" s="685"/>
    </row>
    <row r="604">
      <c r="B604" s="685"/>
      <c r="C604" s="685"/>
      <c r="D604" s="685"/>
      <c r="F604" s="685"/>
    </row>
    <row r="605">
      <c r="B605" s="685"/>
      <c r="C605" s="685"/>
      <c r="D605" s="685"/>
      <c r="F605" s="685"/>
    </row>
    <row r="606">
      <c r="B606" s="685"/>
      <c r="C606" s="685"/>
      <c r="D606" s="685"/>
      <c r="F606" s="685"/>
    </row>
    <row r="607">
      <c r="B607" s="685"/>
      <c r="C607" s="685"/>
      <c r="D607" s="685"/>
      <c r="F607" s="685"/>
    </row>
    <row r="608">
      <c r="B608" s="685"/>
      <c r="C608" s="685"/>
      <c r="D608" s="685"/>
      <c r="F608" s="685"/>
    </row>
    <row r="609">
      <c r="B609" s="685"/>
      <c r="C609" s="685"/>
      <c r="D609" s="685"/>
      <c r="F609" s="685"/>
    </row>
    <row r="610">
      <c r="B610" s="685"/>
      <c r="C610" s="685"/>
      <c r="D610" s="685"/>
      <c r="F610" s="685"/>
    </row>
    <row r="611">
      <c r="B611" s="685"/>
      <c r="C611" s="685"/>
      <c r="D611" s="685"/>
      <c r="F611" s="685"/>
    </row>
    <row r="612">
      <c r="B612" s="685"/>
      <c r="C612" s="685"/>
      <c r="D612" s="685"/>
      <c r="F612" s="685"/>
    </row>
    <row r="613">
      <c r="B613" s="685"/>
      <c r="C613" s="685"/>
      <c r="D613" s="685"/>
      <c r="F613" s="685"/>
    </row>
    <row r="614">
      <c r="B614" s="685"/>
      <c r="C614" s="685"/>
      <c r="D614" s="685"/>
      <c r="F614" s="685"/>
    </row>
    <row r="615">
      <c r="B615" s="685"/>
      <c r="C615" s="685"/>
      <c r="D615" s="685"/>
      <c r="F615" s="685"/>
    </row>
    <row r="616">
      <c r="B616" s="685"/>
      <c r="C616" s="685"/>
      <c r="D616" s="685"/>
      <c r="F616" s="685"/>
    </row>
    <row r="617">
      <c r="B617" s="685"/>
      <c r="C617" s="685"/>
      <c r="D617" s="685"/>
      <c r="F617" s="685"/>
    </row>
    <row r="618">
      <c r="B618" s="685"/>
      <c r="C618" s="685"/>
      <c r="D618" s="685"/>
      <c r="F618" s="685"/>
    </row>
    <row r="619">
      <c r="B619" s="685"/>
      <c r="C619" s="685"/>
      <c r="D619" s="685"/>
      <c r="F619" s="685"/>
    </row>
    <row r="620">
      <c r="B620" s="685"/>
      <c r="C620" s="685"/>
      <c r="D620" s="685"/>
      <c r="F620" s="685"/>
    </row>
    <row r="621">
      <c r="B621" s="685"/>
      <c r="C621" s="685"/>
      <c r="D621" s="685"/>
      <c r="F621" s="685"/>
    </row>
    <row r="622">
      <c r="B622" s="685"/>
      <c r="C622" s="685"/>
      <c r="D622" s="685"/>
      <c r="F622" s="685"/>
    </row>
    <row r="623">
      <c r="B623" s="685"/>
      <c r="C623" s="685"/>
      <c r="D623" s="685"/>
      <c r="F623" s="685"/>
    </row>
    <row r="624">
      <c r="B624" s="685"/>
      <c r="C624" s="685"/>
      <c r="D624" s="685"/>
      <c r="F624" s="685"/>
    </row>
    <row r="625">
      <c r="B625" s="685"/>
      <c r="C625" s="685"/>
      <c r="D625" s="685"/>
      <c r="F625" s="685"/>
    </row>
    <row r="626">
      <c r="B626" s="685"/>
      <c r="C626" s="685"/>
      <c r="D626" s="685"/>
      <c r="F626" s="685"/>
    </row>
    <row r="627">
      <c r="B627" s="685"/>
      <c r="C627" s="685"/>
      <c r="D627" s="685"/>
      <c r="F627" s="685"/>
    </row>
    <row r="628">
      <c r="B628" s="685"/>
      <c r="C628" s="685"/>
      <c r="D628" s="685"/>
      <c r="F628" s="685"/>
    </row>
    <row r="629">
      <c r="B629" s="685"/>
      <c r="C629" s="685"/>
      <c r="D629" s="685"/>
      <c r="F629" s="685"/>
    </row>
    <row r="630">
      <c r="B630" s="685"/>
      <c r="C630" s="685"/>
      <c r="D630" s="685"/>
      <c r="F630" s="685"/>
    </row>
    <row r="631">
      <c r="B631" s="685"/>
      <c r="C631" s="685"/>
      <c r="D631" s="685"/>
      <c r="F631" s="685"/>
    </row>
    <row r="632">
      <c r="B632" s="685"/>
      <c r="C632" s="685"/>
      <c r="D632" s="685"/>
      <c r="F632" s="685"/>
    </row>
    <row r="633">
      <c r="B633" s="685"/>
      <c r="C633" s="685"/>
      <c r="D633" s="685"/>
      <c r="F633" s="685"/>
    </row>
    <row r="634">
      <c r="B634" s="685"/>
      <c r="C634" s="685"/>
      <c r="D634" s="685"/>
      <c r="F634" s="685"/>
    </row>
    <row r="635">
      <c r="B635" s="685"/>
      <c r="C635" s="685"/>
      <c r="D635" s="685"/>
      <c r="F635" s="685"/>
    </row>
    <row r="636">
      <c r="B636" s="685"/>
      <c r="C636" s="685"/>
      <c r="D636" s="685"/>
      <c r="F636" s="685"/>
    </row>
    <row r="637">
      <c r="B637" s="685"/>
      <c r="C637" s="685"/>
      <c r="D637" s="685"/>
      <c r="F637" s="685"/>
    </row>
    <row r="638">
      <c r="B638" s="685"/>
      <c r="C638" s="685"/>
      <c r="D638" s="685"/>
      <c r="F638" s="685"/>
    </row>
    <row r="639">
      <c r="B639" s="685"/>
      <c r="C639" s="685"/>
      <c r="D639" s="685"/>
      <c r="F639" s="685"/>
    </row>
    <row r="640">
      <c r="B640" s="685"/>
      <c r="C640" s="685"/>
      <c r="D640" s="685"/>
      <c r="F640" s="685"/>
    </row>
    <row r="641">
      <c r="B641" s="685"/>
      <c r="C641" s="685"/>
      <c r="D641" s="685"/>
      <c r="F641" s="685"/>
    </row>
    <row r="642">
      <c r="B642" s="685"/>
      <c r="C642" s="685"/>
      <c r="D642" s="685"/>
      <c r="F642" s="685"/>
    </row>
    <row r="643">
      <c r="B643" s="685"/>
      <c r="C643" s="685"/>
      <c r="D643" s="685"/>
      <c r="F643" s="685"/>
    </row>
    <row r="644">
      <c r="B644" s="685"/>
      <c r="C644" s="685"/>
      <c r="D644" s="685"/>
      <c r="F644" s="685"/>
    </row>
    <row r="645">
      <c r="B645" s="685"/>
      <c r="C645" s="685"/>
      <c r="D645" s="685"/>
      <c r="F645" s="685"/>
    </row>
    <row r="646">
      <c r="B646" s="685"/>
      <c r="C646" s="685"/>
      <c r="D646" s="685"/>
      <c r="F646" s="685"/>
    </row>
    <row r="647">
      <c r="B647" s="685"/>
      <c r="C647" s="685"/>
      <c r="D647" s="685"/>
      <c r="F647" s="685"/>
    </row>
    <row r="648">
      <c r="B648" s="685"/>
      <c r="C648" s="685"/>
      <c r="D648" s="685"/>
      <c r="F648" s="685"/>
    </row>
    <row r="649">
      <c r="B649" s="685"/>
      <c r="C649" s="685"/>
      <c r="D649" s="685"/>
      <c r="F649" s="685"/>
    </row>
    <row r="650">
      <c r="B650" s="685"/>
      <c r="C650" s="685"/>
      <c r="D650" s="685"/>
      <c r="F650" s="685"/>
    </row>
    <row r="651">
      <c r="B651" s="685"/>
      <c r="C651" s="685"/>
      <c r="D651" s="685"/>
      <c r="F651" s="685"/>
    </row>
    <row r="652">
      <c r="B652" s="685"/>
      <c r="C652" s="685"/>
      <c r="D652" s="685"/>
      <c r="F652" s="685"/>
    </row>
    <row r="653">
      <c r="B653" s="685"/>
      <c r="C653" s="685"/>
      <c r="D653" s="685"/>
      <c r="F653" s="685"/>
    </row>
    <row r="654">
      <c r="B654" s="685"/>
      <c r="C654" s="685"/>
      <c r="D654" s="685"/>
      <c r="F654" s="685"/>
    </row>
    <row r="655">
      <c r="B655" s="685"/>
      <c r="C655" s="685"/>
      <c r="D655" s="685"/>
      <c r="F655" s="685"/>
    </row>
    <row r="656">
      <c r="B656" s="685"/>
      <c r="C656" s="685"/>
      <c r="D656" s="685"/>
      <c r="F656" s="685"/>
    </row>
    <row r="657">
      <c r="B657" s="685"/>
      <c r="C657" s="685"/>
      <c r="D657" s="685"/>
      <c r="F657" s="685"/>
    </row>
    <row r="658">
      <c r="B658" s="685"/>
      <c r="C658" s="685"/>
      <c r="D658" s="685"/>
      <c r="F658" s="685"/>
    </row>
    <row r="659">
      <c r="B659" s="685"/>
      <c r="C659" s="685"/>
      <c r="D659" s="685"/>
      <c r="F659" s="685"/>
    </row>
    <row r="660">
      <c r="B660" s="685"/>
      <c r="C660" s="685"/>
      <c r="D660" s="685"/>
      <c r="F660" s="685"/>
    </row>
    <row r="661">
      <c r="B661" s="685"/>
      <c r="C661" s="685"/>
      <c r="D661" s="685"/>
      <c r="F661" s="685"/>
    </row>
    <row r="662">
      <c r="B662" s="685"/>
      <c r="C662" s="685"/>
      <c r="D662" s="685"/>
      <c r="F662" s="685"/>
    </row>
    <row r="663">
      <c r="B663" s="685"/>
      <c r="C663" s="685"/>
      <c r="D663" s="685"/>
      <c r="F663" s="685"/>
    </row>
    <row r="664">
      <c r="B664" s="685"/>
      <c r="C664" s="685"/>
      <c r="D664" s="685"/>
      <c r="F664" s="685"/>
    </row>
    <row r="665">
      <c r="B665" s="685"/>
      <c r="C665" s="685"/>
      <c r="D665" s="685"/>
      <c r="F665" s="685"/>
    </row>
    <row r="666">
      <c r="B666" s="685"/>
      <c r="C666" s="685"/>
      <c r="D666" s="685"/>
      <c r="F666" s="685"/>
    </row>
    <row r="667">
      <c r="B667" s="685"/>
      <c r="C667" s="685"/>
      <c r="D667" s="685"/>
      <c r="F667" s="685"/>
    </row>
    <row r="668">
      <c r="B668" s="685"/>
      <c r="C668" s="685"/>
      <c r="D668" s="685"/>
      <c r="F668" s="685"/>
    </row>
    <row r="669">
      <c r="B669" s="685"/>
      <c r="C669" s="685"/>
      <c r="D669" s="685"/>
      <c r="F669" s="685"/>
    </row>
    <row r="670">
      <c r="B670" s="685"/>
      <c r="C670" s="685"/>
      <c r="D670" s="685"/>
      <c r="F670" s="685"/>
    </row>
    <row r="671">
      <c r="B671" s="685"/>
      <c r="C671" s="685"/>
      <c r="D671" s="685"/>
      <c r="F671" s="685"/>
    </row>
    <row r="672">
      <c r="B672" s="685"/>
      <c r="C672" s="685"/>
      <c r="D672" s="685"/>
      <c r="F672" s="685"/>
    </row>
    <row r="673">
      <c r="B673" s="685"/>
      <c r="C673" s="685"/>
      <c r="D673" s="685"/>
      <c r="F673" s="685"/>
    </row>
    <row r="674">
      <c r="B674" s="685"/>
      <c r="C674" s="685"/>
      <c r="D674" s="685"/>
      <c r="F674" s="685"/>
    </row>
    <row r="675">
      <c r="B675" s="685"/>
      <c r="C675" s="685"/>
      <c r="D675" s="685"/>
      <c r="F675" s="685"/>
    </row>
    <row r="676">
      <c r="B676" s="685"/>
      <c r="C676" s="685"/>
      <c r="D676" s="685"/>
      <c r="F676" s="685"/>
    </row>
    <row r="677">
      <c r="B677" s="685"/>
      <c r="C677" s="685"/>
      <c r="D677" s="685"/>
      <c r="F677" s="685"/>
    </row>
    <row r="678">
      <c r="B678" s="685"/>
      <c r="C678" s="685"/>
      <c r="D678" s="685"/>
      <c r="F678" s="685"/>
    </row>
    <row r="679">
      <c r="B679" s="685"/>
      <c r="C679" s="685"/>
      <c r="D679" s="685"/>
      <c r="F679" s="685"/>
    </row>
    <row r="680">
      <c r="B680" s="685"/>
      <c r="C680" s="685"/>
      <c r="D680" s="685"/>
      <c r="F680" s="685"/>
    </row>
    <row r="681">
      <c r="B681" s="685"/>
      <c r="C681" s="685"/>
      <c r="D681" s="685"/>
      <c r="F681" s="685"/>
    </row>
    <row r="682">
      <c r="B682" s="685"/>
      <c r="C682" s="685"/>
      <c r="D682" s="685"/>
      <c r="F682" s="685"/>
    </row>
    <row r="683">
      <c r="B683" s="685"/>
      <c r="C683" s="685"/>
      <c r="D683" s="685"/>
      <c r="F683" s="685"/>
    </row>
    <row r="684">
      <c r="B684" s="685"/>
      <c r="C684" s="685"/>
      <c r="D684" s="685"/>
      <c r="F684" s="685"/>
    </row>
    <row r="685">
      <c r="B685" s="685"/>
      <c r="C685" s="685"/>
      <c r="D685" s="685"/>
      <c r="F685" s="685"/>
    </row>
    <row r="686">
      <c r="B686" s="685"/>
      <c r="C686" s="685"/>
      <c r="D686" s="685"/>
      <c r="F686" s="685"/>
    </row>
    <row r="687">
      <c r="B687" s="685"/>
      <c r="C687" s="685"/>
      <c r="D687" s="685"/>
      <c r="F687" s="685"/>
    </row>
    <row r="688">
      <c r="B688" s="685"/>
      <c r="C688" s="685"/>
      <c r="D688" s="685"/>
      <c r="F688" s="685"/>
    </row>
    <row r="689">
      <c r="B689" s="685"/>
      <c r="C689" s="685"/>
      <c r="D689" s="685"/>
      <c r="F689" s="685"/>
    </row>
    <row r="690">
      <c r="B690" s="685"/>
      <c r="C690" s="685"/>
      <c r="D690" s="685"/>
      <c r="F690" s="685"/>
    </row>
    <row r="691">
      <c r="B691" s="685"/>
      <c r="C691" s="685"/>
      <c r="D691" s="685"/>
      <c r="F691" s="685"/>
    </row>
    <row r="692">
      <c r="B692" s="685"/>
      <c r="C692" s="685"/>
      <c r="D692" s="685"/>
      <c r="F692" s="685"/>
    </row>
    <row r="693">
      <c r="B693" s="685"/>
      <c r="C693" s="685"/>
      <c r="D693" s="685"/>
      <c r="F693" s="685"/>
    </row>
    <row r="694">
      <c r="B694" s="685"/>
      <c r="C694" s="685"/>
      <c r="D694" s="685"/>
      <c r="F694" s="685"/>
    </row>
    <row r="695">
      <c r="B695" s="685"/>
      <c r="C695" s="685"/>
      <c r="D695" s="685"/>
      <c r="F695" s="685"/>
    </row>
    <row r="696">
      <c r="B696" s="685"/>
      <c r="C696" s="685"/>
      <c r="D696" s="685"/>
      <c r="F696" s="685"/>
    </row>
    <row r="697">
      <c r="B697" s="685"/>
      <c r="C697" s="685"/>
      <c r="D697" s="685"/>
      <c r="F697" s="685"/>
    </row>
    <row r="698">
      <c r="B698" s="685"/>
      <c r="C698" s="685"/>
      <c r="D698" s="685"/>
      <c r="F698" s="685"/>
    </row>
    <row r="699">
      <c r="B699" s="685"/>
      <c r="C699" s="685"/>
      <c r="D699" s="685"/>
      <c r="F699" s="685"/>
    </row>
    <row r="700">
      <c r="B700" s="685"/>
      <c r="C700" s="685"/>
      <c r="D700" s="685"/>
      <c r="F700" s="685"/>
    </row>
    <row r="701">
      <c r="B701" s="685"/>
      <c r="C701" s="685"/>
      <c r="D701" s="685"/>
      <c r="F701" s="685"/>
    </row>
    <row r="702">
      <c r="B702" s="685"/>
      <c r="C702" s="685"/>
      <c r="D702" s="685"/>
      <c r="F702" s="685"/>
    </row>
    <row r="703">
      <c r="B703" s="685"/>
      <c r="C703" s="685"/>
      <c r="D703" s="685"/>
      <c r="F703" s="685"/>
    </row>
    <row r="704">
      <c r="B704" s="685"/>
      <c r="C704" s="685"/>
      <c r="D704" s="685"/>
      <c r="F704" s="685"/>
    </row>
    <row r="705">
      <c r="B705" s="685"/>
      <c r="C705" s="685"/>
      <c r="D705" s="685"/>
      <c r="F705" s="685"/>
    </row>
    <row r="706">
      <c r="B706" s="685"/>
      <c r="C706" s="685"/>
      <c r="D706" s="685"/>
      <c r="F706" s="685"/>
    </row>
    <row r="707">
      <c r="B707" s="685"/>
      <c r="C707" s="685"/>
      <c r="D707" s="685"/>
      <c r="F707" s="685"/>
    </row>
    <row r="708">
      <c r="B708" s="685"/>
      <c r="C708" s="685"/>
      <c r="D708" s="685"/>
      <c r="F708" s="685"/>
    </row>
    <row r="709">
      <c r="B709" s="685"/>
      <c r="C709" s="685"/>
      <c r="D709" s="685"/>
      <c r="F709" s="685"/>
    </row>
    <row r="710">
      <c r="B710" s="685"/>
      <c r="C710" s="685"/>
      <c r="D710" s="685"/>
      <c r="F710" s="685"/>
    </row>
    <row r="711">
      <c r="B711" s="685"/>
      <c r="C711" s="685"/>
      <c r="D711" s="685"/>
      <c r="F711" s="685"/>
    </row>
    <row r="712">
      <c r="B712" s="685"/>
      <c r="C712" s="685"/>
      <c r="D712" s="685"/>
      <c r="F712" s="685"/>
    </row>
    <row r="713">
      <c r="B713" s="685"/>
      <c r="C713" s="685"/>
      <c r="D713" s="685"/>
      <c r="F713" s="685"/>
    </row>
    <row r="714">
      <c r="B714" s="685"/>
      <c r="C714" s="685"/>
      <c r="D714" s="685"/>
      <c r="F714" s="685"/>
    </row>
    <row r="715">
      <c r="B715" s="685"/>
      <c r="C715" s="685"/>
      <c r="D715" s="685"/>
      <c r="F715" s="685"/>
    </row>
    <row r="716">
      <c r="B716" s="685"/>
      <c r="C716" s="685"/>
      <c r="D716" s="685"/>
      <c r="F716" s="685"/>
    </row>
    <row r="717">
      <c r="B717" s="685"/>
      <c r="C717" s="685"/>
      <c r="D717" s="685"/>
      <c r="F717" s="685"/>
    </row>
    <row r="718">
      <c r="B718" s="685"/>
      <c r="C718" s="685"/>
      <c r="D718" s="685"/>
      <c r="F718" s="685"/>
    </row>
    <row r="719">
      <c r="B719" s="685"/>
      <c r="C719" s="685"/>
      <c r="D719" s="685"/>
      <c r="F719" s="685"/>
    </row>
    <row r="720">
      <c r="B720" s="685"/>
      <c r="C720" s="685"/>
      <c r="D720" s="685"/>
      <c r="F720" s="685"/>
    </row>
    <row r="721">
      <c r="B721" s="685"/>
      <c r="C721" s="685"/>
      <c r="D721" s="685"/>
      <c r="F721" s="685"/>
    </row>
    <row r="722">
      <c r="B722" s="685"/>
      <c r="C722" s="685"/>
      <c r="D722" s="685"/>
      <c r="F722" s="685"/>
    </row>
    <row r="723">
      <c r="B723" s="685"/>
      <c r="C723" s="685"/>
      <c r="D723" s="685"/>
      <c r="F723" s="685"/>
    </row>
    <row r="724">
      <c r="B724" s="685"/>
      <c r="C724" s="685"/>
      <c r="D724" s="685"/>
      <c r="F724" s="685"/>
    </row>
    <row r="725">
      <c r="B725" s="685"/>
      <c r="C725" s="685"/>
      <c r="D725" s="685"/>
      <c r="F725" s="685"/>
    </row>
    <row r="726">
      <c r="B726" s="685"/>
      <c r="C726" s="685"/>
      <c r="D726" s="685"/>
      <c r="F726" s="685"/>
    </row>
    <row r="727">
      <c r="B727" s="685"/>
      <c r="C727" s="685"/>
      <c r="D727" s="685"/>
      <c r="F727" s="685"/>
    </row>
    <row r="728">
      <c r="B728" s="685"/>
      <c r="C728" s="685"/>
      <c r="D728" s="685"/>
      <c r="F728" s="685"/>
    </row>
    <row r="729">
      <c r="B729" s="685"/>
      <c r="C729" s="685"/>
      <c r="D729" s="685"/>
      <c r="F729" s="685"/>
    </row>
    <row r="730">
      <c r="B730" s="685"/>
      <c r="C730" s="685"/>
      <c r="D730" s="685"/>
      <c r="F730" s="685"/>
    </row>
    <row r="731">
      <c r="B731" s="685"/>
      <c r="C731" s="685"/>
      <c r="D731" s="685"/>
      <c r="F731" s="685"/>
    </row>
    <row r="732">
      <c r="B732" s="685"/>
      <c r="C732" s="685"/>
      <c r="D732" s="685"/>
      <c r="F732" s="685"/>
    </row>
    <row r="733">
      <c r="B733" s="685"/>
      <c r="C733" s="685"/>
      <c r="D733" s="685"/>
      <c r="F733" s="685"/>
    </row>
    <row r="734">
      <c r="B734" s="685"/>
      <c r="C734" s="685"/>
      <c r="D734" s="685"/>
      <c r="F734" s="685"/>
    </row>
    <row r="735">
      <c r="B735" s="685"/>
      <c r="C735" s="685"/>
      <c r="D735" s="685"/>
      <c r="F735" s="685"/>
    </row>
    <row r="736">
      <c r="B736" s="685"/>
      <c r="C736" s="685"/>
      <c r="D736" s="685"/>
      <c r="F736" s="685"/>
    </row>
    <row r="737">
      <c r="B737" s="685"/>
      <c r="C737" s="685"/>
      <c r="D737" s="685"/>
      <c r="F737" s="685"/>
    </row>
    <row r="738">
      <c r="B738" s="685"/>
      <c r="C738" s="685"/>
      <c r="D738" s="685"/>
      <c r="F738" s="685"/>
    </row>
    <row r="739">
      <c r="B739" s="685"/>
      <c r="C739" s="685"/>
      <c r="D739" s="685"/>
      <c r="F739" s="685"/>
    </row>
    <row r="740">
      <c r="B740" s="685"/>
      <c r="C740" s="685"/>
      <c r="D740" s="685"/>
      <c r="F740" s="685"/>
    </row>
    <row r="741">
      <c r="B741" s="685"/>
      <c r="C741" s="685"/>
      <c r="D741" s="685"/>
      <c r="F741" s="685"/>
    </row>
    <row r="742">
      <c r="B742" s="685"/>
      <c r="C742" s="685"/>
      <c r="D742" s="685"/>
      <c r="F742" s="685"/>
    </row>
    <row r="743">
      <c r="B743" s="685"/>
      <c r="C743" s="685"/>
      <c r="D743" s="685"/>
      <c r="F743" s="685"/>
    </row>
    <row r="744">
      <c r="B744" s="685"/>
      <c r="C744" s="685"/>
      <c r="D744" s="685"/>
      <c r="F744" s="685"/>
    </row>
    <row r="745">
      <c r="B745" s="685"/>
      <c r="C745" s="685"/>
      <c r="D745" s="685"/>
      <c r="F745" s="685"/>
    </row>
    <row r="746">
      <c r="B746" s="685"/>
      <c r="C746" s="685"/>
      <c r="D746" s="685"/>
      <c r="F746" s="685"/>
    </row>
    <row r="747">
      <c r="B747" s="685"/>
      <c r="C747" s="685"/>
      <c r="D747" s="685"/>
      <c r="F747" s="685"/>
    </row>
    <row r="748">
      <c r="B748" s="685"/>
      <c r="C748" s="685"/>
      <c r="D748" s="685"/>
      <c r="F748" s="685"/>
    </row>
    <row r="749">
      <c r="B749" s="685"/>
      <c r="C749" s="685"/>
      <c r="D749" s="685"/>
      <c r="F749" s="685"/>
    </row>
    <row r="750">
      <c r="B750" s="685"/>
      <c r="C750" s="685"/>
      <c r="D750" s="685"/>
      <c r="F750" s="685"/>
    </row>
    <row r="751">
      <c r="B751" s="685"/>
      <c r="C751" s="685"/>
      <c r="D751" s="685"/>
      <c r="F751" s="685"/>
    </row>
    <row r="752">
      <c r="B752" s="685"/>
      <c r="C752" s="685"/>
      <c r="D752" s="685"/>
      <c r="F752" s="685"/>
    </row>
    <row r="753">
      <c r="B753" s="685"/>
      <c r="C753" s="685"/>
      <c r="D753" s="685"/>
      <c r="F753" s="685"/>
    </row>
    <row r="754">
      <c r="B754" s="685"/>
      <c r="C754" s="685"/>
      <c r="D754" s="685"/>
      <c r="F754" s="685"/>
    </row>
    <row r="755">
      <c r="B755" s="685"/>
      <c r="C755" s="685"/>
      <c r="D755" s="685"/>
      <c r="F755" s="685"/>
    </row>
    <row r="756">
      <c r="B756" s="685"/>
      <c r="C756" s="685"/>
      <c r="D756" s="685"/>
      <c r="F756" s="685"/>
    </row>
    <row r="757">
      <c r="B757" s="685"/>
      <c r="C757" s="685"/>
      <c r="D757" s="685"/>
      <c r="F757" s="685"/>
    </row>
    <row r="758">
      <c r="B758" s="685"/>
      <c r="C758" s="685"/>
      <c r="D758" s="685"/>
      <c r="F758" s="685"/>
    </row>
    <row r="759">
      <c r="B759" s="685"/>
      <c r="C759" s="685"/>
      <c r="D759" s="685"/>
      <c r="F759" s="685"/>
    </row>
    <row r="760">
      <c r="B760" s="685"/>
      <c r="C760" s="685"/>
      <c r="D760" s="685"/>
      <c r="F760" s="685"/>
    </row>
    <row r="761">
      <c r="B761" s="685"/>
      <c r="C761" s="685"/>
      <c r="D761" s="685"/>
      <c r="F761" s="685"/>
    </row>
    <row r="762">
      <c r="B762" s="685"/>
      <c r="C762" s="685"/>
      <c r="D762" s="685"/>
      <c r="F762" s="685"/>
    </row>
    <row r="763">
      <c r="B763" s="685"/>
      <c r="C763" s="685"/>
      <c r="D763" s="685"/>
      <c r="F763" s="685"/>
    </row>
    <row r="764">
      <c r="B764" s="685"/>
      <c r="C764" s="685"/>
      <c r="D764" s="685"/>
      <c r="F764" s="685"/>
    </row>
    <row r="765">
      <c r="B765" s="685"/>
      <c r="C765" s="685"/>
      <c r="D765" s="685"/>
      <c r="F765" s="685"/>
    </row>
    <row r="766">
      <c r="B766" s="685"/>
      <c r="C766" s="685"/>
      <c r="D766" s="685"/>
      <c r="F766" s="685"/>
    </row>
    <row r="767">
      <c r="B767" s="685"/>
      <c r="C767" s="685"/>
      <c r="D767" s="685"/>
      <c r="F767" s="685"/>
    </row>
    <row r="768">
      <c r="B768" s="685"/>
      <c r="C768" s="685"/>
      <c r="D768" s="685"/>
      <c r="F768" s="685"/>
    </row>
    <row r="769">
      <c r="B769" s="685"/>
      <c r="C769" s="685"/>
      <c r="D769" s="685"/>
      <c r="F769" s="685"/>
    </row>
    <row r="770">
      <c r="B770" s="685"/>
      <c r="C770" s="685"/>
      <c r="D770" s="685"/>
      <c r="F770" s="685"/>
    </row>
    <row r="771">
      <c r="B771" s="685"/>
      <c r="C771" s="685"/>
      <c r="D771" s="685"/>
      <c r="F771" s="685"/>
    </row>
    <row r="772">
      <c r="B772" s="685"/>
      <c r="C772" s="685"/>
      <c r="D772" s="685"/>
      <c r="F772" s="685"/>
    </row>
    <row r="773">
      <c r="B773" s="685"/>
      <c r="C773" s="685"/>
      <c r="D773" s="685"/>
      <c r="F773" s="685"/>
    </row>
    <row r="774">
      <c r="B774" s="685"/>
      <c r="C774" s="685"/>
      <c r="D774" s="685"/>
      <c r="F774" s="685"/>
    </row>
    <row r="775">
      <c r="B775" s="685"/>
      <c r="C775" s="685"/>
      <c r="D775" s="685"/>
      <c r="F775" s="685"/>
    </row>
    <row r="776">
      <c r="B776" s="685"/>
      <c r="C776" s="685"/>
      <c r="D776" s="685"/>
      <c r="F776" s="685"/>
    </row>
    <row r="777">
      <c r="B777" s="685"/>
      <c r="C777" s="685"/>
      <c r="D777" s="685"/>
      <c r="F777" s="685"/>
    </row>
    <row r="778">
      <c r="B778" s="685"/>
      <c r="C778" s="685"/>
      <c r="D778" s="685"/>
      <c r="F778" s="685"/>
    </row>
    <row r="779">
      <c r="B779" s="685"/>
      <c r="C779" s="685"/>
      <c r="D779" s="685"/>
      <c r="F779" s="685"/>
    </row>
    <row r="780">
      <c r="B780" s="685"/>
      <c r="C780" s="685"/>
      <c r="D780" s="685"/>
      <c r="F780" s="685"/>
    </row>
    <row r="781">
      <c r="B781" s="685"/>
      <c r="C781" s="685"/>
      <c r="D781" s="685"/>
      <c r="F781" s="685"/>
    </row>
    <row r="782">
      <c r="B782" s="685"/>
      <c r="C782" s="685"/>
      <c r="D782" s="685"/>
      <c r="F782" s="685"/>
    </row>
    <row r="783">
      <c r="B783" s="685"/>
      <c r="C783" s="685"/>
      <c r="D783" s="685"/>
      <c r="F783" s="685"/>
    </row>
    <row r="784">
      <c r="B784" s="685"/>
      <c r="C784" s="685"/>
      <c r="D784" s="685"/>
      <c r="F784" s="685"/>
    </row>
    <row r="785">
      <c r="B785" s="685"/>
      <c r="C785" s="685"/>
      <c r="D785" s="685"/>
      <c r="F785" s="685"/>
    </row>
    <row r="786">
      <c r="B786" s="685"/>
      <c r="C786" s="685"/>
      <c r="D786" s="685"/>
      <c r="F786" s="685"/>
    </row>
    <row r="787">
      <c r="B787" s="685"/>
      <c r="C787" s="685"/>
      <c r="D787" s="685"/>
      <c r="F787" s="685"/>
    </row>
    <row r="788">
      <c r="B788" s="685"/>
      <c r="C788" s="685"/>
      <c r="D788" s="685"/>
      <c r="F788" s="685"/>
    </row>
    <row r="789">
      <c r="B789" s="685"/>
      <c r="C789" s="685"/>
      <c r="D789" s="685"/>
      <c r="F789" s="685"/>
    </row>
    <row r="790">
      <c r="B790" s="685"/>
      <c r="C790" s="685"/>
      <c r="D790" s="685"/>
      <c r="F790" s="685"/>
    </row>
    <row r="791">
      <c r="B791" s="685"/>
      <c r="C791" s="685"/>
      <c r="D791" s="685"/>
      <c r="F791" s="685"/>
    </row>
    <row r="792">
      <c r="B792" s="685"/>
      <c r="C792" s="685"/>
      <c r="D792" s="685"/>
      <c r="F792" s="685"/>
    </row>
    <row r="793">
      <c r="B793" s="685"/>
      <c r="C793" s="685"/>
      <c r="D793" s="685"/>
      <c r="F793" s="685"/>
    </row>
    <row r="794">
      <c r="B794" s="685"/>
      <c r="C794" s="685"/>
      <c r="D794" s="685"/>
      <c r="F794" s="685"/>
    </row>
    <row r="795">
      <c r="B795" s="685"/>
      <c r="C795" s="685"/>
      <c r="D795" s="685"/>
      <c r="F795" s="685"/>
    </row>
    <row r="796">
      <c r="B796" s="685"/>
      <c r="C796" s="685"/>
      <c r="D796" s="685"/>
      <c r="F796" s="685"/>
    </row>
    <row r="797">
      <c r="B797" s="685"/>
      <c r="C797" s="685"/>
      <c r="D797" s="685"/>
      <c r="F797" s="685"/>
    </row>
    <row r="798">
      <c r="B798" s="685"/>
      <c r="C798" s="685"/>
      <c r="D798" s="685"/>
      <c r="F798" s="685"/>
    </row>
    <row r="799">
      <c r="B799" s="685"/>
      <c r="C799" s="685"/>
      <c r="D799" s="685"/>
      <c r="F799" s="685"/>
    </row>
    <row r="800">
      <c r="B800" s="685"/>
      <c r="C800" s="685"/>
      <c r="D800" s="685"/>
      <c r="F800" s="685"/>
    </row>
    <row r="801">
      <c r="B801" s="685"/>
      <c r="C801" s="685"/>
      <c r="D801" s="685"/>
      <c r="F801" s="685"/>
    </row>
    <row r="802">
      <c r="B802" s="685"/>
      <c r="C802" s="685"/>
      <c r="D802" s="685"/>
      <c r="F802" s="685"/>
    </row>
    <row r="803">
      <c r="B803" s="685"/>
      <c r="C803" s="685"/>
      <c r="D803" s="685"/>
      <c r="F803" s="685"/>
    </row>
    <row r="804">
      <c r="B804" s="685"/>
      <c r="C804" s="685"/>
      <c r="D804" s="685"/>
      <c r="F804" s="685"/>
    </row>
    <row r="805">
      <c r="B805" s="685"/>
      <c r="C805" s="685"/>
      <c r="D805" s="685"/>
      <c r="F805" s="685"/>
    </row>
    <row r="806">
      <c r="B806" s="685"/>
      <c r="C806" s="685"/>
      <c r="D806" s="685"/>
      <c r="F806" s="685"/>
    </row>
    <row r="807">
      <c r="B807" s="685"/>
      <c r="C807" s="685"/>
      <c r="D807" s="685"/>
      <c r="F807" s="685"/>
    </row>
    <row r="808">
      <c r="B808" s="685"/>
      <c r="C808" s="685"/>
      <c r="D808" s="685"/>
      <c r="F808" s="685"/>
    </row>
    <row r="809">
      <c r="B809" s="685"/>
      <c r="C809" s="685"/>
      <c r="D809" s="685"/>
      <c r="F809" s="685"/>
    </row>
    <row r="810">
      <c r="B810" s="685"/>
      <c r="C810" s="685"/>
      <c r="D810" s="685"/>
      <c r="F810" s="685"/>
    </row>
    <row r="811">
      <c r="B811" s="685"/>
      <c r="C811" s="685"/>
      <c r="D811" s="685"/>
      <c r="F811" s="685"/>
    </row>
    <row r="812">
      <c r="B812" s="685"/>
      <c r="C812" s="685"/>
      <c r="D812" s="685"/>
      <c r="F812" s="685"/>
    </row>
    <row r="813">
      <c r="B813" s="685"/>
      <c r="C813" s="685"/>
      <c r="D813" s="685"/>
      <c r="F813" s="685"/>
    </row>
    <row r="814">
      <c r="B814" s="685"/>
      <c r="C814" s="685"/>
      <c r="D814" s="685"/>
      <c r="F814" s="685"/>
    </row>
    <row r="815">
      <c r="B815" s="685"/>
      <c r="C815" s="685"/>
      <c r="D815" s="685"/>
      <c r="F815" s="685"/>
    </row>
    <row r="816">
      <c r="B816" s="685"/>
      <c r="C816" s="685"/>
      <c r="D816" s="685"/>
      <c r="F816" s="685"/>
    </row>
    <row r="817">
      <c r="B817" s="685"/>
      <c r="C817" s="685"/>
      <c r="D817" s="685"/>
      <c r="F817" s="685"/>
    </row>
    <row r="818">
      <c r="B818" s="685"/>
      <c r="C818" s="685"/>
      <c r="D818" s="685"/>
      <c r="F818" s="685"/>
    </row>
    <row r="819">
      <c r="B819" s="685"/>
      <c r="C819" s="685"/>
      <c r="D819" s="685"/>
      <c r="F819" s="685"/>
    </row>
    <row r="820">
      <c r="B820" s="685"/>
      <c r="C820" s="685"/>
      <c r="D820" s="685"/>
      <c r="F820" s="685"/>
    </row>
    <row r="821">
      <c r="B821" s="685"/>
      <c r="C821" s="685"/>
      <c r="D821" s="685"/>
      <c r="F821" s="685"/>
    </row>
    <row r="822">
      <c r="B822" s="685"/>
      <c r="C822" s="685"/>
      <c r="D822" s="685"/>
      <c r="F822" s="685"/>
    </row>
    <row r="823">
      <c r="B823" s="685"/>
      <c r="C823" s="685"/>
      <c r="D823" s="685"/>
      <c r="F823" s="685"/>
    </row>
    <row r="824">
      <c r="B824" s="685"/>
      <c r="C824" s="685"/>
      <c r="D824" s="685"/>
      <c r="F824" s="685"/>
    </row>
    <row r="825">
      <c r="B825" s="685"/>
      <c r="C825" s="685"/>
      <c r="D825" s="685"/>
      <c r="F825" s="685"/>
    </row>
    <row r="826">
      <c r="B826" s="685"/>
      <c r="C826" s="685"/>
      <c r="D826" s="685"/>
      <c r="F826" s="685"/>
    </row>
    <row r="827">
      <c r="B827" s="685"/>
      <c r="C827" s="685"/>
      <c r="D827" s="685"/>
      <c r="F827" s="685"/>
    </row>
    <row r="828">
      <c r="B828" s="685"/>
      <c r="C828" s="685"/>
      <c r="D828" s="685"/>
      <c r="F828" s="685"/>
    </row>
    <row r="829">
      <c r="B829" s="685"/>
      <c r="C829" s="685"/>
      <c r="D829" s="685"/>
      <c r="F829" s="685"/>
    </row>
    <row r="830">
      <c r="B830" s="685"/>
      <c r="C830" s="685"/>
      <c r="D830" s="685"/>
      <c r="F830" s="685"/>
    </row>
    <row r="831">
      <c r="B831" s="685"/>
      <c r="C831" s="685"/>
      <c r="D831" s="685"/>
      <c r="F831" s="685"/>
    </row>
    <row r="832">
      <c r="B832" s="685"/>
      <c r="C832" s="685"/>
      <c r="D832" s="685"/>
      <c r="F832" s="685"/>
    </row>
    <row r="833">
      <c r="B833" s="685"/>
      <c r="C833" s="685"/>
      <c r="D833" s="685"/>
      <c r="F833" s="685"/>
    </row>
    <row r="834">
      <c r="B834" s="685"/>
      <c r="C834" s="685"/>
      <c r="D834" s="685"/>
      <c r="F834" s="685"/>
    </row>
    <row r="835">
      <c r="B835" s="685"/>
      <c r="C835" s="685"/>
      <c r="D835" s="685"/>
      <c r="F835" s="685"/>
    </row>
    <row r="836">
      <c r="B836" s="685"/>
      <c r="C836" s="685"/>
      <c r="D836" s="685"/>
      <c r="F836" s="685"/>
    </row>
    <row r="837">
      <c r="B837" s="685"/>
      <c r="C837" s="685"/>
      <c r="D837" s="685"/>
      <c r="F837" s="685"/>
    </row>
    <row r="838">
      <c r="B838" s="685"/>
      <c r="C838" s="685"/>
      <c r="D838" s="685"/>
      <c r="F838" s="685"/>
    </row>
    <row r="839">
      <c r="B839" s="685"/>
      <c r="C839" s="685"/>
      <c r="D839" s="685"/>
      <c r="F839" s="685"/>
    </row>
    <row r="840">
      <c r="B840" s="685"/>
      <c r="C840" s="685"/>
      <c r="D840" s="685"/>
      <c r="F840" s="685"/>
    </row>
    <row r="841">
      <c r="B841" s="685"/>
      <c r="C841" s="685"/>
      <c r="D841" s="685"/>
      <c r="F841" s="685"/>
    </row>
    <row r="842">
      <c r="B842" s="685"/>
      <c r="C842" s="685"/>
      <c r="D842" s="685"/>
      <c r="F842" s="685"/>
    </row>
    <row r="843">
      <c r="B843" s="685"/>
      <c r="C843" s="685"/>
      <c r="D843" s="685"/>
      <c r="F843" s="685"/>
    </row>
    <row r="844">
      <c r="B844" s="685"/>
      <c r="C844" s="685"/>
      <c r="D844" s="685"/>
      <c r="F844" s="685"/>
    </row>
    <row r="845">
      <c r="B845" s="685"/>
      <c r="C845" s="685"/>
      <c r="D845" s="685"/>
      <c r="F845" s="685"/>
    </row>
    <row r="846">
      <c r="B846" s="685"/>
      <c r="C846" s="685"/>
      <c r="D846" s="685"/>
      <c r="F846" s="685"/>
    </row>
    <row r="847">
      <c r="B847" s="685"/>
      <c r="C847" s="685"/>
      <c r="D847" s="685"/>
      <c r="F847" s="685"/>
    </row>
    <row r="848">
      <c r="B848" s="685"/>
      <c r="C848" s="685"/>
      <c r="D848" s="685"/>
      <c r="F848" s="685"/>
    </row>
    <row r="849">
      <c r="B849" s="685"/>
      <c r="C849" s="685"/>
      <c r="D849" s="685"/>
      <c r="F849" s="685"/>
    </row>
    <row r="850">
      <c r="B850" s="685"/>
      <c r="C850" s="685"/>
      <c r="D850" s="685"/>
      <c r="F850" s="685"/>
    </row>
    <row r="851">
      <c r="B851" s="685"/>
      <c r="C851" s="685"/>
      <c r="D851" s="685"/>
      <c r="F851" s="685"/>
    </row>
    <row r="852">
      <c r="B852" s="685"/>
      <c r="C852" s="685"/>
      <c r="D852" s="685"/>
      <c r="F852" s="685"/>
    </row>
    <row r="853">
      <c r="B853" s="685"/>
      <c r="C853" s="685"/>
      <c r="D853" s="685"/>
      <c r="F853" s="685"/>
    </row>
    <row r="854">
      <c r="B854" s="685"/>
      <c r="C854" s="685"/>
      <c r="D854" s="685"/>
      <c r="F854" s="685"/>
    </row>
    <row r="855">
      <c r="B855" s="685"/>
      <c r="C855" s="685"/>
      <c r="D855" s="685"/>
      <c r="F855" s="685"/>
    </row>
    <row r="856">
      <c r="B856" s="685"/>
      <c r="C856" s="685"/>
      <c r="D856" s="685"/>
      <c r="F856" s="685"/>
    </row>
    <row r="857">
      <c r="B857" s="685"/>
      <c r="C857" s="685"/>
      <c r="D857" s="685"/>
      <c r="F857" s="685"/>
    </row>
    <row r="858">
      <c r="B858" s="685"/>
      <c r="C858" s="685"/>
      <c r="D858" s="685"/>
      <c r="F858" s="685"/>
    </row>
    <row r="859">
      <c r="B859" s="685"/>
      <c r="C859" s="685"/>
      <c r="D859" s="685"/>
      <c r="F859" s="685"/>
    </row>
    <row r="860">
      <c r="B860" s="685"/>
      <c r="C860" s="685"/>
      <c r="D860" s="685"/>
      <c r="F860" s="685"/>
    </row>
    <row r="861">
      <c r="B861" s="685"/>
      <c r="C861" s="685"/>
      <c r="D861" s="685"/>
      <c r="F861" s="685"/>
    </row>
    <row r="862">
      <c r="B862" s="685"/>
      <c r="C862" s="685"/>
      <c r="D862" s="685"/>
      <c r="F862" s="685"/>
    </row>
    <row r="863">
      <c r="B863" s="685"/>
      <c r="C863" s="685"/>
      <c r="D863" s="685"/>
      <c r="F863" s="685"/>
    </row>
    <row r="864">
      <c r="B864" s="685"/>
      <c r="C864" s="685"/>
      <c r="D864" s="685"/>
      <c r="F864" s="685"/>
    </row>
    <row r="865">
      <c r="B865" s="685"/>
      <c r="C865" s="685"/>
      <c r="D865" s="685"/>
      <c r="F865" s="685"/>
    </row>
    <row r="866">
      <c r="B866" s="685"/>
      <c r="C866" s="685"/>
      <c r="D866" s="685"/>
      <c r="F866" s="685"/>
    </row>
    <row r="867">
      <c r="B867" s="685"/>
      <c r="C867" s="685"/>
      <c r="D867" s="685"/>
      <c r="F867" s="685"/>
    </row>
    <row r="868">
      <c r="B868" s="685"/>
      <c r="C868" s="685"/>
      <c r="D868" s="685"/>
      <c r="F868" s="685"/>
    </row>
    <row r="869">
      <c r="B869" s="685"/>
      <c r="C869" s="685"/>
      <c r="D869" s="685"/>
      <c r="F869" s="685"/>
    </row>
    <row r="870">
      <c r="B870" s="685"/>
      <c r="C870" s="685"/>
      <c r="D870" s="685"/>
      <c r="F870" s="685"/>
    </row>
    <row r="871">
      <c r="B871" s="685"/>
      <c r="C871" s="685"/>
      <c r="D871" s="685"/>
      <c r="F871" s="685"/>
    </row>
    <row r="872">
      <c r="B872" s="685"/>
      <c r="C872" s="685"/>
      <c r="D872" s="685"/>
      <c r="F872" s="685"/>
    </row>
    <row r="873">
      <c r="B873" s="685"/>
      <c r="C873" s="685"/>
      <c r="D873" s="685"/>
      <c r="F873" s="685"/>
    </row>
    <row r="874">
      <c r="B874" s="685"/>
      <c r="C874" s="685"/>
      <c r="D874" s="685"/>
      <c r="F874" s="685"/>
    </row>
    <row r="875">
      <c r="B875" s="685"/>
      <c r="C875" s="685"/>
      <c r="D875" s="685"/>
      <c r="F875" s="685"/>
    </row>
    <row r="876">
      <c r="B876" s="685"/>
      <c r="C876" s="685"/>
      <c r="D876" s="685"/>
      <c r="F876" s="685"/>
    </row>
    <row r="877">
      <c r="B877" s="685"/>
      <c r="C877" s="685"/>
      <c r="D877" s="685"/>
      <c r="F877" s="685"/>
    </row>
    <row r="878">
      <c r="B878" s="685"/>
      <c r="C878" s="685"/>
      <c r="D878" s="685"/>
      <c r="F878" s="685"/>
    </row>
    <row r="879">
      <c r="B879" s="685"/>
      <c r="C879" s="685"/>
      <c r="D879" s="685"/>
      <c r="F879" s="685"/>
    </row>
    <row r="880">
      <c r="B880" s="685"/>
      <c r="C880" s="685"/>
      <c r="D880" s="685"/>
      <c r="F880" s="685"/>
    </row>
    <row r="881">
      <c r="B881" s="685"/>
      <c r="C881" s="685"/>
      <c r="D881" s="685"/>
      <c r="F881" s="685"/>
    </row>
    <row r="882">
      <c r="B882" s="685"/>
      <c r="C882" s="685"/>
      <c r="D882" s="685"/>
      <c r="F882" s="685"/>
    </row>
    <row r="883">
      <c r="B883" s="685"/>
      <c r="C883" s="685"/>
      <c r="D883" s="685"/>
      <c r="F883" s="685"/>
    </row>
    <row r="884">
      <c r="B884" s="685"/>
      <c r="C884" s="685"/>
      <c r="D884" s="685"/>
      <c r="F884" s="685"/>
    </row>
    <row r="885">
      <c r="B885" s="685"/>
      <c r="C885" s="685"/>
      <c r="D885" s="685"/>
      <c r="F885" s="685"/>
    </row>
    <row r="886">
      <c r="B886" s="685"/>
      <c r="C886" s="685"/>
      <c r="D886" s="685"/>
      <c r="F886" s="685"/>
    </row>
    <row r="887">
      <c r="B887" s="685"/>
      <c r="C887" s="685"/>
      <c r="D887" s="685"/>
      <c r="F887" s="685"/>
    </row>
    <row r="888">
      <c r="B888" s="685"/>
      <c r="C888" s="685"/>
      <c r="D888" s="685"/>
      <c r="F888" s="685"/>
    </row>
    <row r="889">
      <c r="B889" s="685"/>
      <c r="C889" s="685"/>
      <c r="D889" s="685"/>
      <c r="F889" s="685"/>
    </row>
    <row r="890">
      <c r="B890" s="685"/>
      <c r="C890" s="685"/>
      <c r="D890" s="685"/>
      <c r="F890" s="685"/>
    </row>
    <row r="891">
      <c r="B891" s="685"/>
      <c r="C891" s="685"/>
      <c r="D891" s="685"/>
      <c r="F891" s="685"/>
    </row>
    <row r="892">
      <c r="B892" s="685"/>
      <c r="C892" s="685"/>
      <c r="D892" s="685"/>
      <c r="F892" s="685"/>
    </row>
    <row r="893">
      <c r="B893" s="685"/>
      <c r="C893" s="685"/>
      <c r="D893" s="685"/>
      <c r="F893" s="685"/>
    </row>
    <row r="894">
      <c r="B894" s="685"/>
      <c r="C894" s="685"/>
      <c r="D894" s="685"/>
      <c r="F894" s="685"/>
    </row>
    <row r="895">
      <c r="B895" s="685"/>
      <c r="C895" s="685"/>
      <c r="D895" s="685"/>
      <c r="F895" s="685"/>
    </row>
    <row r="896">
      <c r="B896" s="685"/>
      <c r="C896" s="685"/>
      <c r="D896" s="685"/>
      <c r="F896" s="685"/>
    </row>
    <row r="897">
      <c r="B897" s="685"/>
      <c r="C897" s="685"/>
      <c r="D897" s="685"/>
      <c r="F897" s="685"/>
    </row>
    <row r="898">
      <c r="B898" s="685"/>
      <c r="C898" s="685"/>
      <c r="D898" s="685"/>
      <c r="F898" s="685"/>
    </row>
    <row r="899">
      <c r="B899" s="685"/>
      <c r="C899" s="685"/>
      <c r="D899" s="685"/>
      <c r="F899" s="685"/>
    </row>
    <row r="900">
      <c r="B900" s="685"/>
      <c r="C900" s="685"/>
      <c r="D900" s="685"/>
      <c r="F900" s="685"/>
    </row>
    <row r="901">
      <c r="B901" s="685"/>
      <c r="C901" s="685"/>
      <c r="D901" s="685"/>
      <c r="F901" s="685"/>
    </row>
    <row r="902">
      <c r="B902" s="685"/>
      <c r="C902" s="685"/>
      <c r="D902" s="685"/>
      <c r="F902" s="685"/>
    </row>
    <row r="903">
      <c r="B903" s="685"/>
      <c r="C903" s="685"/>
      <c r="D903" s="685"/>
      <c r="F903" s="685"/>
    </row>
    <row r="904">
      <c r="B904" s="685"/>
      <c r="C904" s="685"/>
      <c r="D904" s="685"/>
      <c r="F904" s="685"/>
    </row>
    <row r="905">
      <c r="B905" s="685"/>
      <c r="C905" s="685"/>
      <c r="D905" s="685"/>
      <c r="F905" s="685"/>
    </row>
    <row r="906">
      <c r="B906" s="685"/>
      <c r="C906" s="685"/>
      <c r="D906" s="685"/>
      <c r="F906" s="685"/>
    </row>
    <row r="907">
      <c r="B907" s="685"/>
      <c r="C907" s="685"/>
      <c r="D907" s="685"/>
      <c r="F907" s="685"/>
    </row>
    <row r="908">
      <c r="B908" s="685"/>
      <c r="C908" s="685"/>
      <c r="D908" s="685"/>
      <c r="F908" s="685"/>
    </row>
    <row r="909">
      <c r="B909" s="685"/>
      <c r="C909" s="685"/>
      <c r="D909" s="685"/>
      <c r="F909" s="685"/>
    </row>
    <row r="910">
      <c r="B910" s="685"/>
      <c r="C910" s="685"/>
      <c r="D910" s="685"/>
      <c r="F910" s="685"/>
    </row>
    <row r="911">
      <c r="B911" s="685"/>
      <c r="C911" s="685"/>
      <c r="D911" s="685"/>
      <c r="F911" s="685"/>
    </row>
    <row r="912">
      <c r="B912" s="685"/>
      <c r="C912" s="685"/>
      <c r="D912" s="685"/>
      <c r="F912" s="685"/>
    </row>
    <row r="913">
      <c r="B913" s="685"/>
      <c r="C913" s="685"/>
      <c r="D913" s="685"/>
      <c r="F913" s="685"/>
    </row>
    <row r="914">
      <c r="B914" s="685"/>
      <c r="C914" s="685"/>
      <c r="D914" s="685"/>
      <c r="F914" s="685"/>
    </row>
    <row r="915">
      <c r="B915" s="685"/>
      <c r="C915" s="685"/>
      <c r="D915" s="685"/>
      <c r="F915" s="685"/>
    </row>
    <row r="916">
      <c r="B916" s="685"/>
      <c r="C916" s="685"/>
      <c r="D916" s="685"/>
      <c r="F916" s="685"/>
    </row>
    <row r="917">
      <c r="B917" s="685"/>
      <c r="C917" s="685"/>
      <c r="D917" s="685"/>
      <c r="F917" s="685"/>
    </row>
    <row r="918">
      <c r="B918" s="685"/>
      <c r="C918" s="685"/>
      <c r="D918" s="685"/>
      <c r="F918" s="685"/>
    </row>
    <row r="919">
      <c r="B919" s="685"/>
      <c r="C919" s="685"/>
      <c r="D919" s="685"/>
      <c r="F919" s="685"/>
    </row>
    <row r="920">
      <c r="B920" s="685"/>
      <c r="C920" s="685"/>
      <c r="D920" s="685"/>
      <c r="F920" s="685"/>
    </row>
    <row r="921">
      <c r="B921" s="685"/>
      <c r="C921" s="685"/>
      <c r="D921" s="685"/>
      <c r="F921" s="685"/>
    </row>
    <row r="922">
      <c r="B922" s="685"/>
      <c r="C922" s="685"/>
      <c r="D922" s="685"/>
      <c r="F922" s="685"/>
    </row>
    <row r="923">
      <c r="B923" s="685"/>
      <c r="C923" s="685"/>
      <c r="D923" s="685"/>
      <c r="F923" s="685"/>
    </row>
    <row r="924">
      <c r="B924" s="685"/>
      <c r="C924" s="685"/>
      <c r="D924" s="685"/>
      <c r="F924" s="685"/>
    </row>
    <row r="925">
      <c r="B925" s="685"/>
      <c r="C925" s="685"/>
      <c r="D925" s="685"/>
      <c r="F925" s="685"/>
    </row>
    <row r="926">
      <c r="B926" s="685"/>
      <c r="C926" s="685"/>
      <c r="D926" s="685"/>
      <c r="F926" s="685"/>
    </row>
    <row r="927">
      <c r="B927" s="685"/>
      <c r="C927" s="685"/>
      <c r="D927" s="685"/>
      <c r="F927" s="685"/>
    </row>
    <row r="928">
      <c r="B928" s="685"/>
      <c r="C928" s="685"/>
      <c r="D928" s="685"/>
      <c r="F928" s="685"/>
    </row>
    <row r="929">
      <c r="B929" s="685"/>
      <c r="C929" s="685"/>
      <c r="D929" s="685"/>
      <c r="F929" s="685"/>
    </row>
    <row r="930">
      <c r="B930" s="685"/>
      <c r="C930" s="685"/>
      <c r="D930" s="685"/>
      <c r="F930" s="685"/>
    </row>
    <row r="931">
      <c r="B931" s="685"/>
      <c r="C931" s="685"/>
      <c r="D931" s="685"/>
      <c r="F931" s="685"/>
    </row>
    <row r="932">
      <c r="B932" s="685"/>
      <c r="C932" s="685"/>
      <c r="D932" s="685"/>
      <c r="F932" s="685"/>
    </row>
    <row r="933">
      <c r="B933" s="685"/>
      <c r="C933" s="685"/>
      <c r="D933" s="685"/>
      <c r="F933" s="685"/>
    </row>
    <row r="934">
      <c r="B934" s="685"/>
      <c r="C934" s="685"/>
      <c r="D934" s="685"/>
      <c r="F934" s="685"/>
    </row>
    <row r="935">
      <c r="B935" s="685"/>
      <c r="C935" s="685"/>
      <c r="D935" s="685"/>
      <c r="F935" s="685"/>
    </row>
    <row r="936">
      <c r="B936" s="685"/>
      <c r="C936" s="685"/>
      <c r="D936" s="685"/>
      <c r="F936" s="685"/>
    </row>
    <row r="937">
      <c r="B937" s="685"/>
      <c r="C937" s="685"/>
      <c r="D937" s="685"/>
      <c r="F937" s="685"/>
    </row>
    <row r="938">
      <c r="B938" s="685"/>
      <c r="C938" s="685"/>
      <c r="D938" s="685"/>
      <c r="F938" s="685"/>
    </row>
    <row r="939">
      <c r="B939" s="685"/>
      <c r="C939" s="685"/>
      <c r="D939" s="685"/>
      <c r="F939" s="685"/>
    </row>
    <row r="940">
      <c r="B940" s="685"/>
      <c r="C940" s="685"/>
      <c r="D940" s="685"/>
      <c r="F940" s="685"/>
    </row>
    <row r="941">
      <c r="B941" s="685"/>
      <c r="C941" s="685"/>
      <c r="D941" s="685"/>
      <c r="F941" s="685"/>
    </row>
    <row r="942">
      <c r="B942" s="685"/>
      <c r="C942" s="685"/>
      <c r="D942" s="685"/>
      <c r="F942" s="685"/>
    </row>
    <row r="943">
      <c r="B943" s="685"/>
      <c r="C943" s="685"/>
      <c r="D943" s="685"/>
      <c r="F943" s="685"/>
    </row>
    <row r="944">
      <c r="B944" s="685"/>
      <c r="C944" s="685"/>
      <c r="D944" s="685"/>
      <c r="F944" s="685"/>
    </row>
    <row r="945">
      <c r="B945" s="685"/>
      <c r="C945" s="685"/>
      <c r="D945" s="685"/>
      <c r="F945" s="685"/>
    </row>
    <row r="946">
      <c r="B946" s="685"/>
      <c r="C946" s="685"/>
      <c r="D946" s="685"/>
      <c r="F946" s="685"/>
    </row>
    <row r="947">
      <c r="B947" s="685"/>
      <c r="C947" s="685"/>
      <c r="D947" s="685"/>
      <c r="F947" s="685"/>
    </row>
    <row r="948">
      <c r="B948" s="685"/>
      <c r="C948" s="685"/>
      <c r="D948" s="685"/>
      <c r="F948" s="685"/>
    </row>
    <row r="949">
      <c r="B949" s="685"/>
      <c r="C949" s="685"/>
      <c r="D949" s="685"/>
      <c r="F949" s="685"/>
    </row>
    <row r="950">
      <c r="B950" s="685"/>
      <c r="C950" s="685"/>
      <c r="D950" s="685"/>
      <c r="F950" s="685"/>
    </row>
    <row r="951">
      <c r="B951" s="685"/>
      <c r="C951" s="685"/>
      <c r="D951" s="685"/>
      <c r="F951" s="685"/>
    </row>
    <row r="952">
      <c r="B952" s="685"/>
      <c r="C952" s="685"/>
      <c r="D952" s="685"/>
      <c r="F952" s="685"/>
    </row>
    <row r="953">
      <c r="B953" s="685"/>
      <c r="C953" s="685"/>
      <c r="D953" s="685"/>
      <c r="F953" s="685"/>
    </row>
    <row r="954">
      <c r="B954" s="685"/>
      <c r="C954" s="685"/>
      <c r="D954" s="685"/>
      <c r="F954" s="685"/>
    </row>
    <row r="955">
      <c r="B955" s="685"/>
      <c r="C955" s="685"/>
      <c r="D955" s="685"/>
      <c r="F955" s="685"/>
    </row>
    <row r="956">
      <c r="B956" s="685"/>
      <c r="C956" s="685"/>
      <c r="D956" s="685"/>
      <c r="F956" s="685"/>
    </row>
    <row r="957">
      <c r="B957" s="685"/>
      <c r="C957" s="685"/>
      <c r="D957" s="685"/>
      <c r="F957" s="685"/>
    </row>
    <row r="958">
      <c r="B958" s="685"/>
      <c r="C958" s="685"/>
      <c r="D958" s="685"/>
      <c r="F958" s="685"/>
    </row>
    <row r="959">
      <c r="B959" s="685"/>
      <c r="C959" s="685"/>
      <c r="D959" s="685"/>
      <c r="F959" s="685"/>
    </row>
    <row r="960">
      <c r="B960" s="685"/>
      <c r="C960" s="685"/>
      <c r="D960" s="685"/>
      <c r="F960" s="685"/>
    </row>
    <row r="961">
      <c r="B961" s="685"/>
      <c r="C961" s="685"/>
      <c r="D961" s="685"/>
      <c r="F961" s="685"/>
    </row>
    <row r="962">
      <c r="B962" s="685"/>
      <c r="C962" s="685"/>
      <c r="D962" s="685"/>
      <c r="F962" s="685"/>
    </row>
    <row r="963">
      <c r="B963" s="685"/>
      <c r="C963" s="685"/>
      <c r="D963" s="685"/>
      <c r="F963" s="685"/>
    </row>
    <row r="964">
      <c r="B964" s="685"/>
      <c r="C964" s="685"/>
      <c r="D964" s="685"/>
      <c r="F964" s="685"/>
    </row>
    <row r="965">
      <c r="B965" s="685"/>
      <c r="C965" s="685"/>
      <c r="D965" s="685"/>
      <c r="F965" s="685"/>
    </row>
    <row r="966">
      <c r="B966" s="685"/>
      <c r="C966" s="685"/>
      <c r="D966" s="685"/>
      <c r="F966" s="685"/>
    </row>
    <row r="967">
      <c r="B967" s="685"/>
      <c r="C967" s="685"/>
      <c r="D967" s="685"/>
      <c r="F967" s="685"/>
    </row>
    <row r="968">
      <c r="B968" s="685"/>
      <c r="C968" s="685"/>
      <c r="D968" s="685"/>
      <c r="F968" s="685"/>
    </row>
    <row r="969">
      <c r="B969" s="685"/>
      <c r="C969" s="685"/>
      <c r="D969" s="685"/>
      <c r="F969" s="685"/>
    </row>
    <row r="970">
      <c r="B970" s="685"/>
      <c r="C970" s="685"/>
      <c r="D970" s="685"/>
      <c r="F970" s="685"/>
    </row>
    <row r="971">
      <c r="B971" s="685"/>
      <c r="C971" s="685"/>
      <c r="D971" s="685"/>
      <c r="F971" s="685"/>
    </row>
    <row r="972">
      <c r="B972" s="685"/>
      <c r="C972" s="685"/>
      <c r="D972" s="685"/>
      <c r="F972" s="685"/>
    </row>
    <row r="973">
      <c r="B973" s="685"/>
      <c r="C973" s="685"/>
      <c r="D973" s="685"/>
      <c r="F973" s="685"/>
    </row>
    <row r="974">
      <c r="B974" s="685"/>
      <c r="C974" s="685"/>
      <c r="D974" s="685"/>
      <c r="F974" s="685"/>
    </row>
    <row r="975">
      <c r="B975" s="685"/>
      <c r="C975" s="685"/>
      <c r="D975" s="685"/>
      <c r="F975" s="685"/>
    </row>
    <row r="976">
      <c r="B976" s="685"/>
      <c r="C976" s="685"/>
      <c r="D976" s="685"/>
      <c r="F976" s="685"/>
    </row>
    <row r="977">
      <c r="B977" s="685"/>
      <c r="C977" s="685"/>
      <c r="D977" s="685"/>
      <c r="F977" s="685"/>
    </row>
    <row r="978">
      <c r="B978" s="685"/>
      <c r="C978" s="685"/>
      <c r="D978" s="685"/>
      <c r="F978" s="685"/>
    </row>
    <row r="979">
      <c r="B979" s="685"/>
      <c r="C979" s="685"/>
      <c r="D979" s="685"/>
      <c r="F979" s="685"/>
    </row>
    <row r="980">
      <c r="B980" s="685"/>
      <c r="C980" s="685"/>
      <c r="D980" s="685"/>
      <c r="F980" s="685"/>
    </row>
    <row r="981">
      <c r="B981" s="685"/>
      <c r="C981" s="685"/>
      <c r="D981" s="685"/>
      <c r="F981" s="685"/>
    </row>
    <row r="982">
      <c r="B982" s="685"/>
      <c r="C982" s="685"/>
      <c r="D982" s="685"/>
      <c r="F982" s="685"/>
    </row>
    <row r="983">
      <c r="B983" s="685"/>
      <c r="C983" s="685"/>
      <c r="D983" s="685"/>
      <c r="F983" s="685"/>
    </row>
    <row r="984">
      <c r="B984" s="685"/>
      <c r="C984" s="685"/>
      <c r="D984" s="685"/>
      <c r="F984" s="685"/>
    </row>
    <row r="985">
      <c r="B985" s="685"/>
      <c r="C985" s="685"/>
      <c r="D985" s="685"/>
      <c r="F985" s="685"/>
    </row>
    <row r="986">
      <c r="B986" s="685"/>
      <c r="C986" s="685"/>
      <c r="D986" s="685"/>
      <c r="F986" s="685"/>
    </row>
    <row r="987">
      <c r="B987" s="685"/>
      <c r="C987" s="685"/>
      <c r="D987" s="685"/>
      <c r="F987" s="685"/>
    </row>
    <row r="988">
      <c r="B988" s="685"/>
      <c r="C988" s="685"/>
      <c r="D988" s="685"/>
      <c r="F988" s="685"/>
    </row>
    <row r="989">
      <c r="B989" s="685"/>
      <c r="C989" s="685"/>
      <c r="D989" s="685"/>
      <c r="F989" s="685"/>
    </row>
    <row r="990">
      <c r="B990" s="685"/>
      <c r="C990" s="685"/>
      <c r="D990" s="685"/>
      <c r="F990" s="685"/>
    </row>
    <row r="991">
      <c r="B991" s="685"/>
      <c r="C991" s="685"/>
      <c r="D991" s="685"/>
      <c r="F991" s="685"/>
    </row>
    <row r="992">
      <c r="B992" s="685"/>
      <c r="C992" s="685"/>
      <c r="D992" s="685"/>
      <c r="F992" s="685"/>
    </row>
    <row r="993">
      <c r="B993" s="685"/>
      <c r="C993" s="685"/>
      <c r="D993" s="685"/>
      <c r="F993" s="685"/>
    </row>
    <row r="994">
      <c r="B994" s="685"/>
      <c r="C994" s="685"/>
      <c r="D994" s="685"/>
      <c r="F994" s="685"/>
    </row>
    <row r="995">
      <c r="B995" s="685"/>
      <c r="C995" s="685"/>
      <c r="D995" s="685"/>
      <c r="F995" s="685"/>
    </row>
    <row r="996">
      <c r="B996" s="685"/>
      <c r="C996" s="685"/>
      <c r="D996" s="685"/>
      <c r="F996" s="685"/>
    </row>
    <row r="997">
      <c r="B997" s="685"/>
      <c r="C997" s="685"/>
      <c r="D997" s="685"/>
      <c r="F997" s="685"/>
    </row>
    <row r="998">
      <c r="B998" s="685"/>
      <c r="C998" s="685"/>
      <c r="D998" s="685"/>
      <c r="F998" s="685"/>
    </row>
    <row r="999">
      <c r="B999" s="685"/>
      <c r="C999" s="685"/>
      <c r="D999" s="685"/>
      <c r="F999" s="685"/>
    </row>
    <row r="1000">
      <c r="B1000" s="685"/>
      <c r="C1000" s="685"/>
      <c r="D1000" s="685"/>
      <c r="F1000" s="685"/>
    </row>
    <row r="1001">
      <c r="B1001" s="685"/>
      <c r="C1001" s="685"/>
      <c r="D1001" s="685"/>
      <c r="F1001" s="685"/>
    </row>
  </sheetData>
  <autoFilter ref="$A$1:$AB$56"/>
  <mergeCells count="3">
    <mergeCell ref="C58:D58"/>
    <mergeCell ref="C65:D65"/>
    <mergeCell ref="C72:E72"/>
  </mergeCells>
  <conditionalFormatting sqref="A2:A55 C19:E20">
    <cfRule type="cellIs" dxfId="4" priority="1" operator="equal">
      <formula>"Not Found"</formula>
    </cfRule>
  </conditionalFormatting>
  <hyperlinks>
    <hyperlink r:id="rId1" ref="I2"/>
    <hyperlink r:id="rId2" ref="I3"/>
    <hyperlink r:id="rId3" location="slide=id.g2edd551b383_0_918" ref="C72"/>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6.38"/>
    <col customWidth="1" min="3" max="3" width="29.5"/>
    <col customWidth="1" min="4" max="4" width="19.38"/>
    <col customWidth="1" min="5" max="5" width="25.88"/>
    <col customWidth="1" min="6" max="6" width="22.63"/>
    <col customWidth="1" min="7" max="7" width="25.75"/>
    <col customWidth="1" min="8" max="8" width="20.75"/>
    <col customWidth="1" min="9" max="9" width="19.0"/>
    <col customWidth="1" min="10" max="10" width="27.5"/>
    <col customWidth="1" min="11" max="11" width="48.75"/>
    <col customWidth="1" min="12" max="12" width="8.25"/>
    <col customWidth="1" min="13" max="13" width="43.0"/>
    <col customWidth="1" min="15" max="15" width="48.88"/>
  </cols>
  <sheetData>
    <row r="1">
      <c r="A1" s="697" t="s">
        <v>161</v>
      </c>
      <c r="B1" s="698" t="s">
        <v>704</v>
      </c>
      <c r="C1" s="699" t="s">
        <v>705</v>
      </c>
      <c r="D1" s="700" t="s">
        <v>706</v>
      </c>
      <c r="E1" s="701" t="s">
        <v>707</v>
      </c>
      <c r="F1" s="698" t="s">
        <v>708</v>
      </c>
      <c r="G1" s="702" t="s">
        <v>709</v>
      </c>
      <c r="H1" s="700" t="s">
        <v>710</v>
      </c>
      <c r="I1" s="700" t="s">
        <v>711</v>
      </c>
      <c r="J1" s="703" t="s">
        <v>712</v>
      </c>
      <c r="K1" s="162" t="s">
        <v>713</v>
      </c>
      <c r="L1" s="704" t="s">
        <v>307</v>
      </c>
      <c r="M1" s="162" t="s">
        <v>377</v>
      </c>
      <c r="N1" s="705"/>
      <c r="O1" s="12"/>
      <c r="P1" s="12"/>
      <c r="Q1" s="12"/>
      <c r="R1" s="163"/>
      <c r="S1" s="163"/>
      <c r="T1" s="163"/>
      <c r="U1" s="163"/>
      <c r="V1" s="163"/>
      <c r="W1" s="163"/>
      <c r="X1" s="163"/>
      <c r="Y1" s="163"/>
      <c r="Z1" s="163"/>
      <c r="AA1" s="163"/>
      <c r="AB1" s="163"/>
      <c r="AC1" s="163"/>
      <c r="AD1" s="163"/>
      <c r="AE1" s="163"/>
    </row>
    <row r="2" ht="21.75" customHeight="1">
      <c r="A2" s="22" t="s">
        <v>207</v>
      </c>
      <c r="B2" s="511">
        <v>12766.0</v>
      </c>
      <c r="C2" s="265">
        <v>77530.73</v>
      </c>
      <c r="D2" s="265">
        <v>3698.56074766355</v>
      </c>
      <c r="E2" s="707">
        <v>12904.2784485981</v>
      </c>
      <c r="F2" s="531">
        <v>90435.0084485981</v>
      </c>
      <c r="G2" s="510">
        <v>16.6440822221048</v>
      </c>
      <c r="H2" s="265">
        <v>12904.27845</v>
      </c>
      <c r="I2" s="265">
        <v>0.034</v>
      </c>
      <c r="J2" s="709">
        <v>4.387454673E8</v>
      </c>
      <c r="K2" s="22" t="str">
        <f>IF(J2 &lt;30*10^6, "Low", IF(J2 &lt;=110*10^6, "Medium", "High"))</f>
        <v>High</v>
      </c>
      <c r="L2" s="436">
        <f t="shared" ref="L2:L55" si="1">IF(J2 &lt;30*10^6, (1/3), IF(J2 &lt;=110*10^6, (2/3), 1))</f>
        <v>1</v>
      </c>
      <c r="M2" s="712" t="s">
        <v>717</v>
      </c>
      <c r="N2" s="672"/>
      <c r="O2" s="22"/>
    </row>
    <row r="3">
      <c r="A3" s="22" t="s">
        <v>240</v>
      </c>
      <c r="B3" s="511">
        <v>1651.0</v>
      </c>
      <c r="C3" s="265">
        <v>16429.39</v>
      </c>
      <c r="D3" s="265">
        <v>478.327102803738</v>
      </c>
      <c r="E3" s="707">
        <v>1668.88326168224</v>
      </c>
      <c r="F3" s="531">
        <v>18098.2732616822</v>
      </c>
      <c r="G3" s="510">
        <v>10.1579137246254</v>
      </c>
      <c r="H3" s="265">
        <v>1668.883262</v>
      </c>
      <c r="I3" s="265">
        <v>0.012</v>
      </c>
      <c r="J3" s="709">
        <v>2.002659914E7</v>
      </c>
      <c r="K3" s="22" t="str">
        <f>IF(J3 &lt;30*10^6, "Low", IF(J2 &lt;=110*10^6, "Medium", "High"))</f>
        <v>Low</v>
      </c>
      <c r="L3" s="436">
        <f t="shared" si="1"/>
        <v>0.3333333333</v>
      </c>
      <c r="M3" s="713"/>
      <c r="N3" s="672"/>
      <c r="O3" s="22"/>
    </row>
    <row r="4">
      <c r="A4" s="22" t="s">
        <v>268</v>
      </c>
      <c r="B4" s="511">
        <v>2146.0</v>
      </c>
      <c r="C4" s="265">
        <v>241.1</v>
      </c>
      <c r="D4" s="265">
        <v>621.738317757009</v>
      </c>
      <c r="E4" s="707">
        <v>2169.2449906542</v>
      </c>
      <c r="F4" s="531">
        <v>2410.3449906542</v>
      </c>
      <c r="G4" s="510">
        <v>899.728324618086</v>
      </c>
      <c r="H4" s="265">
        <v>2169.244991</v>
      </c>
      <c r="I4" s="265">
        <v>0.036</v>
      </c>
      <c r="J4" s="709">
        <v>7.809281966E7</v>
      </c>
      <c r="K4" s="22" t="str">
        <f t="shared" ref="K4:K55" si="2">IF(J4 &lt;30*10^6, "Low", IF(J4 &lt;=110*10^6, "Medium", "High"))</f>
        <v>Medium</v>
      </c>
      <c r="L4" s="436">
        <f t="shared" si="1"/>
        <v>0.6666666667</v>
      </c>
      <c r="M4" s="713"/>
      <c r="N4" s="672"/>
      <c r="O4" s="22"/>
    </row>
    <row r="5">
      <c r="A5" s="22" t="s">
        <v>329</v>
      </c>
      <c r="B5" s="511">
        <v>843.0</v>
      </c>
      <c r="C5" s="265">
        <v>2182.35</v>
      </c>
      <c r="D5" s="265">
        <v>244.233644859813</v>
      </c>
      <c r="E5" s="707">
        <v>852.131186915887</v>
      </c>
      <c r="F5" s="531">
        <v>3034.48118691588</v>
      </c>
      <c r="G5" s="510">
        <v>39.0464951504519</v>
      </c>
      <c r="H5" s="265">
        <v>852.1311869</v>
      </c>
      <c r="I5" s="265">
        <v>0.112</v>
      </c>
      <c r="J5" s="709">
        <v>9.543869293E7</v>
      </c>
      <c r="K5" s="385" t="str">
        <f t="shared" si="2"/>
        <v>Medium</v>
      </c>
      <c r="L5" s="436">
        <f t="shared" si="1"/>
        <v>0.6666666667</v>
      </c>
      <c r="M5" s="713"/>
      <c r="N5" s="672"/>
      <c r="O5" s="22"/>
    </row>
    <row r="6">
      <c r="A6" s="22" t="s">
        <v>331</v>
      </c>
      <c r="B6" s="511">
        <v>967.0</v>
      </c>
      <c r="C6" s="265">
        <v>1761.21</v>
      </c>
      <c r="D6" s="265">
        <v>280.158878504672</v>
      </c>
      <c r="E6" s="707">
        <v>977.474327102803</v>
      </c>
      <c r="F6" s="531">
        <v>2738.6843271028</v>
      </c>
      <c r="G6" s="510">
        <v>55.5001576815259</v>
      </c>
      <c r="H6" s="265">
        <v>977.4743271</v>
      </c>
      <c r="I6" s="265">
        <v>0.449</v>
      </c>
      <c r="J6" s="709">
        <v>4.388859729E8</v>
      </c>
      <c r="K6" s="22" t="str">
        <f t="shared" si="2"/>
        <v>High</v>
      </c>
      <c r="L6" s="436">
        <f t="shared" si="1"/>
        <v>1</v>
      </c>
      <c r="M6" s="713"/>
      <c r="N6" s="672"/>
      <c r="O6" s="22"/>
    </row>
    <row r="7">
      <c r="A7" s="22" t="s">
        <v>333</v>
      </c>
      <c r="B7" s="511">
        <v>54.0</v>
      </c>
      <c r="C7" s="265">
        <v>357.99</v>
      </c>
      <c r="D7" s="265">
        <v>15.6448598130841</v>
      </c>
      <c r="E7" s="707">
        <v>54.5849158878504</v>
      </c>
      <c r="F7" s="531">
        <v>412.57491588785</v>
      </c>
      <c r="G7" s="510">
        <v>15.247609119766</v>
      </c>
      <c r="H7" s="265">
        <v>54.58491589</v>
      </c>
      <c r="I7" s="265">
        <v>0.158</v>
      </c>
      <c r="J7" s="709">
        <v>8624416.71</v>
      </c>
      <c r="K7" s="385" t="str">
        <f t="shared" si="2"/>
        <v>Low</v>
      </c>
      <c r="L7" s="436">
        <f t="shared" si="1"/>
        <v>0.3333333333</v>
      </c>
      <c r="M7" s="713"/>
      <c r="N7" s="672"/>
      <c r="O7" s="22"/>
    </row>
    <row r="8">
      <c r="A8" s="22" t="s">
        <v>225</v>
      </c>
      <c r="B8" s="511">
        <v>70.0</v>
      </c>
      <c r="C8" s="265">
        <v>8045.47</v>
      </c>
      <c r="D8" s="265">
        <v>20.2803738317757</v>
      </c>
      <c r="E8" s="707">
        <v>70.7582242990654</v>
      </c>
      <c r="F8" s="531">
        <v>8116.22822429906</v>
      </c>
      <c r="G8" s="510">
        <v>0.879479064604872</v>
      </c>
      <c r="H8" s="265">
        <v>70.7582243</v>
      </c>
      <c r="I8" s="265">
        <v>0.199</v>
      </c>
      <c r="J8" s="709">
        <v>1.408088664E7</v>
      </c>
      <c r="K8" s="22" t="str">
        <f t="shared" si="2"/>
        <v>Low</v>
      </c>
      <c r="L8" s="436">
        <f t="shared" si="1"/>
        <v>0.3333333333</v>
      </c>
      <c r="M8" s="713"/>
      <c r="N8" s="672"/>
      <c r="O8" s="22"/>
    </row>
    <row r="9">
      <c r="A9" s="22" t="s">
        <v>338</v>
      </c>
      <c r="B9" s="511">
        <v>1539.0</v>
      </c>
      <c r="C9" s="265">
        <v>456.89</v>
      </c>
      <c r="D9" s="265">
        <v>445.878504672897</v>
      </c>
      <c r="E9" s="707">
        <v>1555.67010280373</v>
      </c>
      <c r="F9" s="531">
        <v>2012.56010280373</v>
      </c>
      <c r="G9" s="510">
        <v>340.491169166262</v>
      </c>
      <c r="H9" s="265">
        <v>1555.670103</v>
      </c>
      <c r="I9" s="265">
        <v>0.152</v>
      </c>
      <c r="J9" s="709">
        <v>2.364618556E8</v>
      </c>
      <c r="K9" s="385" t="str">
        <f t="shared" si="2"/>
        <v>High</v>
      </c>
      <c r="L9" s="436">
        <f t="shared" si="1"/>
        <v>1</v>
      </c>
      <c r="M9" s="713"/>
      <c r="N9" s="672"/>
      <c r="O9" s="22"/>
    </row>
    <row r="10">
      <c r="A10" s="22" t="s">
        <v>340</v>
      </c>
      <c r="B10" s="511">
        <v>74.0</v>
      </c>
      <c r="C10" s="265">
        <v>151.06</v>
      </c>
      <c r="D10" s="265">
        <v>21.4392523364485</v>
      </c>
      <c r="E10" s="707">
        <v>74.8015514018691</v>
      </c>
      <c r="F10" s="531">
        <v>225.861551401869</v>
      </c>
      <c r="G10" s="510">
        <v>49.5177753223018</v>
      </c>
      <c r="H10" s="265">
        <v>74.8015514</v>
      </c>
      <c r="I10" s="265">
        <v>0.152</v>
      </c>
      <c r="J10" s="709">
        <v>1.136983581E7</v>
      </c>
      <c r="K10" s="22" t="str">
        <f t="shared" si="2"/>
        <v>Low</v>
      </c>
      <c r="L10" s="436">
        <f t="shared" si="1"/>
        <v>0.3333333333</v>
      </c>
      <c r="M10" s="713"/>
      <c r="N10" s="672"/>
      <c r="O10" s="22"/>
    </row>
    <row r="11">
      <c r="A11" s="22" t="s">
        <v>342</v>
      </c>
      <c r="B11" s="511">
        <v>392.0</v>
      </c>
      <c r="C11" s="265">
        <v>312.43</v>
      </c>
      <c r="D11" s="265">
        <v>113.570093457943</v>
      </c>
      <c r="E11" s="707">
        <v>396.246056074766</v>
      </c>
      <c r="F11" s="531">
        <v>708.676056074766</v>
      </c>
      <c r="G11" s="510">
        <v>126.827147224903</v>
      </c>
      <c r="H11" s="265">
        <v>396.2460561</v>
      </c>
      <c r="I11" s="265">
        <v>0.153</v>
      </c>
      <c r="J11" s="709">
        <v>6.062564658E7</v>
      </c>
      <c r="K11" s="385" t="str">
        <f t="shared" si="2"/>
        <v>Medium</v>
      </c>
      <c r="L11" s="436">
        <f t="shared" si="1"/>
        <v>0.6666666667</v>
      </c>
      <c r="M11" s="713"/>
      <c r="N11" s="672"/>
      <c r="O11" s="22"/>
    </row>
    <row r="12">
      <c r="A12" s="22" t="s">
        <v>346</v>
      </c>
      <c r="B12" s="511">
        <v>25.0</v>
      </c>
      <c r="C12" s="265">
        <v>140.0</v>
      </c>
      <c r="D12" s="265">
        <v>7.2429906542056</v>
      </c>
      <c r="E12" s="707">
        <v>25.2707943925233</v>
      </c>
      <c r="F12" s="531">
        <v>165.270794392523</v>
      </c>
      <c r="G12" s="510">
        <v>18.0505674232309</v>
      </c>
      <c r="H12" s="265">
        <v>25.27079439</v>
      </c>
      <c r="I12" s="265">
        <v>0.298</v>
      </c>
      <c r="J12" s="709">
        <v>7530696.729</v>
      </c>
      <c r="K12" s="22" t="str">
        <f t="shared" si="2"/>
        <v>Low</v>
      </c>
      <c r="L12" s="436">
        <f t="shared" si="1"/>
        <v>0.3333333333</v>
      </c>
      <c r="M12" s="713"/>
      <c r="N12" s="672"/>
      <c r="O12" s="22"/>
    </row>
    <row r="13">
      <c r="A13" s="22" t="s">
        <v>351</v>
      </c>
      <c r="B13" s="511">
        <v>420.0</v>
      </c>
      <c r="C13" s="265">
        <v>4020.26</v>
      </c>
      <c r="D13" s="265">
        <v>121.682242990654</v>
      </c>
      <c r="E13" s="707">
        <v>424.549345794392</v>
      </c>
      <c r="F13" s="531">
        <v>4444.80934579439</v>
      </c>
      <c r="G13" s="510">
        <v>10.5602459988755</v>
      </c>
      <c r="H13" s="265">
        <v>424.5493458</v>
      </c>
      <c r="I13" s="265">
        <v>0.091</v>
      </c>
      <c r="J13" s="709">
        <v>3.863399047E7</v>
      </c>
      <c r="K13" s="385" t="str">
        <f t="shared" si="2"/>
        <v>Medium</v>
      </c>
      <c r="L13" s="436">
        <f t="shared" si="1"/>
        <v>0.6666666667</v>
      </c>
      <c r="M13" s="713"/>
      <c r="N13" s="672"/>
      <c r="O13" s="22"/>
    </row>
    <row r="14">
      <c r="A14" s="22" t="s">
        <v>356</v>
      </c>
      <c r="B14" s="511">
        <v>1636.0</v>
      </c>
      <c r="C14" s="265">
        <v>10982.23</v>
      </c>
      <c r="D14" s="265">
        <v>473.981308411214</v>
      </c>
      <c r="E14" s="707">
        <v>1653.72078504672</v>
      </c>
      <c r="F14" s="531">
        <v>12635.9507850467</v>
      </c>
      <c r="G14" s="510">
        <v>15.0581510772104</v>
      </c>
      <c r="H14" s="265">
        <v>1653.720785</v>
      </c>
      <c r="I14" s="265">
        <v>0.203</v>
      </c>
      <c r="J14" s="709">
        <v>3.357053194E8</v>
      </c>
      <c r="K14" s="22" t="str">
        <f t="shared" si="2"/>
        <v>High</v>
      </c>
      <c r="L14" s="436">
        <f t="shared" si="1"/>
        <v>1</v>
      </c>
      <c r="M14" s="713"/>
      <c r="N14" s="672"/>
      <c r="O14" s="22"/>
    </row>
    <row r="15">
      <c r="A15" s="22" t="s">
        <v>357</v>
      </c>
      <c r="B15" s="511">
        <v>86.0</v>
      </c>
      <c r="C15" s="265">
        <v>60.0</v>
      </c>
      <c r="D15" s="265">
        <v>24.9158878504672</v>
      </c>
      <c r="E15" s="707">
        <v>86.9315327102803</v>
      </c>
      <c r="F15" s="531">
        <v>146.93153271028</v>
      </c>
      <c r="G15" s="510">
        <v>144.885887850467</v>
      </c>
      <c r="H15" s="265">
        <v>86.93153271</v>
      </c>
      <c r="I15" s="265">
        <v>0.28</v>
      </c>
      <c r="J15" s="709">
        <v>2.434082916E7</v>
      </c>
      <c r="K15" s="385" t="str">
        <f t="shared" si="2"/>
        <v>Low</v>
      </c>
      <c r="L15" s="436">
        <f t="shared" si="1"/>
        <v>0.3333333333</v>
      </c>
      <c r="M15" s="713"/>
      <c r="N15" s="672"/>
      <c r="O15" s="22"/>
    </row>
    <row r="16">
      <c r="A16" s="22" t="s">
        <v>276</v>
      </c>
      <c r="B16" s="511">
        <v>658.0</v>
      </c>
      <c r="C16" s="265">
        <v>11039.64</v>
      </c>
      <c r="D16" s="265">
        <v>190.635514018691</v>
      </c>
      <c r="E16" s="707">
        <v>665.127308411214</v>
      </c>
      <c r="F16" s="531">
        <v>11704.7673084112</v>
      </c>
      <c r="G16" s="510">
        <v>6.02490034467803</v>
      </c>
      <c r="H16" s="265">
        <v>665.1273084</v>
      </c>
      <c r="I16" s="265">
        <v>0.078</v>
      </c>
      <c r="J16" s="709">
        <v>5.187993006E7</v>
      </c>
      <c r="K16" s="22" t="str">
        <f t="shared" si="2"/>
        <v>Medium</v>
      </c>
      <c r="L16" s="436">
        <f t="shared" si="1"/>
        <v>0.6666666667</v>
      </c>
      <c r="M16" s="713"/>
      <c r="N16" s="672"/>
      <c r="O16" s="22"/>
    </row>
    <row r="17">
      <c r="A17" s="22" t="s">
        <v>285</v>
      </c>
      <c r="B17" s="511">
        <v>14871.0</v>
      </c>
      <c r="C17" s="265">
        <v>202255.32</v>
      </c>
      <c r="D17" s="265">
        <v>4308.42056074766</v>
      </c>
      <c r="E17" s="707">
        <v>15032.0793364485</v>
      </c>
      <c r="F17" s="531">
        <v>217287.399336448</v>
      </c>
      <c r="G17" s="510">
        <v>7.43222939028184</v>
      </c>
      <c r="H17" s="265">
        <v>15032.07934</v>
      </c>
      <c r="I17" s="265">
        <v>0.037</v>
      </c>
      <c r="J17" s="709">
        <v>5.561869354E8</v>
      </c>
      <c r="K17" s="385" t="str">
        <f t="shared" si="2"/>
        <v>High</v>
      </c>
      <c r="L17" s="436">
        <f t="shared" si="1"/>
        <v>1</v>
      </c>
      <c r="M17" s="713"/>
      <c r="N17" s="672"/>
      <c r="O17" s="22"/>
    </row>
    <row r="18">
      <c r="A18" s="22" t="s">
        <v>360</v>
      </c>
      <c r="B18" s="511">
        <v>26.0</v>
      </c>
      <c r="C18" s="265">
        <v>1418.12</v>
      </c>
      <c r="D18" s="265">
        <v>7.53271028037383</v>
      </c>
      <c r="E18" s="707">
        <v>26.2816261682242</v>
      </c>
      <c r="F18" s="531">
        <v>1444.40162616822</v>
      </c>
      <c r="G18" s="510">
        <v>1.85327237245255</v>
      </c>
      <c r="H18" s="265">
        <v>26.28162617</v>
      </c>
      <c r="I18" s="265">
        <v>0.17</v>
      </c>
      <c r="J18" s="709">
        <v>4467876.449</v>
      </c>
      <c r="K18" s="22" t="str">
        <f t="shared" si="2"/>
        <v>Low</v>
      </c>
      <c r="L18" s="436">
        <f t="shared" si="1"/>
        <v>0.3333333333</v>
      </c>
      <c r="M18" s="713"/>
      <c r="N18" s="672"/>
      <c r="O18" s="22"/>
    </row>
    <row r="19">
      <c r="A19" s="22" t="s">
        <v>362</v>
      </c>
      <c r="B19" s="511">
        <v>96.0</v>
      </c>
      <c r="C19" s="265">
        <v>452.87</v>
      </c>
      <c r="D19" s="265">
        <v>27.8130841121495</v>
      </c>
      <c r="E19" s="707">
        <v>97.0398504672897</v>
      </c>
      <c r="F19" s="531">
        <v>549.909850467289</v>
      </c>
      <c r="G19" s="510">
        <v>21.4277497885242</v>
      </c>
      <c r="H19" s="265">
        <v>97.03985047</v>
      </c>
      <c r="I19" s="265">
        <v>0.24</v>
      </c>
      <c r="J19" s="709">
        <v>2.328956411E7</v>
      </c>
      <c r="K19" s="385" t="str">
        <f t="shared" si="2"/>
        <v>Low</v>
      </c>
      <c r="L19" s="436">
        <f t="shared" si="1"/>
        <v>0.3333333333</v>
      </c>
      <c r="M19" s="713"/>
      <c r="N19" s="672"/>
      <c r="O19" s="22"/>
    </row>
    <row r="20">
      <c r="A20" s="22" t="s">
        <v>363</v>
      </c>
      <c r="B20" s="511">
        <v>232.0</v>
      </c>
      <c r="C20" s="265">
        <v>744.79</v>
      </c>
      <c r="D20" s="265">
        <v>67.214953271028</v>
      </c>
      <c r="E20" s="707">
        <v>234.512971962616</v>
      </c>
      <c r="F20" s="531">
        <v>979.302971962616</v>
      </c>
      <c r="G20" s="510">
        <v>31.4871268361037</v>
      </c>
      <c r="H20" s="265">
        <v>234.512972</v>
      </c>
      <c r="I20" s="265">
        <v>0.062</v>
      </c>
      <c r="J20" s="709">
        <v>1.453980426E7</v>
      </c>
      <c r="K20" s="22" t="str">
        <f t="shared" si="2"/>
        <v>Low</v>
      </c>
      <c r="L20" s="436">
        <f t="shared" si="1"/>
        <v>0.3333333333</v>
      </c>
      <c r="M20" s="713"/>
      <c r="N20" s="672"/>
      <c r="O20" s="22"/>
    </row>
    <row r="21">
      <c r="A21" s="22" t="s">
        <v>255</v>
      </c>
      <c r="B21" s="511">
        <v>2125.0</v>
      </c>
      <c r="C21" s="265">
        <v>14678.15</v>
      </c>
      <c r="D21" s="265">
        <v>615.654205607476</v>
      </c>
      <c r="E21" s="707">
        <v>2148.01752336448</v>
      </c>
      <c r="F21" s="531">
        <v>16826.1675233644</v>
      </c>
      <c r="G21" s="510">
        <v>14.6341161751616</v>
      </c>
      <c r="H21" s="265">
        <v>2148.017523</v>
      </c>
      <c r="I21" s="265">
        <v>0.023</v>
      </c>
      <c r="J21" s="709">
        <v>4.940440304E7</v>
      </c>
      <c r="K21" s="385" t="str">
        <f t="shared" si="2"/>
        <v>Medium</v>
      </c>
      <c r="L21" s="436">
        <f t="shared" si="1"/>
        <v>0.6666666667</v>
      </c>
      <c r="M21" s="713"/>
      <c r="N21" s="672"/>
      <c r="O21" s="22"/>
    </row>
    <row r="22">
      <c r="A22" s="22" t="s">
        <v>374</v>
      </c>
      <c r="B22" s="511">
        <v>333.0</v>
      </c>
      <c r="C22" s="265">
        <v>2286.33</v>
      </c>
      <c r="D22" s="265">
        <v>96.4766355140187</v>
      </c>
      <c r="E22" s="707">
        <v>336.606981308411</v>
      </c>
      <c r="F22" s="531">
        <v>2622.93698130841</v>
      </c>
      <c r="G22" s="510">
        <v>14.722589534687</v>
      </c>
      <c r="H22" s="265">
        <v>336.6069813</v>
      </c>
      <c r="I22" s="265">
        <v>0.19</v>
      </c>
      <c r="J22" s="709">
        <v>6.395532645E7</v>
      </c>
      <c r="K22" s="22" t="str">
        <f t="shared" si="2"/>
        <v>Medium</v>
      </c>
      <c r="L22" s="436">
        <f t="shared" si="1"/>
        <v>0.6666666667</v>
      </c>
      <c r="M22" s="713"/>
      <c r="N22" s="672"/>
      <c r="O22" s="22"/>
    </row>
    <row r="23">
      <c r="A23" s="22" t="s">
        <v>263</v>
      </c>
      <c r="B23" s="511">
        <v>67.0</v>
      </c>
      <c r="C23" s="265">
        <v>307.92</v>
      </c>
      <c r="D23" s="265">
        <v>19.411214953271</v>
      </c>
      <c r="E23" s="707">
        <v>67.7257289719626</v>
      </c>
      <c r="F23" s="531">
        <v>375.645728971962</v>
      </c>
      <c r="G23" s="510">
        <v>21.9945859223053</v>
      </c>
      <c r="H23" s="265">
        <v>67.72572897</v>
      </c>
      <c r="I23" s="265">
        <v>0.2</v>
      </c>
      <c r="J23" s="709">
        <v>1.354514579E7</v>
      </c>
      <c r="K23" s="385" t="str">
        <f t="shared" si="2"/>
        <v>Low</v>
      </c>
      <c r="L23" s="436">
        <f t="shared" si="1"/>
        <v>0.3333333333</v>
      </c>
      <c r="M23" s="713"/>
      <c r="N23" s="672"/>
      <c r="O23" s="22"/>
    </row>
    <row r="24">
      <c r="A24" s="22" t="s">
        <v>266</v>
      </c>
      <c r="B24" s="511">
        <v>2542.0</v>
      </c>
      <c r="C24" s="265">
        <v>20930.69</v>
      </c>
      <c r="D24" s="265">
        <v>736.467289719626</v>
      </c>
      <c r="E24" s="707">
        <v>2569.53437383177</v>
      </c>
      <c r="F24" s="531">
        <v>23500.2243738317</v>
      </c>
      <c r="G24" s="510">
        <v>12.2763959230764</v>
      </c>
      <c r="H24" s="265">
        <v>2569.534374</v>
      </c>
      <c r="I24" s="265">
        <v>0.089</v>
      </c>
      <c r="J24" s="709">
        <v>2.286885593E8</v>
      </c>
      <c r="K24" s="22" t="str">
        <f t="shared" si="2"/>
        <v>High</v>
      </c>
      <c r="L24" s="436">
        <f t="shared" si="1"/>
        <v>1</v>
      </c>
      <c r="M24" s="713"/>
      <c r="N24" s="672"/>
      <c r="O24" s="22"/>
    </row>
    <row r="25">
      <c r="A25" s="22" t="s">
        <v>385</v>
      </c>
      <c r="B25" s="511">
        <v>456.0</v>
      </c>
      <c r="C25" s="265">
        <v>2778.67</v>
      </c>
      <c r="D25" s="265">
        <v>132.11214953271</v>
      </c>
      <c r="E25" s="707">
        <v>460.939289719626</v>
      </c>
      <c r="F25" s="531">
        <v>3239.60928971962</v>
      </c>
      <c r="G25" s="510">
        <v>16.5884862081364</v>
      </c>
      <c r="H25" s="265">
        <v>460.9392897</v>
      </c>
      <c r="I25" s="265">
        <v>0.185</v>
      </c>
      <c r="J25" s="709">
        <v>8.52737686E7</v>
      </c>
      <c r="K25" s="385" t="str">
        <f t="shared" si="2"/>
        <v>Medium</v>
      </c>
      <c r="L25" s="436">
        <f t="shared" si="1"/>
        <v>0.6666666667</v>
      </c>
      <c r="M25" s="713"/>
      <c r="N25" s="672"/>
      <c r="O25" s="22"/>
    </row>
    <row r="26">
      <c r="A26" s="22" t="s">
        <v>386</v>
      </c>
      <c r="B26" s="511">
        <v>40.0</v>
      </c>
      <c r="C26" s="265">
        <v>82.49</v>
      </c>
      <c r="D26" s="265">
        <v>11.5887850467289</v>
      </c>
      <c r="E26" s="707">
        <v>40.4332710280373</v>
      </c>
      <c r="F26" s="531">
        <v>122.923271028037</v>
      </c>
      <c r="G26" s="510">
        <v>49.0159668178414</v>
      </c>
      <c r="H26" s="265">
        <v>40.43327103</v>
      </c>
      <c r="I26" s="265">
        <v>0.38</v>
      </c>
      <c r="J26" s="709">
        <v>1.536464299E7</v>
      </c>
      <c r="K26" s="22" t="str">
        <f t="shared" si="2"/>
        <v>Low</v>
      </c>
      <c r="L26" s="436">
        <f t="shared" si="1"/>
        <v>0.3333333333</v>
      </c>
      <c r="M26" s="713"/>
      <c r="N26" s="672"/>
      <c r="O26" s="22"/>
    </row>
    <row r="27">
      <c r="A27" s="22" t="s">
        <v>280</v>
      </c>
      <c r="B27" s="511">
        <v>2950.0</v>
      </c>
      <c r="C27" s="265">
        <v>11832.51</v>
      </c>
      <c r="D27" s="265">
        <v>854.672897196261</v>
      </c>
      <c r="E27" s="707">
        <v>2981.95373831775</v>
      </c>
      <c r="F27" s="531">
        <v>14814.4637383177</v>
      </c>
      <c r="G27" s="510">
        <v>25.2013625031185</v>
      </c>
      <c r="H27" s="265">
        <v>2981.953738</v>
      </c>
      <c r="I27" s="265">
        <v>0.143</v>
      </c>
      <c r="J27" s="709">
        <v>4.264193846E8</v>
      </c>
      <c r="K27" s="385" t="str">
        <f t="shared" si="2"/>
        <v>High</v>
      </c>
      <c r="L27" s="436">
        <f t="shared" si="1"/>
        <v>1</v>
      </c>
      <c r="M27" s="713"/>
      <c r="N27" s="672"/>
      <c r="O27" s="22"/>
    </row>
    <row r="28">
      <c r="A28" s="22" t="s">
        <v>392</v>
      </c>
      <c r="B28" s="511">
        <v>157.0</v>
      </c>
      <c r="C28" s="265">
        <v>501.22</v>
      </c>
      <c r="D28" s="265">
        <v>45.4859813084112</v>
      </c>
      <c r="E28" s="707">
        <v>158.700588785046</v>
      </c>
      <c r="F28" s="531">
        <v>659.920588785046</v>
      </c>
      <c r="G28" s="510">
        <v>31.6628603776877</v>
      </c>
      <c r="H28" s="265">
        <v>158.7005888</v>
      </c>
      <c r="I28" s="265">
        <v>0.019</v>
      </c>
      <c r="J28" s="709">
        <v>3015311.187</v>
      </c>
      <c r="K28" s="22" t="str">
        <f t="shared" si="2"/>
        <v>Low</v>
      </c>
      <c r="L28" s="436">
        <f t="shared" si="1"/>
        <v>0.3333333333</v>
      </c>
      <c r="M28" s="713"/>
      <c r="N28" s="672"/>
      <c r="O28" s="22"/>
    </row>
    <row r="29">
      <c r="A29" s="22" t="s">
        <v>394</v>
      </c>
      <c r="B29" s="511">
        <v>89.0</v>
      </c>
      <c r="C29" s="265">
        <v>920.23</v>
      </c>
      <c r="D29" s="265">
        <v>25.7850467289719</v>
      </c>
      <c r="E29" s="707">
        <v>89.9640280373831</v>
      </c>
      <c r="F29" s="531">
        <v>1010.19402803738</v>
      </c>
      <c r="G29" s="510">
        <v>9.77625463605655</v>
      </c>
      <c r="H29" s="265">
        <v>89.96402804</v>
      </c>
      <c r="I29" s="265">
        <v>0.242</v>
      </c>
      <c r="J29" s="709">
        <v>2.177129479E7</v>
      </c>
      <c r="K29" s="385" t="str">
        <f t="shared" si="2"/>
        <v>Low</v>
      </c>
      <c r="L29" s="436">
        <f t="shared" si="1"/>
        <v>0.3333333333</v>
      </c>
      <c r="M29" s="713"/>
      <c r="N29" s="672"/>
      <c r="O29" s="22"/>
    </row>
    <row r="30">
      <c r="A30" s="22" t="s">
        <v>396</v>
      </c>
      <c r="B30" s="511">
        <v>13703.0</v>
      </c>
      <c r="C30" s="265">
        <v>32020.49</v>
      </c>
      <c r="D30" s="265">
        <v>3970.02803738317</v>
      </c>
      <c r="E30" s="707">
        <v>13851.4278224299</v>
      </c>
      <c r="F30" s="531">
        <v>45871.9178224299</v>
      </c>
      <c r="G30" s="510">
        <v>43.2580132984533</v>
      </c>
      <c r="H30" s="265">
        <v>13851.42782</v>
      </c>
      <c r="I30" s="265">
        <v>0.041</v>
      </c>
      <c r="J30" s="709">
        <v>5.679085407E8</v>
      </c>
      <c r="K30" s="22" t="str">
        <f t="shared" si="2"/>
        <v>High</v>
      </c>
      <c r="L30" s="436">
        <f t="shared" si="1"/>
        <v>1</v>
      </c>
      <c r="M30" s="713"/>
      <c r="N30" s="672"/>
      <c r="O30" s="22"/>
    </row>
    <row r="31">
      <c r="A31" s="22" t="s">
        <v>336</v>
      </c>
      <c r="B31" s="511">
        <v>694.0</v>
      </c>
      <c r="C31" s="265">
        <v>2093.13</v>
      </c>
      <c r="D31" s="265">
        <v>201.065420560747</v>
      </c>
      <c r="E31" s="707">
        <v>701.517252336448</v>
      </c>
      <c r="F31" s="531">
        <v>2794.64725233644</v>
      </c>
      <c r="G31" s="510">
        <v>33.5152261128763</v>
      </c>
      <c r="H31" s="265">
        <v>701.5172523</v>
      </c>
      <c r="I31" s="265">
        <v>0.098</v>
      </c>
      <c r="J31" s="709">
        <v>6.874869073E7</v>
      </c>
      <c r="K31" s="385" t="str">
        <f t="shared" si="2"/>
        <v>Medium</v>
      </c>
      <c r="L31" s="436">
        <f t="shared" si="1"/>
        <v>0.6666666667</v>
      </c>
      <c r="M31" s="713"/>
      <c r="N31" s="672"/>
      <c r="O31" s="22"/>
    </row>
    <row r="32">
      <c r="A32" s="22" t="s">
        <v>343</v>
      </c>
      <c r="B32" s="511">
        <v>221.0</v>
      </c>
      <c r="C32" s="265">
        <v>1424.46</v>
      </c>
      <c r="D32" s="265">
        <v>64.0280373831775</v>
      </c>
      <c r="E32" s="707">
        <v>223.393822429906</v>
      </c>
      <c r="F32" s="531">
        <v>1647.8538224299</v>
      </c>
      <c r="G32" s="510">
        <v>15.6827023875648</v>
      </c>
      <c r="H32" s="265">
        <v>223.3938224</v>
      </c>
      <c r="I32" s="265">
        <v>0.144</v>
      </c>
      <c r="J32" s="709">
        <v>3.216871043E7</v>
      </c>
      <c r="K32" s="22" t="str">
        <f t="shared" si="2"/>
        <v>Medium</v>
      </c>
      <c r="L32" s="436">
        <f t="shared" si="1"/>
        <v>0.6666666667</v>
      </c>
      <c r="M32" s="713"/>
      <c r="N32" s="672"/>
      <c r="O32" s="22"/>
    </row>
    <row r="33">
      <c r="A33" s="22" t="s">
        <v>399</v>
      </c>
      <c r="B33" s="511">
        <v>748.0</v>
      </c>
      <c r="C33" s="265">
        <v>3388.22</v>
      </c>
      <c r="D33" s="265">
        <v>216.710280373831</v>
      </c>
      <c r="E33" s="707">
        <v>756.102168224299</v>
      </c>
      <c r="F33" s="531">
        <v>4144.32216822429</v>
      </c>
      <c r="G33" s="510">
        <v>22.3156161118315</v>
      </c>
      <c r="H33" s="265">
        <v>756.1021682</v>
      </c>
      <c r="I33" s="265">
        <v>0.156</v>
      </c>
      <c r="J33" s="709">
        <v>1.179519382E8</v>
      </c>
      <c r="K33" s="385" t="str">
        <f t="shared" si="2"/>
        <v>High</v>
      </c>
      <c r="L33" s="436">
        <f t="shared" si="1"/>
        <v>1</v>
      </c>
      <c r="M33" s="713"/>
      <c r="N33" s="672"/>
      <c r="O33" s="22"/>
    </row>
    <row r="34">
      <c r="A34" s="22" t="s">
        <v>401</v>
      </c>
      <c r="B34" s="511">
        <v>320.0</v>
      </c>
      <c r="C34" s="265">
        <v>1875.86</v>
      </c>
      <c r="D34" s="265">
        <v>92.7102803738317</v>
      </c>
      <c r="E34" s="707">
        <v>323.466168224299</v>
      </c>
      <c r="F34" s="531">
        <v>2199.32616822429</v>
      </c>
      <c r="G34" s="510">
        <v>17.2436198983026</v>
      </c>
      <c r="H34" s="265">
        <v>323.4661682</v>
      </c>
      <c r="I34" s="265">
        <v>0.162</v>
      </c>
      <c r="J34" s="709">
        <v>5.240151925E7</v>
      </c>
      <c r="K34" s="22" t="str">
        <f t="shared" si="2"/>
        <v>Medium</v>
      </c>
      <c r="L34" s="436">
        <f t="shared" si="1"/>
        <v>0.6666666667</v>
      </c>
      <c r="M34" s="713"/>
      <c r="N34" s="672"/>
      <c r="O34" s="22"/>
      <c r="Q34" s="16"/>
    </row>
    <row r="35">
      <c r="A35" s="22" t="s">
        <v>354</v>
      </c>
      <c r="B35" s="511">
        <v>356.0</v>
      </c>
      <c r="C35" s="265">
        <v>2885.61</v>
      </c>
      <c r="D35" s="265">
        <v>103.140186915887</v>
      </c>
      <c r="E35" s="707">
        <v>359.856112149532</v>
      </c>
      <c r="F35" s="531">
        <v>3245.46611214953</v>
      </c>
      <c r="G35" s="510">
        <v>12.4707119863575</v>
      </c>
      <c r="H35" s="265">
        <v>359.8561121</v>
      </c>
      <c r="I35" s="265">
        <v>0.119</v>
      </c>
      <c r="J35" s="709">
        <v>4.282287735E7</v>
      </c>
      <c r="K35" s="385" t="str">
        <f t="shared" si="2"/>
        <v>Medium</v>
      </c>
      <c r="L35" s="436">
        <f t="shared" si="1"/>
        <v>0.6666666667</v>
      </c>
      <c r="M35" s="713"/>
      <c r="N35" s="672"/>
      <c r="O35" s="22"/>
    </row>
    <row r="36">
      <c r="A36" s="22" t="s">
        <v>290</v>
      </c>
      <c r="B36" s="511">
        <v>5688.0</v>
      </c>
      <c r="C36" s="265">
        <v>41150.91</v>
      </c>
      <c r="D36" s="265">
        <v>1647.92523364485</v>
      </c>
      <c r="E36" s="707">
        <v>5749.61114018691</v>
      </c>
      <c r="F36" s="531">
        <v>46900.5211401869</v>
      </c>
      <c r="G36" s="510">
        <v>13.9720145682973</v>
      </c>
      <c r="H36" s="265">
        <v>5749.61114</v>
      </c>
      <c r="I36" s="265">
        <v>0.106</v>
      </c>
      <c r="J36" s="709">
        <v>6.094587809E8</v>
      </c>
      <c r="K36" s="22" t="str">
        <f t="shared" si="2"/>
        <v>High</v>
      </c>
      <c r="L36" s="436">
        <f t="shared" si="1"/>
        <v>1</v>
      </c>
      <c r="M36" s="713"/>
      <c r="N36" s="672"/>
      <c r="O36" s="22"/>
    </row>
    <row r="37">
      <c r="A37" s="22" t="s">
        <v>291</v>
      </c>
      <c r="B37" s="511">
        <v>1341.0</v>
      </c>
      <c r="C37" s="265">
        <v>19907.74</v>
      </c>
      <c r="D37" s="265">
        <v>388.514018691588</v>
      </c>
      <c r="E37" s="707">
        <v>1355.52541121495</v>
      </c>
      <c r="F37" s="531">
        <v>21263.2654112149</v>
      </c>
      <c r="G37" s="510">
        <v>6.80903714442197</v>
      </c>
      <c r="H37" s="265">
        <v>1355.525411</v>
      </c>
      <c r="I37" s="265">
        <v>0.08</v>
      </c>
      <c r="J37" s="709">
        <v>1.084420329E8</v>
      </c>
      <c r="K37" s="385" t="str">
        <f t="shared" si="2"/>
        <v>Medium</v>
      </c>
      <c r="L37" s="436">
        <f t="shared" si="1"/>
        <v>0.6666666667</v>
      </c>
      <c r="M37" s="713"/>
      <c r="N37" s="672"/>
      <c r="O37" s="22"/>
    </row>
    <row r="38">
      <c r="A38" s="22" t="s">
        <v>296</v>
      </c>
      <c r="B38" s="511">
        <v>744.0</v>
      </c>
      <c r="C38" s="265">
        <v>1567.16</v>
      </c>
      <c r="D38" s="265">
        <v>215.551401869158</v>
      </c>
      <c r="E38" s="707">
        <v>752.058841121495</v>
      </c>
      <c r="F38" s="531">
        <v>2319.21884112149</v>
      </c>
      <c r="G38" s="510">
        <v>47.9886444984236</v>
      </c>
      <c r="H38" s="265">
        <v>752.0588411</v>
      </c>
      <c r="I38" s="265">
        <v>0.148</v>
      </c>
      <c r="J38" s="709">
        <v>1.113047085E8</v>
      </c>
      <c r="K38" s="22" t="str">
        <f t="shared" si="2"/>
        <v>High</v>
      </c>
      <c r="L38" s="436">
        <f t="shared" si="1"/>
        <v>1</v>
      </c>
      <c r="M38" s="713"/>
      <c r="N38" s="672"/>
      <c r="O38" s="22"/>
    </row>
    <row r="39">
      <c r="A39" s="22" t="s">
        <v>407</v>
      </c>
      <c r="B39" s="511">
        <v>325.0</v>
      </c>
      <c r="C39" s="265">
        <v>450.85</v>
      </c>
      <c r="D39" s="265">
        <v>94.1588785046729</v>
      </c>
      <c r="E39" s="707">
        <v>328.520327102803</v>
      </c>
      <c r="F39" s="531">
        <v>779.370327102803</v>
      </c>
      <c r="G39" s="510">
        <v>72.8668796945333</v>
      </c>
      <c r="H39" s="265">
        <v>328.5203271</v>
      </c>
      <c r="I39" s="265">
        <v>0.236</v>
      </c>
      <c r="J39" s="709">
        <v>7.75307972E7</v>
      </c>
      <c r="K39" s="385" t="str">
        <f t="shared" si="2"/>
        <v>Medium</v>
      </c>
      <c r="L39" s="436">
        <f t="shared" si="1"/>
        <v>0.6666666667</v>
      </c>
      <c r="M39" s="713"/>
      <c r="N39" s="672"/>
      <c r="O39" s="22"/>
    </row>
    <row r="40">
      <c r="A40" s="22" t="s">
        <v>299</v>
      </c>
      <c r="B40" s="511">
        <v>13826.0</v>
      </c>
      <c r="C40" s="265">
        <v>31457.88</v>
      </c>
      <c r="D40" s="265">
        <v>4005.66355140186</v>
      </c>
      <c r="E40" s="707">
        <v>13975.7601308411</v>
      </c>
      <c r="F40" s="531">
        <v>45433.6401308411</v>
      </c>
      <c r="G40" s="510">
        <v>44.426897587635</v>
      </c>
      <c r="H40" s="265">
        <v>13975.76013</v>
      </c>
      <c r="I40" s="265">
        <v>0.145</v>
      </c>
      <c r="J40" s="709">
        <v>2.026485219E9</v>
      </c>
      <c r="K40" s="22" t="str">
        <f t="shared" si="2"/>
        <v>High</v>
      </c>
      <c r="L40" s="436">
        <f t="shared" si="1"/>
        <v>1</v>
      </c>
      <c r="M40" s="713"/>
      <c r="N40" s="672"/>
      <c r="O40" s="22"/>
    </row>
    <row r="41">
      <c r="A41" s="22" t="s">
        <v>302</v>
      </c>
      <c r="B41" s="511">
        <v>66.0</v>
      </c>
      <c r="C41" s="265">
        <v>854.65</v>
      </c>
      <c r="D41" s="265">
        <v>19.1214953271028</v>
      </c>
      <c r="E41" s="707">
        <v>66.7148971962616</v>
      </c>
      <c r="F41" s="531">
        <v>921.364897196261</v>
      </c>
      <c r="G41" s="510">
        <v>7.80610743535501</v>
      </c>
      <c r="H41" s="265">
        <v>66.7148972</v>
      </c>
      <c r="I41" s="265">
        <v>0.081</v>
      </c>
      <c r="J41" s="709">
        <v>5403906.673</v>
      </c>
      <c r="K41" s="385" t="str">
        <f t="shared" si="2"/>
        <v>Low</v>
      </c>
      <c r="L41" s="436">
        <f t="shared" si="1"/>
        <v>0.3333333333</v>
      </c>
      <c r="M41" s="713"/>
      <c r="N41" s="672"/>
      <c r="O41" s="22"/>
    </row>
    <row r="42">
      <c r="A42" s="22" t="s">
        <v>410</v>
      </c>
      <c r="B42" s="511">
        <v>15.0</v>
      </c>
      <c r="C42" s="265">
        <v>100.55</v>
      </c>
      <c r="D42" s="265">
        <v>4.34579439252336</v>
      </c>
      <c r="E42" s="707">
        <v>15.162476635514</v>
      </c>
      <c r="F42" s="531">
        <v>115.712476635514</v>
      </c>
      <c r="G42" s="510">
        <v>15.0795391700785</v>
      </c>
      <c r="H42" s="265">
        <v>15.16247664</v>
      </c>
      <c r="I42" s="265">
        <v>0.18</v>
      </c>
      <c r="J42" s="709">
        <v>2729245.794</v>
      </c>
      <c r="K42" s="22" t="str">
        <f t="shared" si="2"/>
        <v>Low</v>
      </c>
      <c r="L42" s="436">
        <f t="shared" si="1"/>
        <v>0.3333333333</v>
      </c>
      <c r="M42" s="713"/>
      <c r="N42" s="672"/>
      <c r="O42" s="22"/>
    </row>
    <row r="43">
      <c r="A43" s="22" t="s">
        <v>411</v>
      </c>
      <c r="B43" s="511">
        <v>881.0</v>
      </c>
      <c r="C43" s="265">
        <v>5615.71</v>
      </c>
      <c r="D43" s="265">
        <v>255.242990654205</v>
      </c>
      <c r="E43" s="707">
        <v>890.542794392523</v>
      </c>
      <c r="F43" s="531">
        <v>6506.25279439252</v>
      </c>
      <c r="G43" s="510">
        <v>15.8580623713212</v>
      </c>
      <c r="H43" s="265">
        <v>890.5427944</v>
      </c>
      <c r="I43" s="265">
        <v>0.21</v>
      </c>
      <c r="J43" s="709">
        <v>1.870139868E8</v>
      </c>
      <c r="K43" s="385" t="str">
        <f t="shared" si="2"/>
        <v>High</v>
      </c>
      <c r="L43" s="436">
        <f t="shared" si="1"/>
        <v>1</v>
      </c>
      <c r="M43" s="713"/>
      <c r="N43" s="672"/>
      <c r="O43" s="22"/>
    </row>
    <row r="44">
      <c r="A44" s="22" t="s">
        <v>309</v>
      </c>
      <c r="B44" s="511">
        <v>72.0</v>
      </c>
      <c r="C44" s="265">
        <v>643.18</v>
      </c>
      <c r="D44" s="265">
        <v>20.8598130841121</v>
      </c>
      <c r="E44" s="707">
        <v>72.7798878504672</v>
      </c>
      <c r="F44" s="531">
        <v>715.959887850467</v>
      </c>
      <c r="G44" s="510">
        <v>11.3156329255367</v>
      </c>
      <c r="H44" s="265">
        <v>72.77988785</v>
      </c>
      <c r="I44" s="265">
        <v>0.293</v>
      </c>
      <c r="J44" s="709">
        <v>2.132450714E7</v>
      </c>
      <c r="K44" s="22" t="str">
        <f t="shared" si="2"/>
        <v>Low</v>
      </c>
      <c r="L44" s="436">
        <f t="shared" si="1"/>
        <v>0.3333333333</v>
      </c>
      <c r="M44" s="713"/>
      <c r="N44" s="672"/>
      <c r="O44" s="22"/>
    </row>
    <row r="45">
      <c r="A45" s="22" t="s">
        <v>412</v>
      </c>
      <c r="B45" s="511">
        <v>244.0</v>
      </c>
      <c r="C45" s="265">
        <v>207.89</v>
      </c>
      <c r="D45" s="265">
        <v>70.6915887850467</v>
      </c>
      <c r="E45" s="707">
        <v>246.642953271028</v>
      </c>
      <c r="F45" s="531">
        <v>454.532953271027</v>
      </c>
      <c r="G45" s="510">
        <v>118.641085800677</v>
      </c>
      <c r="H45" s="265">
        <v>246.6429533</v>
      </c>
      <c r="I45" s="265">
        <v>0.171</v>
      </c>
      <c r="J45" s="709">
        <v>4.217594501E7</v>
      </c>
      <c r="K45" s="385" t="str">
        <f t="shared" si="2"/>
        <v>Medium</v>
      </c>
      <c r="L45" s="436">
        <f t="shared" si="1"/>
        <v>0.6666666667</v>
      </c>
      <c r="M45" s="713"/>
      <c r="N45" s="672"/>
      <c r="O45" s="22"/>
    </row>
    <row r="46">
      <c r="A46" s="22" t="s">
        <v>415</v>
      </c>
      <c r="B46" s="511">
        <v>28.0</v>
      </c>
      <c r="C46" s="265">
        <v>407.88</v>
      </c>
      <c r="D46" s="265">
        <v>8.11214953271028</v>
      </c>
      <c r="E46" s="707">
        <v>28.3032897196261</v>
      </c>
      <c r="F46" s="531">
        <v>436.183289719626</v>
      </c>
      <c r="G46" s="510">
        <v>6.93912173179026</v>
      </c>
      <c r="H46" s="265">
        <v>28.30328972</v>
      </c>
      <c r="I46" s="265">
        <v>0.079</v>
      </c>
      <c r="J46" s="709">
        <v>2235959.888</v>
      </c>
      <c r="K46" s="22" t="str">
        <f t="shared" si="2"/>
        <v>Low</v>
      </c>
      <c r="L46" s="436">
        <f t="shared" si="1"/>
        <v>0.3333333333</v>
      </c>
      <c r="M46" s="713"/>
      <c r="N46" s="672"/>
      <c r="O46" s="22"/>
    </row>
    <row r="47">
      <c r="A47" s="22" t="s">
        <v>313</v>
      </c>
      <c r="B47" s="511">
        <v>17902.0</v>
      </c>
      <c r="C47" s="265">
        <v>221499.54</v>
      </c>
      <c r="D47" s="265">
        <v>5186.56074766355</v>
      </c>
      <c r="E47" s="707">
        <v>18095.9104485981</v>
      </c>
      <c r="F47" s="531">
        <v>239595.450448598</v>
      </c>
      <c r="G47" s="510">
        <v>8.16972822995394</v>
      </c>
      <c r="H47" s="265">
        <v>18095.91045</v>
      </c>
      <c r="I47" s="265">
        <v>0.072</v>
      </c>
      <c r="J47" s="709">
        <v>1.302905552E9</v>
      </c>
      <c r="K47" s="385" t="str">
        <f t="shared" si="2"/>
        <v>High</v>
      </c>
      <c r="L47" s="436">
        <f t="shared" si="1"/>
        <v>1</v>
      </c>
      <c r="M47" s="713"/>
      <c r="N47" s="672"/>
      <c r="O47" s="22"/>
    </row>
    <row r="48">
      <c r="A48" s="22" t="s">
        <v>416</v>
      </c>
      <c r="B48" s="511">
        <v>296.0</v>
      </c>
      <c r="C48" s="265">
        <v>569.32</v>
      </c>
      <c r="D48" s="265">
        <v>85.7570093457943</v>
      </c>
      <c r="E48" s="707">
        <v>299.206205607476</v>
      </c>
      <c r="F48" s="531">
        <v>868.526205607476</v>
      </c>
      <c r="G48" s="510">
        <v>52.5550139829053</v>
      </c>
      <c r="H48" s="265">
        <v>299.2062056</v>
      </c>
      <c r="I48" s="265">
        <v>0.42</v>
      </c>
      <c r="J48" s="709">
        <v>1.256666064E8</v>
      </c>
      <c r="K48" s="22" t="str">
        <f t="shared" si="2"/>
        <v>High</v>
      </c>
      <c r="L48" s="436">
        <f t="shared" si="1"/>
        <v>1</v>
      </c>
      <c r="M48" s="713"/>
      <c r="N48" s="672"/>
      <c r="O48" s="22"/>
    </row>
    <row r="49">
      <c r="A49" s="22" t="s">
        <v>417</v>
      </c>
      <c r="B49" s="511">
        <v>3743.0</v>
      </c>
      <c r="C49" s="265">
        <v>16595.42</v>
      </c>
      <c r="D49" s="265">
        <v>1084.42056074766</v>
      </c>
      <c r="E49" s="707">
        <v>3783.54333644859</v>
      </c>
      <c r="F49" s="531">
        <v>20378.9633364485</v>
      </c>
      <c r="G49" s="510">
        <v>22.7987199868915</v>
      </c>
      <c r="H49" s="265">
        <v>3783.543336</v>
      </c>
      <c r="I49" s="265">
        <v>0.044</v>
      </c>
      <c r="J49" s="709">
        <v>1.664759068E8</v>
      </c>
      <c r="K49" s="385" t="str">
        <f t="shared" si="2"/>
        <v>High</v>
      </c>
      <c r="L49" s="436">
        <f t="shared" si="1"/>
        <v>1</v>
      </c>
      <c r="M49" s="713"/>
      <c r="N49" s="672"/>
      <c r="O49" s="22"/>
    </row>
    <row r="50">
      <c r="A50" s="22" t="s">
        <v>418</v>
      </c>
      <c r="B50" s="511">
        <v>2695.0</v>
      </c>
      <c r="C50" s="265">
        <v>8168.69</v>
      </c>
      <c r="D50" s="265">
        <v>780.794392523364</v>
      </c>
      <c r="E50" s="707">
        <v>2724.19163551401</v>
      </c>
      <c r="F50" s="531">
        <v>10892.881635514</v>
      </c>
      <c r="G50" s="510">
        <v>33.349186167109</v>
      </c>
      <c r="H50" s="265">
        <v>2724.191636</v>
      </c>
      <c r="I50" s="265">
        <v>0.095</v>
      </c>
      <c r="J50" s="709">
        <v>2.587982054E8</v>
      </c>
      <c r="K50" s="22" t="str">
        <f t="shared" si="2"/>
        <v>High</v>
      </c>
      <c r="L50" s="436">
        <f t="shared" si="1"/>
        <v>1</v>
      </c>
      <c r="M50" s="713"/>
      <c r="N50" s="672"/>
      <c r="O50" s="22"/>
    </row>
    <row r="51">
      <c r="A51" s="22" t="s">
        <v>398</v>
      </c>
      <c r="B51" s="511">
        <v>319.0</v>
      </c>
      <c r="C51" s="265">
        <v>625.07</v>
      </c>
      <c r="D51" s="265">
        <v>92.4205607476635</v>
      </c>
      <c r="E51" s="707">
        <v>322.455336448598</v>
      </c>
      <c r="F51" s="531">
        <v>947.525336448598</v>
      </c>
      <c r="G51" s="510">
        <v>51.5870760792548</v>
      </c>
      <c r="H51" s="265">
        <v>322.4553364</v>
      </c>
      <c r="I51" s="265">
        <v>0.176</v>
      </c>
      <c r="J51" s="709">
        <v>5.675213921E7</v>
      </c>
      <c r="K51" s="385" t="str">
        <f t="shared" si="2"/>
        <v>Medium</v>
      </c>
      <c r="L51" s="436">
        <f t="shared" si="1"/>
        <v>0.6666666667</v>
      </c>
      <c r="M51" s="713"/>
      <c r="N51" s="672"/>
      <c r="O51" s="22"/>
    </row>
    <row r="52">
      <c r="A52" s="22" t="s">
        <v>318</v>
      </c>
      <c r="B52" s="511">
        <v>2274.0</v>
      </c>
      <c r="C52" s="265">
        <v>20923.47</v>
      </c>
      <c r="D52" s="265">
        <v>658.822429906542</v>
      </c>
      <c r="E52" s="707">
        <v>2298.63145794392</v>
      </c>
      <c r="F52" s="531">
        <v>23222.1014579439</v>
      </c>
      <c r="G52" s="510">
        <v>10.9858998433047</v>
      </c>
      <c r="H52" s="265">
        <v>2298.631458</v>
      </c>
      <c r="I52" s="265">
        <v>0.114</v>
      </c>
      <c r="J52" s="709">
        <v>2.620439862E8</v>
      </c>
      <c r="K52" s="22" t="str">
        <f t="shared" si="2"/>
        <v>High</v>
      </c>
      <c r="L52" s="436">
        <f t="shared" si="1"/>
        <v>1</v>
      </c>
      <c r="M52" s="713"/>
      <c r="N52" s="672"/>
      <c r="O52" s="22"/>
    </row>
    <row r="53">
      <c r="A53" s="22" t="s">
        <v>405</v>
      </c>
      <c r="B53" s="511">
        <v>1074.0</v>
      </c>
      <c r="C53" s="265">
        <v>4401.01</v>
      </c>
      <c r="D53" s="265">
        <v>311.158878504672</v>
      </c>
      <c r="E53" s="707">
        <v>1085.6333271028</v>
      </c>
      <c r="F53" s="531">
        <v>5486.6433271028</v>
      </c>
      <c r="G53" s="510">
        <v>24.6678223203947</v>
      </c>
      <c r="H53" s="265">
        <v>1085.633327</v>
      </c>
      <c r="I53" s="265">
        <v>0.13</v>
      </c>
      <c r="J53" s="709">
        <v>1.411323325E8</v>
      </c>
      <c r="K53" s="385" t="str">
        <f t="shared" si="2"/>
        <v>High</v>
      </c>
      <c r="L53" s="436">
        <f t="shared" si="1"/>
        <v>1</v>
      </c>
      <c r="M53" s="713"/>
      <c r="N53" s="672"/>
      <c r="O53" s="22"/>
    </row>
    <row r="54">
      <c r="A54" s="22" t="s">
        <v>408</v>
      </c>
      <c r="B54" s="511">
        <v>654.0</v>
      </c>
      <c r="C54" s="265">
        <v>17714.25</v>
      </c>
      <c r="D54" s="265">
        <v>189.476635514018</v>
      </c>
      <c r="E54" s="707">
        <v>661.083981308411</v>
      </c>
      <c r="F54" s="531">
        <v>18375.3339813084</v>
      </c>
      <c r="G54" s="510">
        <v>3.73193322499349</v>
      </c>
      <c r="H54" s="265">
        <v>661.0839813</v>
      </c>
      <c r="I54" s="265">
        <v>0.043</v>
      </c>
      <c r="J54" s="709">
        <v>2.84266112E7</v>
      </c>
      <c r="K54" s="22" t="str">
        <f t="shared" si="2"/>
        <v>Low</v>
      </c>
      <c r="L54" s="436">
        <f t="shared" si="1"/>
        <v>0.3333333333</v>
      </c>
      <c r="M54" s="713"/>
      <c r="N54" s="672"/>
      <c r="O54" s="22"/>
    </row>
    <row r="55">
      <c r="A55" s="244" t="s">
        <v>320</v>
      </c>
      <c r="B55" s="523">
        <v>812.0</v>
      </c>
      <c r="C55" s="350">
        <v>8030.89</v>
      </c>
      <c r="D55" s="350">
        <v>235.252336448598</v>
      </c>
      <c r="E55" s="716">
        <v>820.795401869158</v>
      </c>
      <c r="F55" s="541">
        <v>8851.68540186916</v>
      </c>
      <c r="G55" s="522">
        <v>10.2204786999841</v>
      </c>
      <c r="H55" s="350">
        <v>820.7954019</v>
      </c>
      <c r="I55" s="350">
        <v>0.112</v>
      </c>
      <c r="J55" s="717">
        <v>9.192908501E7</v>
      </c>
      <c r="K55" s="248" t="str">
        <f t="shared" si="2"/>
        <v>Medium</v>
      </c>
      <c r="L55" s="446">
        <f t="shared" si="1"/>
        <v>0.6666666667</v>
      </c>
      <c r="M55" s="713"/>
      <c r="N55" s="672"/>
      <c r="O55" s="22"/>
    </row>
    <row r="56">
      <c r="C56" s="483"/>
      <c r="D56" s="355"/>
      <c r="E56" s="672"/>
      <c r="F56" s="255"/>
      <c r="G56" s="261"/>
      <c r="H56" s="264"/>
      <c r="I56" s="483"/>
      <c r="J56" s="718"/>
      <c r="L56" s="713"/>
      <c r="M56" s="712"/>
      <c r="N56" s="713"/>
    </row>
    <row r="57">
      <c r="C57" s="357" t="s">
        <v>721</v>
      </c>
      <c r="D57" s="62"/>
      <c r="E57" s="418" t="s">
        <v>421</v>
      </c>
      <c r="F57" s="255"/>
      <c r="G57" s="261"/>
      <c r="H57" s="264"/>
      <c r="I57" s="483"/>
      <c r="J57" s="718"/>
      <c r="L57" s="713"/>
      <c r="M57" s="713"/>
      <c r="N57" s="713"/>
    </row>
    <row r="58">
      <c r="C58" s="360" t="s">
        <v>422</v>
      </c>
      <c r="D58" s="644">
        <f>max(J2:J55)</f>
        <v>2026485219</v>
      </c>
      <c r="E58" s="719" t="s">
        <v>299</v>
      </c>
      <c r="H58" s="483"/>
      <c r="I58" s="355"/>
      <c r="J58" s="718"/>
      <c r="L58" s="713"/>
      <c r="M58" s="713"/>
      <c r="N58" s="713"/>
    </row>
    <row r="59">
      <c r="C59" s="360" t="s">
        <v>423</v>
      </c>
      <c r="D59" s="644">
        <f>MIN(J2:J55)</f>
        <v>2235959.888</v>
      </c>
      <c r="E59" s="720" t="s">
        <v>415</v>
      </c>
      <c r="J59" s="718"/>
      <c r="L59" s="713"/>
      <c r="M59" s="713"/>
      <c r="N59" s="713"/>
    </row>
    <row r="60">
      <c r="C60" s="360" t="s">
        <v>424</v>
      </c>
      <c r="D60" s="644">
        <f>average(J2:J55)</f>
        <v>182900051.2</v>
      </c>
      <c r="E60" s="355"/>
      <c r="J60" s="718"/>
      <c r="L60" s="713"/>
      <c r="M60" s="713"/>
      <c r="N60" s="713"/>
    </row>
    <row r="61">
      <c r="C61" s="360" t="s">
        <v>425</v>
      </c>
      <c r="D61" s="644">
        <f>median(J2:J55)</f>
        <v>62290486.52</v>
      </c>
      <c r="E61" s="355"/>
      <c r="J61" s="718"/>
      <c r="L61" s="713"/>
      <c r="M61" s="713"/>
      <c r="N61" s="713"/>
    </row>
    <row r="62">
      <c r="C62" s="367" t="s">
        <v>446</v>
      </c>
      <c r="D62" s="647">
        <f>STDEV(J2:J55)</f>
        <v>340148391</v>
      </c>
      <c r="E62" s="355"/>
      <c r="J62" s="718"/>
      <c r="L62" s="713"/>
      <c r="M62" s="713"/>
      <c r="N62" s="713"/>
    </row>
    <row r="63">
      <c r="E63" s="672"/>
      <c r="J63" s="718"/>
      <c r="L63" s="713"/>
      <c r="M63" s="713"/>
      <c r="N63" s="713"/>
    </row>
    <row r="64">
      <c r="C64" s="484" t="s">
        <v>325</v>
      </c>
      <c r="J64" s="718"/>
      <c r="L64" s="713"/>
      <c r="M64" s="713"/>
      <c r="N64" s="713"/>
    </row>
    <row r="65">
      <c r="C65" s="721" t="str">
        <f t="array" ref="C65:C82">{"INDICATOR INFORMATION";
  "Index Category: "&amp;CHAR(10)&amp;
  "EV Impact Index - Measures broader benefits of EV adoption";
  "";
  "Sub-Category: "&amp;CHAR(10)&amp;
  "Financial";
  "";
  "Indicator Name: "&amp;CHAR(10)&amp;
  "Utility Revenue Potential";
  "";
  "Description: "&amp;CHAR(10)&amp;
  "Potential utility revenues from selling electricity if 30% of current road transport fleet is electrified";
  "";
  "Calculation Method: "&amp;CHAR(10)&amp;
  "Based on data from AFREC (ktoe), EIA (electricity generation), Climatescope (electricity tariffs)"&amp;CHAR(10)&amp;
  "Data Date Range: 2021";
  "";
  "Summary Statistics: "&amp;CHAR(10)&amp;
  "• 33rd percentile: $30.3M"&amp;CHAR(10)&amp;
  "• 66th percentile: $109.4M";
  "";
  "Scoring Categories: "&amp;CHAR(10)&amp;
  "• Low (&lt;$30M) = Low Impact (1/3)"&amp;CHAR(10)&amp;
  "• Medium ($30M-$110M) = Medium Impact (2/3)"&amp;CHAR(10)&amp;
  "• High (&gt;$110M) = High Impact (3/3)";
  "";
  "Scoring Rationale: "&amp;CHAR(10)&amp;
  "• Electricity sales from EVs could be a new revenue source for beleaguered power utilities on the continent"&amp;CHAR(10)&amp;
  "• Scoring categories based on 33rd and 66th percentiles to create regional benchmarking";
  "";
  "Components Measured: "&amp;CHAR(10)&amp;
  "• Potential utility revenues from EV electricity sales"&amp;CHAR(10)&amp;
  "• Based on 30% electrification of current road transport fleet"}</f>
        <v>INDICATOR INFORMATION</v>
      </c>
      <c r="D65" s="722"/>
      <c r="E65" s="723"/>
      <c r="F65" s="724"/>
      <c r="G65" s="725"/>
      <c r="H65" s="264"/>
      <c r="I65" s="483"/>
      <c r="J65" s="718"/>
      <c r="L65" s="713"/>
      <c r="M65" s="713"/>
      <c r="N65" s="713"/>
    </row>
    <row r="66">
      <c r="C66" s="487" t="s">
        <v>631</v>
      </c>
      <c r="D66" s="355"/>
      <c r="E66" s="672"/>
      <c r="F66" s="255"/>
      <c r="G66" s="383"/>
      <c r="H66" s="264"/>
      <c r="I66" s="483"/>
      <c r="J66" s="718"/>
      <c r="L66" s="713"/>
      <c r="M66" s="713"/>
      <c r="N66" s="713"/>
    </row>
    <row r="67">
      <c r="C67" s="487" t="s">
        <v>126</v>
      </c>
      <c r="D67" s="355"/>
      <c r="E67" s="672"/>
      <c r="F67" s="255"/>
      <c r="G67" s="383"/>
      <c r="H67" s="264"/>
      <c r="I67" s="483"/>
      <c r="J67" s="718"/>
      <c r="L67" s="713"/>
      <c r="M67" s="713"/>
      <c r="N67" s="713"/>
    </row>
    <row r="68">
      <c r="C68" s="487" t="s">
        <v>679</v>
      </c>
      <c r="D68" s="355"/>
      <c r="E68" s="672"/>
      <c r="F68" s="255"/>
      <c r="G68" s="383"/>
      <c r="H68" s="264"/>
      <c r="I68" s="483"/>
      <c r="J68" s="718"/>
      <c r="L68" s="713"/>
      <c r="M68" s="713"/>
      <c r="N68" s="713"/>
    </row>
    <row r="69">
      <c r="C69" s="487" t="s">
        <v>126</v>
      </c>
      <c r="D69" s="355"/>
      <c r="E69" s="672"/>
      <c r="F69" s="255"/>
      <c r="G69" s="383"/>
      <c r="H69" s="264"/>
      <c r="I69" s="483"/>
      <c r="J69" s="718"/>
      <c r="L69" s="713"/>
      <c r="M69" s="713"/>
      <c r="N69" s="713"/>
    </row>
    <row r="70">
      <c r="C70" s="487" t="s">
        <v>722</v>
      </c>
      <c r="D70" s="355"/>
      <c r="E70" s="672"/>
      <c r="F70" s="255"/>
      <c r="G70" s="383"/>
      <c r="H70" s="264"/>
      <c r="I70" s="483"/>
      <c r="J70" s="718"/>
      <c r="L70" s="713"/>
      <c r="M70" s="713"/>
      <c r="N70" s="713"/>
    </row>
    <row r="71">
      <c r="C71" s="487" t="s">
        <v>126</v>
      </c>
      <c r="D71" s="355"/>
      <c r="E71" s="672"/>
      <c r="F71" s="255"/>
      <c r="G71" s="383"/>
      <c r="H71" s="264"/>
      <c r="I71" s="483"/>
      <c r="J71" s="718"/>
      <c r="L71" s="713"/>
      <c r="M71" s="713"/>
      <c r="N71" s="713"/>
    </row>
    <row r="72">
      <c r="C72" s="487" t="s">
        <v>723</v>
      </c>
      <c r="D72" s="355"/>
      <c r="E72" s="672"/>
      <c r="F72" s="255"/>
      <c r="G72" s="383"/>
      <c r="H72" s="264"/>
      <c r="I72" s="483"/>
      <c r="J72" s="718"/>
      <c r="L72" s="713"/>
      <c r="M72" s="713"/>
      <c r="N72" s="713"/>
    </row>
    <row r="73">
      <c r="C73" s="487" t="s">
        <v>126</v>
      </c>
      <c r="D73" s="355"/>
      <c r="E73" s="672"/>
      <c r="F73" s="255"/>
      <c r="G73" s="383"/>
      <c r="H73" s="264"/>
      <c r="I73" s="483"/>
      <c r="J73" s="718"/>
      <c r="L73" s="713"/>
      <c r="M73" s="713"/>
      <c r="N73" s="713"/>
    </row>
    <row r="74">
      <c r="C74" s="487" t="s">
        <v>724</v>
      </c>
      <c r="D74" s="355"/>
      <c r="E74" s="672"/>
      <c r="F74" s="255"/>
      <c r="G74" s="383"/>
      <c r="H74" s="264"/>
      <c r="I74" s="483"/>
      <c r="J74" s="718"/>
      <c r="L74" s="713"/>
      <c r="M74" s="713"/>
      <c r="N74" s="713"/>
    </row>
    <row r="75">
      <c r="C75" s="487" t="s">
        <v>126</v>
      </c>
      <c r="D75" s="355"/>
      <c r="E75" s="672"/>
      <c r="F75" s="255"/>
      <c r="G75" s="383"/>
      <c r="H75" s="264"/>
      <c r="I75" s="483"/>
      <c r="J75" s="718"/>
      <c r="L75" s="713"/>
      <c r="M75" s="713"/>
      <c r="N75" s="713"/>
    </row>
    <row r="76">
      <c r="C76" s="487" t="s">
        <v>725</v>
      </c>
      <c r="D76" s="355"/>
      <c r="E76" s="672"/>
      <c r="F76" s="255"/>
      <c r="G76" s="383"/>
      <c r="H76" s="264"/>
      <c r="I76" s="483"/>
      <c r="J76" s="718"/>
      <c r="L76" s="713"/>
      <c r="M76" s="713"/>
      <c r="N76" s="713"/>
    </row>
    <row r="77">
      <c r="C77" s="487" t="s">
        <v>126</v>
      </c>
      <c r="D77" s="355"/>
      <c r="E77" s="672"/>
      <c r="F77" s="255"/>
      <c r="G77" s="383"/>
      <c r="H77" s="264"/>
      <c r="I77" s="483"/>
      <c r="J77" s="718"/>
      <c r="L77" s="713"/>
      <c r="M77" s="713"/>
      <c r="N77" s="713"/>
    </row>
    <row r="78">
      <c r="C78" s="487" t="s">
        <v>726</v>
      </c>
      <c r="D78" s="355"/>
      <c r="E78" s="672"/>
      <c r="F78" s="255"/>
      <c r="G78" s="383"/>
      <c r="H78" s="264"/>
      <c r="I78" s="483"/>
      <c r="J78" s="718"/>
      <c r="L78" s="713"/>
      <c r="M78" s="713"/>
      <c r="N78" s="713"/>
    </row>
    <row r="79">
      <c r="C79" s="487" t="s">
        <v>126</v>
      </c>
      <c r="D79" s="355"/>
      <c r="E79" s="672"/>
      <c r="F79" s="255"/>
      <c r="G79" s="383"/>
      <c r="H79" s="264"/>
      <c r="I79" s="483"/>
      <c r="J79" s="718"/>
      <c r="L79" s="713"/>
      <c r="M79" s="713"/>
      <c r="N79" s="713"/>
    </row>
    <row r="80">
      <c r="C80" s="487" t="s">
        <v>727</v>
      </c>
      <c r="D80" s="355"/>
      <c r="E80" s="672"/>
      <c r="F80" s="255"/>
      <c r="G80" s="383"/>
      <c r="H80" s="264"/>
      <c r="I80" s="483"/>
      <c r="J80" s="718"/>
      <c r="L80" s="713"/>
      <c r="M80" s="713"/>
      <c r="N80" s="713"/>
    </row>
    <row r="81">
      <c r="C81" s="487" t="s">
        <v>126</v>
      </c>
      <c r="D81" s="355"/>
      <c r="E81" s="672"/>
      <c r="F81" s="255"/>
      <c r="G81" s="383"/>
      <c r="H81" s="264"/>
      <c r="I81" s="483"/>
      <c r="J81" s="718"/>
      <c r="L81" s="713"/>
      <c r="M81" s="713"/>
      <c r="N81" s="713"/>
    </row>
    <row r="82">
      <c r="C82" s="487" t="s">
        <v>728</v>
      </c>
      <c r="D82" s="355"/>
      <c r="E82" s="672"/>
      <c r="F82" s="255"/>
      <c r="G82" s="383"/>
      <c r="H82" s="264"/>
      <c r="I82" s="483"/>
      <c r="J82" s="718"/>
      <c r="L82" s="713"/>
      <c r="M82" s="713"/>
      <c r="N82" s="713"/>
    </row>
    <row r="83">
      <c r="C83" s="488"/>
      <c r="D83" s="726"/>
      <c r="E83" s="727"/>
      <c r="F83" s="728"/>
      <c r="G83" s="383"/>
      <c r="H83" s="264"/>
      <c r="I83" s="483"/>
      <c r="J83" s="718"/>
      <c r="L83" s="713"/>
      <c r="M83" s="713"/>
      <c r="N83" s="713"/>
    </row>
    <row r="84">
      <c r="C84" s="483"/>
      <c r="D84" s="355"/>
      <c r="E84" s="672"/>
      <c r="F84" s="255"/>
      <c r="G84" s="261"/>
      <c r="H84" s="264"/>
      <c r="I84" s="483"/>
      <c r="J84" s="718"/>
      <c r="L84" s="713"/>
      <c r="M84" s="713"/>
      <c r="N84" s="713"/>
    </row>
    <row r="85">
      <c r="C85" s="483"/>
      <c r="D85" s="355"/>
      <c r="E85" s="672"/>
      <c r="F85" s="255"/>
      <c r="G85" s="261"/>
      <c r="H85" s="264"/>
      <c r="I85" s="483"/>
      <c r="J85" s="718"/>
      <c r="L85" s="713"/>
      <c r="M85" s="713"/>
      <c r="N85" s="713"/>
    </row>
    <row r="86">
      <c r="C86" s="483"/>
      <c r="D86" s="355"/>
      <c r="E86" s="672"/>
      <c r="F86" s="255"/>
      <c r="G86" s="261"/>
      <c r="H86" s="264"/>
      <c r="I86" s="483"/>
      <c r="J86" s="718"/>
      <c r="L86" s="713"/>
      <c r="M86" s="713"/>
      <c r="N86" s="713"/>
    </row>
    <row r="87">
      <c r="C87" s="483"/>
      <c r="D87" s="355"/>
      <c r="E87" s="672"/>
      <c r="F87" s="255"/>
      <c r="G87" s="261"/>
      <c r="H87" s="264"/>
      <c r="I87" s="483"/>
      <c r="J87" s="718"/>
      <c r="L87" s="713"/>
      <c r="M87" s="713"/>
      <c r="N87" s="713"/>
    </row>
    <row r="88">
      <c r="C88" s="483"/>
      <c r="D88" s="355"/>
      <c r="E88" s="672"/>
      <c r="F88" s="255"/>
      <c r="G88" s="261"/>
      <c r="H88" s="264"/>
      <c r="I88" s="483"/>
      <c r="J88" s="718"/>
      <c r="L88" s="713"/>
      <c r="M88" s="713"/>
      <c r="N88" s="713"/>
    </row>
    <row r="89">
      <c r="C89" s="483"/>
      <c r="D89" s="355"/>
      <c r="E89" s="672"/>
      <c r="F89" s="255"/>
      <c r="G89" s="261"/>
      <c r="H89" s="264"/>
      <c r="I89" s="483"/>
      <c r="J89" s="718"/>
      <c r="L89" s="713"/>
      <c r="M89" s="713"/>
      <c r="N89" s="713"/>
    </row>
    <row r="90">
      <c r="C90" s="483"/>
      <c r="D90" s="355"/>
      <c r="E90" s="672"/>
      <c r="F90" s="255"/>
      <c r="G90" s="261"/>
      <c r="H90" s="264"/>
      <c r="I90" s="483"/>
      <c r="J90" s="718"/>
      <c r="L90" s="713"/>
      <c r="M90" s="713"/>
      <c r="N90" s="713"/>
    </row>
    <row r="91">
      <c r="C91" s="483"/>
      <c r="D91" s="355"/>
      <c r="E91" s="672"/>
      <c r="F91" s="255"/>
      <c r="G91" s="261"/>
      <c r="H91" s="264"/>
      <c r="I91" s="483"/>
      <c r="J91" s="718"/>
      <c r="L91" s="713"/>
      <c r="M91" s="713"/>
      <c r="N91" s="713"/>
    </row>
    <row r="92">
      <c r="C92" s="483"/>
      <c r="D92" s="355"/>
      <c r="E92" s="672"/>
      <c r="F92" s="255"/>
      <c r="G92" s="261"/>
      <c r="H92" s="264"/>
      <c r="I92" s="483"/>
      <c r="J92" s="718"/>
      <c r="L92" s="713"/>
      <c r="M92" s="713"/>
      <c r="N92" s="713"/>
    </row>
    <row r="93">
      <c r="C93" s="483"/>
      <c r="D93" s="355"/>
      <c r="E93" s="672"/>
      <c r="F93" s="255"/>
      <c r="G93" s="261"/>
      <c r="H93" s="264"/>
      <c r="I93" s="483"/>
      <c r="J93" s="718"/>
      <c r="L93" s="713"/>
      <c r="M93" s="713"/>
      <c r="N93" s="713"/>
    </row>
    <row r="94">
      <c r="C94" s="483"/>
      <c r="D94" s="355"/>
      <c r="E94" s="672"/>
      <c r="F94" s="255"/>
      <c r="G94" s="261"/>
      <c r="H94" s="264"/>
      <c r="I94" s="483"/>
      <c r="J94" s="718"/>
      <c r="L94" s="713"/>
      <c r="M94" s="713"/>
      <c r="N94" s="713"/>
    </row>
    <row r="95">
      <c r="C95" s="483"/>
      <c r="D95" s="355"/>
      <c r="E95" s="672"/>
      <c r="F95" s="255"/>
      <c r="G95" s="261"/>
      <c r="H95" s="264"/>
      <c r="I95" s="483"/>
      <c r="J95" s="718"/>
      <c r="L95" s="713"/>
      <c r="M95" s="713"/>
      <c r="N95" s="713"/>
    </row>
    <row r="96">
      <c r="C96" s="483"/>
      <c r="D96" s="355"/>
      <c r="E96" s="672"/>
      <c r="F96" s="255"/>
      <c r="G96" s="261"/>
      <c r="H96" s="264"/>
      <c r="I96" s="483"/>
      <c r="J96" s="718"/>
      <c r="L96" s="713"/>
      <c r="M96" s="713"/>
      <c r="N96" s="713"/>
    </row>
    <row r="97">
      <c r="C97" s="483"/>
      <c r="D97" s="355"/>
      <c r="E97" s="672"/>
      <c r="F97" s="255"/>
      <c r="G97" s="261"/>
      <c r="H97" s="264"/>
      <c r="I97" s="483"/>
      <c r="J97" s="718"/>
      <c r="L97" s="713"/>
      <c r="M97" s="713"/>
      <c r="N97" s="713"/>
    </row>
    <row r="98">
      <c r="C98" s="483"/>
      <c r="D98" s="355"/>
      <c r="E98" s="672"/>
      <c r="F98" s="255"/>
      <c r="G98" s="261"/>
      <c r="H98" s="264"/>
      <c r="I98" s="483"/>
      <c r="J98" s="718"/>
      <c r="L98" s="713"/>
      <c r="M98" s="713"/>
      <c r="N98" s="713"/>
    </row>
    <row r="99">
      <c r="C99" s="483"/>
      <c r="D99" s="355"/>
      <c r="E99" s="672"/>
      <c r="F99" s="255"/>
      <c r="G99" s="261"/>
      <c r="H99" s="264"/>
      <c r="I99" s="483"/>
      <c r="J99" s="718"/>
      <c r="L99" s="713"/>
      <c r="M99" s="713"/>
      <c r="N99" s="713"/>
    </row>
    <row r="100">
      <c r="C100" s="483"/>
      <c r="D100" s="355"/>
      <c r="E100" s="672"/>
      <c r="F100" s="255"/>
      <c r="G100" s="261"/>
      <c r="H100" s="264"/>
      <c r="I100" s="483"/>
      <c r="J100" s="718"/>
      <c r="L100" s="713"/>
      <c r="M100" s="713"/>
      <c r="N100" s="713"/>
    </row>
    <row r="101">
      <c r="C101" s="483"/>
      <c r="D101" s="355"/>
      <c r="E101" s="672"/>
      <c r="F101" s="255"/>
      <c r="G101" s="261"/>
      <c r="H101" s="264"/>
      <c r="I101" s="483"/>
      <c r="J101" s="718"/>
      <c r="L101" s="713"/>
      <c r="M101" s="713"/>
      <c r="N101" s="713"/>
    </row>
    <row r="102">
      <c r="C102" s="483"/>
      <c r="D102" s="355"/>
      <c r="E102" s="672"/>
      <c r="F102" s="255"/>
      <c r="G102" s="261"/>
      <c r="H102" s="264"/>
      <c r="I102" s="483"/>
      <c r="J102" s="718"/>
      <c r="L102" s="713"/>
      <c r="M102" s="713"/>
      <c r="N102" s="713"/>
    </row>
    <row r="103">
      <c r="C103" s="483"/>
      <c r="D103" s="355"/>
      <c r="E103" s="672"/>
      <c r="F103" s="255"/>
      <c r="G103" s="261"/>
      <c r="H103" s="264"/>
      <c r="I103" s="483"/>
      <c r="J103" s="718"/>
      <c r="L103" s="713"/>
      <c r="M103" s="713"/>
      <c r="N103" s="713"/>
    </row>
    <row r="104">
      <c r="C104" s="483"/>
      <c r="D104" s="355"/>
      <c r="E104" s="672"/>
      <c r="F104" s="255"/>
      <c r="G104" s="261"/>
      <c r="H104" s="264"/>
      <c r="I104" s="483"/>
      <c r="J104" s="718"/>
      <c r="L104" s="713"/>
      <c r="M104" s="713"/>
      <c r="N104" s="713"/>
    </row>
    <row r="105">
      <c r="C105" s="483"/>
      <c r="D105" s="355"/>
      <c r="E105" s="672"/>
      <c r="F105" s="255"/>
      <c r="G105" s="261"/>
      <c r="H105" s="264"/>
      <c r="I105" s="483"/>
      <c r="J105" s="718"/>
      <c r="L105" s="713"/>
      <c r="M105" s="713"/>
      <c r="N105" s="713"/>
    </row>
    <row r="106">
      <c r="C106" s="483"/>
      <c r="D106" s="355"/>
      <c r="E106" s="672"/>
      <c r="F106" s="255"/>
      <c r="G106" s="261"/>
      <c r="H106" s="264"/>
      <c r="I106" s="483"/>
      <c r="J106" s="718"/>
      <c r="L106" s="713"/>
      <c r="M106" s="713"/>
      <c r="N106" s="713"/>
    </row>
    <row r="107">
      <c r="C107" s="483"/>
      <c r="D107" s="355"/>
      <c r="E107" s="672"/>
      <c r="F107" s="255"/>
      <c r="G107" s="261"/>
      <c r="H107" s="264"/>
      <c r="I107" s="483"/>
      <c r="J107" s="718"/>
      <c r="L107" s="713"/>
      <c r="M107" s="713"/>
      <c r="N107" s="713"/>
    </row>
    <row r="108">
      <c r="C108" s="483"/>
      <c r="D108" s="355"/>
      <c r="E108" s="672"/>
      <c r="F108" s="255"/>
      <c r="G108" s="261"/>
      <c r="H108" s="264"/>
      <c r="I108" s="483"/>
      <c r="J108" s="718"/>
      <c r="L108" s="713"/>
      <c r="M108" s="713"/>
      <c r="N108" s="713"/>
    </row>
    <row r="109">
      <c r="C109" s="483"/>
      <c r="D109" s="355"/>
      <c r="E109" s="672"/>
      <c r="F109" s="255"/>
      <c r="G109" s="261"/>
      <c r="H109" s="264"/>
      <c r="I109" s="483"/>
      <c r="J109" s="718"/>
      <c r="L109" s="713"/>
      <c r="M109" s="713"/>
      <c r="N109" s="713"/>
    </row>
    <row r="110">
      <c r="C110" s="483"/>
      <c r="D110" s="355"/>
      <c r="E110" s="672"/>
      <c r="F110" s="255"/>
      <c r="G110" s="261"/>
      <c r="H110" s="264"/>
      <c r="I110" s="483"/>
      <c r="J110" s="718"/>
      <c r="L110" s="713"/>
      <c r="M110" s="713"/>
      <c r="N110" s="713"/>
    </row>
    <row r="111">
      <c r="C111" s="483"/>
      <c r="D111" s="355"/>
      <c r="E111" s="672"/>
      <c r="F111" s="255"/>
      <c r="G111" s="261"/>
      <c r="H111" s="264"/>
      <c r="I111" s="483"/>
      <c r="J111" s="718"/>
      <c r="L111" s="713"/>
      <c r="M111" s="713"/>
      <c r="N111" s="713"/>
    </row>
    <row r="112">
      <c r="C112" s="483"/>
      <c r="D112" s="355"/>
      <c r="E112" s="672"/>
      <c r="F112" s="255"/>
      <c r="G112" s="261"/>
      <c r="H112" s="264"/>
      <c r="I112" s="483"/>
      <c r="J112" s="718"/>
      <c r="L112" s="713"/>
      <c r="M112" s="713"/>
      <c r="N112" s="713"/>
    </row>
    <row r="113">
      <c r="C113" s="483"/>
      <c r="D113" s="355"/>
      <c r="E113" s="672"/>
      <c r="F113" s="255"/>
      <c r="G113" s="261"/>
      <c r="H113" s="264"/>
      <c r="I113" s="483"/>
      <c r="J113" s="718"/>
      <c r="L113" s="713"/>
      <c r="M113" s="713"/>
      <c r="N113" s="713"/>
    </row>
    <row r="114">
      <c r="C114" s="483"/>
      <c r="D114" s="355"/>
      <c r="E114" s="672"/>
      <c r="F114" s="255"/>
      <c r="G114" s="261"/>
      <c r="H114" s="264"/>
      <c r="I114" s="483"/>
      <c r="J114" s="718"/>
      <c r="L114" s="713"/>
      <c r="M114" s="713"/>
      <c r="N114" s="713"/>
    </row>
    <row r="115">
      <c r="C115" s="483"/>
      <c r="D115" s="355"/>
      <c r="E115" s="672"/>
      <c r="F115" s="255"/>
      <c r="G115" s="261"/>
      <c r="H115" s="264"/>
      <c r="I115" s="483"/>
      <c r="J115" s="718"/>
      <c r="L115" s="713"/>
      <c r="M115" s="713"/>
      <c r="N115" s="713"/>
    </row>
    <row r="116">
      <c r="C116" s="483"/>
      <c r="D116" s="355"/>
      <c r="E116" s="672"/>
      <c r="F116" s="255"/>
      <c r="G116" s="261"/>
      <c r="H116" s="264"/>
      <c r="I116" s="483"/>
      <c r="J116" s="718"/>
      <c r="L116" s="713"/>
      <c r="M116" s="713"/>
      <c r="N116" s="713"/>
    </row>
    <row r="117">
      <c r="C117" s="483"/>
      <c r="D117" s="355"/>
      <c r="E117" s="672"/>
      <c r="F117" s="255"/>
      <c r="G117" s="261"/>
      <c r="H117" s="264"/>
      <c r="I117" s="483"/>
      <c r="J117" s="718"/>
      <c r="L117" s="713"/>
      <c r="M117" s="713"/>
      <c r="N117" s="713"/>
    </row>
    <row r="118">
      <c r="C118" s="483"/>
      <c r="D118" s="355"/>
      <c r="E118" s="672"/>
      <c r="F118" s="255"/>
      <c r="G118" s="261"/>
      <c r="H118" s="264"/>
      <c r="I118" s="483"/>
      <c r="J118" s="718"/>
      <c r="L118" s="713"/>
      <c r="M118" s="713"/>
      <c r="N118" s="713"/>
    </row>
    <row r="119">
      <c r="C119" s="483"/>
      <c r="D119" s="355"/>
      <c r="E119" s="672"/>
      <c r="F119" s="255"/>
      <c r="G119" s="261"/>
      <c r="H119" s="264"/>
      <c r="I119" s="483"/>
      <c r="J119" s="718"/>
      <c r="L119" s="713"/>
      <c r="M119" s="713"/>
      <c r="N119" s="713"/>
    </row>
    <row r="120">
      <c r="C120" s="483"/>
      <c r="D120" s="355"/>
      <c r="E120" s="672"/>
      <c r="F120" s="255"/>
      <c r="G120" s="261"/>
      <c r="H120" s="264"/>
      <c r="I120" s="483"/>
      <c r="J120" s="718"/>
      <c r="L120" s="713"/>
      <c r="M120" s="713"/>
      <c r="N120" s="713"/>
    </row>
    <row r="121">
      <c r="C121" s="483"/>
      <c r="D121" s="355"/>
      <c r="E121" s="672"/>
      <c r="F121" s="255"/>
      <c r="G121" s="261"/>
      <c r="H121" s="264"/>
      <c r="I121" s="483"/>
      <c r="J121" s="718"/>
      <c r="L121" s="713"/>
      <c r="M121" s="713"/>
      <c r="N121" s="713"/>
    </row>
    <row r="122">
      <c r="C122" s="483"/>
      <c r="D122" s="355"/>
      <c r="E122" s="672"/>
      <c r="F122" s="255"/>
      <c r="G122" s="261"/>
      <c r="H122" s="264"/>
      <c r="I122" s="483"/>
      <c r="J122" s="718"/>
      <c r="L122" s="713"/>
      <c r="M122" s="713"/>
      <c r="N122" s="713"/>
    </row>
    <row r="123">
      <c r="C123" s="483"/>
      <c r="D123" s="355"/>
      <c r="E123" s="672"/>
      <c r="F123" s="255"/>
      <c r="G123" s="261"/>
      <c r="H123" s="264"/>
      <c r="I123" s="483"/>
      <c r="J123" s="718"/>
      <c r="L123" s="713"/>
      <c r="M123" s="713"/>
      <c r="N123" s="713"/>
    </row>
    <row r="124">
      <c r="C124" s="483"/>
      <c r="D124" s="355"/>
      <c r="E124" s="672"/>
      <c r="F124" s="255"/>
      <c r="G124" s="261"/>
      <c r="H124" s="264"/>
      <c r="I124" s="483"/>
      <c r="J124" s="718"/>
      <c r="L124" s="713"/>
      <c r="M124" s="713"/>
      <c r="N124" s="713"/>
    </row>
    <row r="125">
      <c r="C125" s="483"/>
      <c r="D125" s="355"/>
      <c r="E125" s="672"/>
      <c r="F125" s="255"/>
      <c r="G125" s="261"/>
      <c r="H125" s="264"/>
      <c r="I125" s="483"/>
      <c r="J125" s="718"/>
      <c r="L125" s="713"/>
      <c r="M125" s="713"/>
      <c r="N125" s="713"/>
    </row>
    <row r="126">
      <c r="C126" s="483"/>
      <c r="D126" s="355"/>
      <c r="E126" s="672"/>
      <c r="F126" s="255"/>
      <c r="G126" s="261"/>
      <c r="H126" s="264"/>
      <c r="I126" s="483"/>
      <c r="J126" s="718"/>
      <c r="L126" s="713"/>
      <c r="M126" s="713"/>
      <c r="N126" s="713"/>
    </row>
    <row r="127">
      <c r="C127" s="483"/>
      <c r="D127" s="355"/>
      <c r="E127" s="672"/>
      <c r="F127" s="255"/>
      <c r="G127" s="261"/>
      <c r="H127" s="264"/>
      <c r="I127" s="483"/>
      <c r="J127" s="718"/>
      <c r="L127" s="713"/>
      <c r="M127" s="713"/>
      <c r="N127" s="713"/>
    </row>
    <row r="128">
      <c r="C128" s="483"/>
      <c r="D128" s="355"/>
      <c r="E128" s="672"/>
      <c r="F128" s="255"/>
      <c r="G128" s="261"/>
      <c r="H128" s="264"/>
      <c r="I128" s="483"/>
      <c r="J128" s="718"/>
      <c r="L128" s="713"/>
      <c r="M128" s="713"/>
      <c r="N128" s="713"/>
    </row>
    <row r="129">
      <c r="C129" s="483"/>
      <c r="D129" s="355"/>
      <c r="E129" s="672"/>
      <c r="F129" s="255"/>
      <c r="G129" s="261"/>
      <c r="H129" s="264"/>
      <c r="I129" s="483"/>
      <c r="J129" s="718"/>
      <c r="L129" s="713"/>
      <c r="M129" s="713"/>
      <c r="N129" s="713"/>
    </row>
    <row r="130">
      <c r="C130" s="483"/>
      <c r="D130" s="355"/>
      <c r="E130" s="672"/>
      <c r="F130" s="255"/>
      <c r="G130" s="261"/>
      <c r="H130" s="264"/>
      <c r="I130" s="483"/>
      <c r="J130" s="718"/>
      <c r="L130" s="713"/>
      <c r="M130" s="713"/>
      <c r="N130" s="713"/>
    </row>
    <row r="131">
      <c r="C131" s="483"/>
      <c r="D131" s="355"/>
      <c r="E131" s="672"/>
      <c r="F131" s="255"/>
      <c r="G131" s="261"/>
      <c r="H131" s="264"/>
      <c r="I131" s="483"/>
      <c r="J131" s="718"/>
      <c r="L131" s="713"/>
      <c r="M131" s="713"/>
      <c r="N131" s="713"/>
    </row>
    <row r="132">
      <c r="C132" s="483"/>
      <c r="D132" s="355"/>
      <c r="E132" s="672"/>
      <c r="F132" s="255"/>
      <c r="G132" s="261"/>
      <c r="H132" s="264"/>
      <c r="I132" s="483"/>
      <c r="J132" s="718"/>
      <c r="L132" s="713"/>
      <c r="M132" s="713"/>
      <c r="N132" s="713"/>
    </row>
    <row r="133">
      <c r="C133" s="483"/>
      <c r="D133" s="355"/>
      <c r="E133" s="672"/>
      <c r="F133" s="255"/>
      <c r="G133" s="261"/>
      <c r="H133" s="264"/>
      <c r="I133" s="483"/>
      <c r="J133" s="718"/>
      <c r="L133" s="713"/>
      <c r="M133" s="713"/>
      <c r="N133" s="713"/>
    </row>
    <row r="134">
      <c r="C134" s="483"/>
      <c r="D134" s="355"/>
      <c r="E134" s="672"/>
      <c r="F134" s="255"/>
      <c r="G134" s="261"/>
      <c r="H134" s="264"/>
      <c r="I134" s="483"/>
      <c r="J134" s="718"/>
      <c r="L134" s="713"/>
      <c r="M134" s="713"/>
      <c r="N134" s="713"/>
    </row>
    <row r="135">
      <c r="C135" s="483"/>
      <c r="D135" s="355"/>
      <c r="E135" s="672"/>
      <c r="F135" s="255"/>
      <c r="G135" s="261"/>
      <c r="H135" s="264"/>
      <c r="I135" s="483"/>
      <c r="J135" s="718"/>
      <c r="L135" s="713"/>
      <c r="M135" s="713"/>
      <c r="N135" s="713"/>
    </row>
    <row r="136">
      <c r="C136" s="483"/>
      <c r="D136" s="355"/>
      <c r="E136" s="672"/>
      <c r="F136" s="255"/>
      <c r="G136" s="261"/>
      <c r="H136" s="264"/>
      <c r="I136" s="483"/>
      <c r="J136" s="718"/>
      <c r="L136" s="713"/>
      <c r="M136" s="713"/>
      <c r="N136" s="713"/>
    </row>
    <row r="137">
      <c r="C137" s="483"/>
      <c r="D137" s="355"/>
      <c r="E137" s="672"/>
      <c r="F137" s="255"/>
      <c r="G137" s="261"/>
      <c r="H137" s="264"/>
      <c r="I137" s="483"/>
      <c r="J137" s="718"/>
      <c r="L137" s="713"/>
      <c r="M137" s="713"/>
      <c r="N137" s="713"/>
    </row>
    <row r="138">
      <c r="C138" s="483"/>
      <c r="D138" s="355"/>
      <c r="E138" s="672"/>
      <c r="F138" s="255"/>
      <c r="G138" s="261"/>
      <c r="H138" s="264"/>
      <c r="I138" s="483"/>
      <c r="J138" s="718"/>
      <c r="L138" s="713"/>
      <c r="M138" s="713"/>
      <c r="N138" s="713"/>
    </row>
    <row r="139">
      <c r="C139" s="483"/>
      <c r="D139" s="355"/>
      <c r="E139" s="672"/>
      <c r="F139" s="255"/>
      <c r="G139" s="261"/>
      <c r="H139" s="264"/>
      <c r="I139" s="483"/>
      <c r="J139" s="718"/>
      <c r="L139" s="713"/>
      <c r="M139" s="713"/>
      <c r="N139" s="713"/>
    </row>
    <row r="140">
      <c r="C140" s="483"/>
      <c r="D140" s="355"/>
      <c r="E140" s="672"/>
      <c r="F140" s="255"/>
      <c r="G140" s="261"/>
      <c r="H140" s="264"/>
      <c r="I140" s="483"/>
      <c r="J140" s="718"/>
      <c r="L140" s="713"/>
      <c r="M140" s="713"/>
      <c r="N140" s="713"/>
    </row>
    <row r="141">
      <c r="C141" s="483"/>
      <c r="D141" s="355"/>
      <c r="E141" s="672"/>
      <c r="F141" s="255"/>
      <c r="G141" s="261"/>
      <c r="H141" s="264"/>
      <c r="I141" s="483"/>
      <c r="J141" s="718"/>
      <c r="L141" s="713"/>
      <c r="M141" s="713"/>
      <c r="N141" s="713"/>
    </row>
    <row r="142">
      <c r="C142" s="483"/>
      <c r="D142" s="355"/>
      <c r="E142" s="672"/>
      <c r="F142" s="255"/>
      <c r="G142" s="261"/>
      <c r="H142" s="264"/>
      <c r="I142" s="483"/>
      <c r="J142" s="718"/>
      <c r="L142" s="713"/>
      <c r="M142" s="713"/>
      <c r="N142" s="713"/>
    </row>
    <row r="143">
      <c r="C143" s="483"/>
      <c r="D143" s="355"/>
      <c r="E143" s="672"/>
      <c r="F143" s="255"/>
      <c r="G143" s="261"/>
      <c r="H143" s="264"/>
      <c r="I143" s="483"/>
      <c r="J143" s="718"/>
      <c r="L143" s="713"/>
      <c r="M143" s="713"/>
      <c r="N143" s="713"/>
    </row>
    <row r="144">
      <c r="C144" s="483"/>
      <c r="D144" s="355"/>
      <c r="E144" s="672"/>
      <c r="F144" s="255"/>
      <c r="G144" s="261"/>
      <c r="H144" s="264"/>
      <c r="I144" s="483"/>
      <c r="J144" s="718"/>
      <c r="L144" s="713"/>
      <c r="M144" s="713"/>
      <c r="N144" s="713"/>
    </row>
    <row r="145">
      <c r="C145" s="483"/>
      <c r="D145" s="355"/>
      <c r="E145" s="672"/>
      <c r="F145" s="255"/>
      <c r="G145" s="261"/>
      <c r="H145" s="264"/>
      <c r="I145" s="483"/>
      <c r="J145" s="718"/>
      <c r="L145" s="713"/>
      <c r="M145" s="713"/>
      <c r="N145" s="713"/>
    </row>
    <row r="146">
      <c r="C146" s="483"/>
      <c r="D146" s="355"/>
      <c r="E146" s="672"/>
      <c r="F146" s="255"/>
      <c r="G146" s="261"/>
      <c r="H146" s="264"/>
      <c r="I146" s="483"/>
      <c r="J146" s="718"/>
      <c r="L146" s="713"/>
      <c r="M146" s="713"/>
      <c r="N146" s="713"/>
    </row>
    <row r="147">
      <c r="C147" s="483"/>
      <c r="D147" s="355"/>
      <c r="E147" s="672"/>
      <c r="F147" s="255"/>
      <c r="G147" s="261"/>
      <c r="H147" s="264"/>
      <c r="I147" s="483"/>
      <c r="J147" s="718"/>
      <c r="L147" s="713"/>
      <c r="M147" s="713"/>
      <c r="N147" s="713"/>
    </row>
    <row r="148">
      <c r="C148" s="483"/>
      <c r="D148" s="355"/>
      <c r="E148" s="672"/>
      <c r="F148" s="255"/>
      <c r="G148" s="261"/>
      <c r="H148" s="264"/>
      <c r="I148" s="483"/>
      <c r="J148" s="718"/>
      <c r="L148" s="713"/>
      <c r="M148" s="713"/>
      <c r="N148" s="713"/>
    </row>
    <row r="149">
      <c r="C149" s="483"/>
      <c r="D149" s="355"/>
      <c r="E149" s="672"/>
      <c r="F149" s="255"/>
      <c r="G149" s="261"/>
      <c r="H149" s="264"/>
      <c r="I149" s="483"/>
      <c r="J149" s="718"/>
      <c r="L149" s="713"/>
      <c r="M149" s="713"/>
      <c r="N149" s="713"/>
    </row>
    <row r="150">
      <c r="C150" s="483"/>
      <c r="D150" s="355"/>
      <c r="E150" s="672"/>
      <c r="F150" s="255"/>
      <c r="G150" s="261"/>
      <c r="H150" s="264"/>
      <c r="I150" s="483"/>
      <c r="J150" s="718"/>
      <c r="L150" s="713"/>
      <c r="M150" s="713"/>
      <c r="N150" s="713"/>
    </row>
    <row r="151">
      <c r="C151" s="483"/>
      <c r="D151" s="355"/>
      <c r="E151" s="672"/>
      <c r="F151" s="255"/>
      <c r="G151" s="261"/>
      <c r="H151" s="264"/>
      <c r="I151" s="483"/>
      <c r="J151" s="718"/>
      <c r="L151" s="713"/>
      <c r="M151" s="713"/>
      <c r="N151" s="713"/>
    </row>
    <row r="152">
      <c r="C152" s="483"/>
      <c r="D152" s="355"/>
      <c r="E152" s="672"/>
      <c r="F152" s="255"/>
      <c r="G152" s="261"/>
      <c r="H152" s="264"/>
      <c r="I152" s="483"/>
      <c r="J152" s="718"/>
      <c r="L152" s="713"/>
      <c r="M152" s="713"/>
      <c r="N152" s="713"/>
    </row>
    <row r="153">
      <c r="C153" s="483"/>
      <c r="D153" s="355"/>
      <c r="E153" s="672"/>
      <c r="F153" s="255"/>
      <c r="G153" s="261"/>
      <c r="H153" s="264"/>
      <c r="I153" s="483"/>
      <c r="J153" s="718"/>
      <c r="L153" s="713"/>
      <c r="M153" s="713"/>
      <c r="N153" s="713"/>
    </row>
    <row r="154">
      <c r="C154" s="483"/>
      <c r="D154" s="355"/>
      <c r="E154" s="672"/>
      <c r="F154" s="255"/>
      <c r="G154" s="261"/>
      <c r="H154" s="264"/>
      <c r="I154" s="483"/>
      <c r="J154" s="718"/>
      <c r="L154" s="713"/>
      <c r="M154" s="713"/>
      <c r="N154" s="713"/>
    </row>
    <row r="155">
      <c r="C155" s="483"/>
      <c r="D155" s="355"/>
      <c r="E155" s="672"/>
      <c r="F155" s="255"/>
      <c r="G155" s="261"/>
      <c r="H155" s="264"/>
      <c r="I155" s="483"/>
      <c r="J155" s="718"/>
      <c r="L155" s="713"/>
      <c r="M155" s="713"/>
      <c r="N155" s="713"/>
    </row>
    <row r="156">
      <c r="C156" s="483"/>
      <c r="D156" s="355"/>
      <c r="E156" s="672"/>
      <c r="F156" s="255"/>
      <c r="G156" s="261"/>
      <c r="H156" s="264"/>
      <c r="I156" s="483"/>
      <c r="J156" s="718"/>
      <c r="L156" s="713"/>
      <c r="M156" s="713"/>
      <c r="N156" s="713"/>
    </row>
    <row r="157">
      <c r="C157" s="483"/>
      <c r="D157" s="355"/>
      <c r="E157" s="672"/>
      <c r="F157" s="255"/>
      <c r="G157" s="261"/>
      <c r="H157" s="264"/>
      <c r="I157" s="483"/>
      <c r="J157" s="718"/>
      <c r="L157" s="713"/>
      <c r="M157" s="713"/>
      <c r="N157" s="713"/>
    </row>
    <row r="158">
      <c r="C158" s="483"/>
      <c r="D158" s="355"/>
      <c r="E158" s="672"/>
      <c r="F158" s="255"/>
      <c r="G158" s="261"/>
      <c r="H158" s="264"/>
      <c r="I158" s="483"/>
      <c r="J158" s="718"/>
      <c r="L158" s="713"/>
      <c r="M158" s="713"/>
      <c r="N158" s="713"/>
    </row>
    <row r="159">
      <c r="C159" s="483"/>
      <c r="D159" s="355"/>
      <c r="E159" s="672"/>
      <c r="F159" s="255"/>
      <c r="G159" s="261"/>
      <c r="H159" s="264"/>
      <c r="I159" s="483"/>
      <c r="J159" s="718"/>
      <c r="L159" s="713"/>
      <c r="M159" s="713"/>
      <c r="N159" s="713"/>
    </row>
    <row r="160">
      <c r="C160" s="483"/>
      <c r="D160" s="355"/>
      <c r="E160" s="672"/>
      <c r="F160" s="255"/>
      <c r="G160" s="261"/>
      <c r="H160" s="264"/>
      <c r="I160" s="483"/>
      <c r="J160" s="718"/>
      <c r="L160" s="713"/>
      <c r="M160" s="713"/>
      <c r="N160" s="713"/>
    </row>
    <row r="161">
      <c r="C161" s="483"/>
      <c r="D161" s="355"/>
      <c r="E161" s="672"/>
      <c r="F161" s="255"/>
      <c r="G161" s="261"/>
      <c r="H161" s="264"/>
      <c r="I161" s="483"/>
      <c r="J161" s="718"/>
      <c r="L161" s="713"/>
      <c r="M161" s="713"/>
      <c r="N161" s="713"/>
    </row>
    <row r="162">
      <c r="C162" s="483"/>
      <c r="D162" s="355"/>
      <c r="E162" s="672"/>
      <c r="F162" s="255"/>
      <c r="G162" s="261"/>
      <c r="H162" s="264"/>
      <c r="I162" s="483"/>
      <c r="J162" s="718"/>
      <c r="L162" s="713"/>
      <c r="M162" s="713"/>
      <c r="N162" s="713"/>
    </row>
    <row r="163">
      <c r="C163" s="483"/>
      <c r="D163" s="355"/>
      <c r="E163" s="672"/>
      <c r="F163" s="255"/>
      <c r="G163" s="261"/>
      <c r="H163" s="264"/>
      <c r="I163" s="483"/>
      <c r="J163" s="718"/>
      <c r="L163" s="713"/>
      <c r="M163" s="713"/>
      <c r="N163" s="713"/>
    </row>
    <row r="164">
      <c r="C164" s="483"/>
      <c r="D164" s="355"/>
      <c r="E164" s="672"/>
      <c r="F164" s="255"/>
      <c r="G164" s="261"/>
      <c r="H164" s="264"/>
      <c r="I164" s="483"/>
      <c r="J164" s="718"/>
      <c r="L164" s="713"/>
      <c r="M164" s="713"/>
      <c r="N164" s="713"/>
    </row>
    <row r="165">
      <c r="C165" s="483"/>
      <c r="D165" s="355"/>
      <c r="E165" s="672"/>
      <c r="F165" s="255"/>
      <c r="G165" s="261"/>
      <c r="H165" s="264"/>
      <c r="I165" s="483"/>
      <c r="J165" s="718"/>
      <c r="L165" s="713"/>
      <c r="M165" s="713"/>
      <c r="N165" s="713"/>
    </row>
    <row r="166">
      <c r="C166" s="483"/>
      <c r="D166" s="355"/>
      <c r="E166" s="672"/>
      <c r="F166" s="255"/>
      <c r="G166" s="261"/>
      <c r="H166" s="264"/>
      <c r="I166" s="483"/>
      <c r="J166" s="718"/>
      <c r="L166" s="713"/>
      <c r="M166" s="713"/>
      <c r="N166" s="713"/>
    </row>
    <row r="167">
      <c r="C167" s="483"/>
      <c r="D167" s="355"/>
      <c r="E167" s="672"/>
      <c r="F167" s="255"/>
      <c r="G167" s="261"/>
      <c r="H167" s="264"/>
      <c r="I167" s="483"/>
      <c r="J167" s="718"/>
      <c r="L167" s="713"/>
      <c r="M167" s="713"/>
      <c r="N167" s="713"/>
    </row>
    <row r="168">
      <c r="C168" s="483"/>
      <c r="D168" s="355"/>
      <c r="E168" s="672"/>
      <c r="F168" s="255"/>
      <c r="G168" s="261"/>
      <c r="H168" s="264"/>
      <c r="I168" s="483"/>
      <c r="J168" s="718"/>
      <c r="L168" s="713"/>
      <c r="M168" s="713"/>
      <c r="N168" s="713"/>
    </row>
    <row r="169">
      <c r="C169" s="483"/>
      <c r="D169" s="355"/>
      <c r="E169" s="672"/>
      <c r="F169" s="255"/>
      <c r="G169" s="261"/>
      <c r="H169" s="264"/>
      <c r="I169" s="483"/>
      <c r="J169" s="718"/>
      <c r="L169" s="713"/>
      <c r="M169" s="713"/>
      <c r="N169" s="713"/>
    </row>
    <row r="170">
      <c r="C170" s="483"/>
      <c r="D170" s="355"/>
      <c r="E170" s="672"/>
      <c r="F170" s="255"/>
      <c r="G170" s="261"/>
      <c r="H170" s="264"/>
      <c r="I170" s="483"/>
      <c r="J170" s="718"/>
      <c r="L170" s="713"/>
      <c r="M170" s="713"/>
      <c r="N170" s="713"/>
    </row>
    <row r="171">
      <c r="C171" s="483"/>
      <c r="D171" s="355"/>
      <c r="E171" s="672"/>
      <c r="F171" s="255"/>
      <c r="G171" s="261"/>
      <c r="H171" s="264"/>
      <c r="I171" s="483"/>
      <c r="J171" s="718"/>
      <c r="L171" s="713"/>
      <c r="M171" s="713"/>
      <c r="N171" s="713"/>
    </row>
    <row r="172">
      <c r="C172" s="483"/>
      <c r="D172" s="355"/>
      <c r="E172" s="672"/>
      <c r="F172" s="255"/>
      <c r="G172" s="261"/>
      <c r="H172" s="264"/>
      <c r="I172" s="483"/>
      <c r="J172" s="718"/>
      <c r="L172" s="713"/>
      <c r="M172" s="713"/>
      <c r="N172" s="713"/>
    </row>
    <row r="173">
      <c r="C173" s="483"/>
      <c r="D173" s="355"/>
      <c r="E173" s="672"/>
      <c r="F173" s="255"/>
      <c r="G173" s="261"/>
      <c r="H173" s="264"/>
      <c r="I173" s="483"/>
      <c r="J173" s="718"/>
      <c r="L173" s="713"/>
      <c r="M173" s="713"/>
      <c r="N173" s="713"/>
    </row>
    <row r="174">
      <c r="C174" s="483"/>
      <c r="D174" s="355"/>
      <c r="E174" s="672"/>
      <c r="F174" s="255"/>
      <c r="G174" s="261"/>
      <c r="H174" s="264"/>
      <c r="I174" s="483"/>
      <c r="J174" s="718"/>
      <c r="L174" s="713"/>
      <c r="M174" s="713"/>
      <c r="N174" s="713"/>
    </row>
    <row r="175">
      <c r="C175" s="483"/>
      <c r="D175" s="355"/>
      <c r="E175" s="672"/>
      <c r="F175" s="255"/>
      <c r="G175" s="261"/>
      <c r="H175" s="264"/>
      <c r="I175" s="483"/>
      <c r="J175" s="718"/>
      <c r="L175" s="713"/>
      <c r="M175" s="713"/>
      <c r="N175" s="713"/>
    </row>
    <row r="176">
      <c r="C176" s="483"/>
      <c r="D176" s="355"/>
      <c r="E176" s="672"/>
      <c r="F176" s="255"/>
      <c r="G176" s="261"/>
      <c r="H176" s="264"/>
      <c r="I176" s="483"/>
      <c r="J176" s="718"/>
      <c r="L176" s="713"/>
      <c r="M176" s="713"/>
      <c r="N176" s="713"/>
    </row>
    <row r="177">
      <c r="C177" s="483"/>
      <c r="D177" s="355"/>
      <c r="E177" s="672"/>
      <c r="F177" s="255"/>
      <c r="G177" s="261"/>
      <c r="H177" s="264"/>
      <c r="I177" s="483"/>
      <c r="J177" s="718"/>
      <c r="L177" s="713"/>
      <c r="M177" s="713"/>
      <c r="N177" s="713"/>
    </row>
    <row r="178">
      <c r="C178" s="483"/>
      <c r="D178" s="355"/>
      <c r="E178" s="672"/>
      <c r="F178" s="255"/>
      <c r="G178" s="261"/>
      <c r="H178" s="264"/>
      <c r="I178" s="483"/>
      <c r="J178" s="718"/>
      <c r="L178" s="713"/>
      <c r="M178" s="713"/>
      <c r="N178" s="713"/>
    </row>
    <row r="179">
      <c r="C179" s="483"/>
      <c r="D179" s="355"/>
      <c r="E179" s="672"/>
      <c r="F179" s="255"/>
      <c r="G179" s="261"/>
      <c r="H179" s="264"/>
      <c r="I179" s="483"/>
      <c r="J179" s="718"/>
      <c r="L179" s="713"/>
      <c r="M179" s="713"/>
      <c r="N179" s="713"/>
    </row>
    <row r="180">
      <c r="C180" s="483"/>
      <c r="D180" s="355"/>
      <c r="E180" s="672"/>
      <c r="F180" s="255"/>
      <c r="G180" s="261"/>
      <c r="H180" s="264"/>
      <c r="I180" s="483"/>
      <c r="J180" s="718"/>
      <c r="L180" s="713"/>
      <c r="M180" s="713"/>
      <c r="N180" s="713"/>
    </row>
    <row r="181">
      <c r="C181" s="483"/>
      <c r="D181" s="355"/>
      <c r="E181" s="672"/>
      <c r="F181" s="255"/>
      <c r="G181" s="261"/>
      <c r="H181" s="264"/>
      <c r="I181" s="483"/>
      <c r="J181" s="718"/>
      <c r="L181" s="713"/>
      <c r="M181" s="713"/>
      <c r="N181" s="713"/>
    </row>
    <row r="182">
      <c r="C182" s="483"/>
      <c r="D182" s="355"/>
      <c r="E182" s="672"/>
      <c r="F182" s="255"/>
      <c r="G182" s="261"/>
      <c r="H182" s="264"/>
      <c r="I182" s="483"/>
      <c r="J182" s="718"/>
      <c r="L182" s="713"/>
      <c r="M182" s="713"/>
      <c r="N182" s="713"/>
    </row>
    <row r="183">
      <c r="C183" s="483"/>
      <c r="D183" s="355"/>
      <c r="E183" s="672"/>
      <c r="F183" s="255"/>
      <c r="G183" s="261"/>
      <c r="H183" s="264"/>
      <c r="I183" s="483"/>
      <c r="J183" s="718"/>
      <c r="L183" s="713"/>
      <c r="M183" s="713"/>
      <c r="N183" s="713"/>
    </row>
    <row r="184">
      <c r="C184" s="483"/>
      <c r="D184" s="355"/>
      <c r="E184" s="672"/>
      <c r="F184" s="255"/>
      <c r="G184" s="261"/>
      <c r="H184" s="264"/>
      <c r="I184" s="483"/>
      <c r="J184" s="718"/>
      <c r="L184" s="713"/>
      <c r="M184" s="713"/>
      <c r="N184" s="713"/>
    </row>
    <row r="185">
      <c r="C185" s="483"/>
      <c r="D185" s="355"/>
      <c r="E185" s="672"/>
      <c r="F185" s="255"/>
      <c r="G185" s="261"/>
      <c r="H185" s="264"/>
      <c r="I185" s="483"/>
      <c r="J185" s="718"/>
      <c r="L185" s="713"/>
      <c r="M185" s="713"/>
      <c r="N185" s="713"/>
    </row>
    <row r="186">
      <c r="C186" s="483"/>
      <c r="D186" s="355"/>
      <c r="E186" s="672"/>
      <c r="F186" s="255"/>
      <c r="G186" s="261"/>
      <c r="H186" s="264"/>
      <c r="I186" s="483"/>
      <c r="J186" s="718"/>
      <c r="L186" s="713"/>
      <c r="M186" s="713"/>
      <c r="N186" s="713"/>
    </row>
    <row r="187">
      <c r="C187" s="483"/>
      <c r="D187" s="355"/>
      <c r="E187" s="672"/>
      <c r="F187" s="255"/>
      <c r="G187" s="261"/>
      <c r="H187" s="264"/>
      <c r="I187" s="483"/>
      <c r="J187" s="718"/>
      <c r="L187" s="713"/>
      <c r="M187" s="713"/>
      <c r="N187" s="713"/>
    </row>
    <row r="188">
      <c r="C188" s="483"/>
      <c r="D188" s="355"/>
      <c r="E188" s="672"/>
      <c r="F188" s="255"/>
      <c r="G188" s="261"/>
      <c r="H188" s="264"/>
      <c r="I188" s="483"/>
      <c r="J188" s="718"/>
      <c r="L188" s="713"/>
      <c r="M188" s="713"/>
      <c r="N188" s="713"/>
    </row>
    <row r="189">
      <c r="C189" s="483"/>
      <c r="D189" s="355"/>
      <c r="E189" s="672"/>
      <c r="F189" s="255"/>
      <c r="G189" s="261"/>
      <c r="H189" s="264"/>
      <c r="I189" s="483"/>
      <c r="J189" s="718"/>
      <c r="L189" s="713"/>
      <c r="M189" s="713"/>
      <c r="N189" s="713"/>
    </row>
    <row r="190">
      <c r="C190" s="483"/>
      <c r="D190" s="355"/>
      <c r="E190" s="672"/>
      <c r="F190" s="255"/>
      <c r="G190" s="261"/>
      <c r="H190" s="264"/>
      <c r="I190" s="483"/>
      <c r="J190" s="718"/>
      <c r="L190" s="713"/>
      <c r="M190" s="713"/>
      <c r="N190" s="713"/>
    </row>
    <row r="191">
      <c r="C191" s="483"/>
      <c r="D191" s="355"/>
      <c r="E191" s="672"/>
      <c r="F191" s="255"/>
      <c r="G191" s="261"/>
      <c r="H191" s="264"/>
      <c r="I191" s="483"/>
      <c r="J191" s="718"/>
      <c r="L191" s="713"/>
      <c r="M191" s="713"/>
      <c r="N191" s="713"/>
    </row>
    <row r="192">
      <c r="C192" s="483"/>
      <c r="D192" s="355"/>
      <c r="E192" s="672"/>
      <c r="F192" s="255"/>
      <c r="G192" s="261"/>
      <c r="H192" s="264"/>
      <c r="I192" s="483"/>
      <c r="J192" s="718"/>
      <c r="L192" s="713"/>
      <c r="M192" s="713"/>
      <c r="N192" s="713"/>
    </row>
    <row r="193">
      <c r="C193" s="483"/>
      <c r="D193" s="355"/>
      <c r="E193" s="672"/>
      <c r="F193" s="255"/>
      <c r="G193" s="261"/>
      <c r="H193" s="264"/>
      <c r="I193" s="483"/>
      <c r="J193" s="718"/>
      <c r="L193" s="713"/>
      <c r="M193" s="713"/>
      <c r="N193" s="713"/>
    </row>
    <row r="194">
      <c r="C194" s="483"/>
      <c r="D194" s="355"/>
      <c r="E194" s="672"/>
      <c r="F194" s="255"/>
      <c r="G194" s="261"/>
      <c r="H194" s="264"/>
      <c r="I194" s="483"/>
      <c r="J194" s="718"/>
      <c r="L194" s="713"/>
      <c r="M194" s="713"/>
      <c r="N194" s="713"/>
    </row>
    <row r="195">
      <c r="C195" s="483"/>
      <c r="D195" s="355"/>
      <c r="E195" s="672"/>
      <c r="F195" s="255"/>
      <c r="G195" s="261"/>
      <c r="H195" s="264"/>
      <c r="I195" s="483"/>
      <c r="J195" s="718"/>
      <c r="L195" s="713"/>
      <c r="M195" s="713"/>
      <c r="N195" s="713"/>
    </row>
    <row r="196">
      <c r="C196" s="483"/>
      <c r="D196" s="355"/>
      <c r="E196" s="672"/>
      <c r="F196" s="255"/>
      <c r="G196" s="261"/>
      <c r="H196" s="264"/>
      <c r="I196" s="483"/>
      <c r="J196" s="718"/>
      <c r="L196" s="713"/>
      <c r="M196" s="713"/>
      <c r="N196" s="713"/>
    </row>
    <row r="197">
      <c r="C197" s="483"/>
      <c r="D197" s="355"/>
      <c r="E197" s="672"/>
      <c r="F197" s="255"/>
      <c r="G197" s="261"/>
      <c r="H197" s="264"/>
      <c r="I197" s="483"/>
      <c r="J197" s="718"/>
      <c r="L197" s="713"/>
      <c r="M197" s="713"/>
      <c r="N197" s="713"/>
    </row>
    <row r="198">
      <c r="C198" s="483"/>
      <c r="D198" s="355"/>
      <c r="E198" s="672"/>
      <c r="F198" s="255"/>
      <c r="G198" s="261"/>
      <c r="H198" s="264"/>
      <c r="I198" s="483"/>
      <c r="J198" s="718"/>
      <c r="L198" s="713"/>
      <c r="M198" s="713"/>
      <c r="N198" s="713"/>
    </row>
    <row r="199">
      <c r="C199" s="483"/>
      <c r="D199" s="355"/>
      <c r="E199" s="672"/>
      <c r="F199" s="255"/>
      <c r="G199" s="261"/>
      <c r="H199" s="264"/>
      <c r="I199" s="483"/>
      <c r="J199" s="718"/>
      <c r="L199" s="713"/>
      <c r="M199" s="713"/>
      <c r="N199" s="713"/>
    </row>
    <row r="200">
      <c r="C200" s="483"/>
      <c r="D200" s="355"/>
      <c r="E200" s="672"/>
      <c r="F200" s="255"/>
      <c r="G200" s="261"/>
      <c r="H200" s="264"/>
      <c r="I200" s="483"/>
      <c r="J200" s="718"/>
      <c r="L200" s="713"/>
      <c r="M200" s="713"/>
      <c r="N200" s="713"/>
    </row>
    <row r="201">
      <c r="C201" s="483"/>
      <c r="D201" s="355"/>
      <c r="E201" s="672"/>
      <c r="F201" s="255"/>
      <c r="G201" s="261"/>
      <c r="H201" s="264"/>
      <c r="I201" s="483"/>
      <c r="J201" s="718"/>
      <c r="L201" s="713"/>
      <c r="M201" s="713"/>
      <c r="N201" s="713"/>
    </row>
    <row r="202">
      <c r="C202" s="483"/>
      <c r="D202" s="355"/>
      <c r="E202" s="672"/>
      <c r="F202" s="255"/>
      <c r="G202" s="261"/>
      <c r="H202" s="264"/>
      <c r="I202" s="483"/>
      <c r="J202" s="718"/>
      <c r="L202" s="713"/>
      <c r="M202" s="713"/>
      <c r="N202" s="713"/>
    </row>
    <row r="203">
      <c r="C203" s="483"/>
      <c r="D203" s="355"/>
      <c r="E203" s="672"/>
      <c r="F203" s="255"/>
      <c r="G203" s="261"/>
      <c r="H203" s="264"/>
      <c r="I203" s="483"/>
      <c r="J203" s="718"/>
      <c r="L203" s="713"/>
      <c r="M203" s="713"/>
      <c r="N203" s="713"/>
    </row>
    <row r="204">
      <c r="C204" s="483"/>
      <c r="D204" s="355"/>
      <c r="E204" s="672"/>
      <c r="F204" s="255"/>
      <c r="G204" s="261"/>
      <c r="H204" s="264"/>
      <c r="I204" s="483"/>
      <c r="J204" s="718"/>
      <c r="L204" s="713"/>
      <c r="M204" s="713"/>
      <c r="N204" s="713"/>
    </row>
    <row r="205">
      <c r="C205" s="483"/>
      <c r="D205" s="355"/>
      <c r="E205" s="672"/>
      <c r="F205" s="255"/>
      <c r="G205" s="261"/>
      <c r="H205" s="264"/>
      <c r="I205" s="483"/>
      <c r="J205" s="718"/>
      <c r="L205" s="713"/>
      <c r="M205" s="713"/>
      <c r="N205" s="713"/>
    </row>
    <row r="206">
      <c r="C206" s="483"/>
      <c r="D206" s="355"/>
      <c r="E206" s="672"/>
      <c r="F206" s="255"/>
      <c r="G206" s="261"/>
      <c r="H206" s="264"/>
      <c r="I206" s="483"/>
      <c r="J206" s="718"/>
      <c r="L206" s="713"/>
      <c r="M206" s="713"/>
      <c r="N206" s="713"/>
    </row>
    <row r="207">
      <c r="C207" s="483"/>
      <c r="D207" s="355"/>
      <c r="E207" s="672"/>
      <c r="F207" s="255"/>
      <c r="G207" s="261"/>
      <c r="H207" s="264"/>
      <c r="I207" s="483"/>
      <c r="J207" s="718"/>
      <c r="L207" s="713"/>
      <c r="M207" s="713"/>
      <c r="N207" s="713"/>
    </row>
    <row r="208">
      <c r="C208" s="483"/>
      <c r="D208" s="355"/>
      <c r="E208" s="672"/>
      <c r="F208" s="255"/>
      <c r="G208" s="261"/>
      <c r="H208" s="264"/>
      <c r="I208" s="483"/>
      <c r="J208" s="718"/>
      <c r="L208" s="713"/>
      <c r="M208" s="713"/>
      <c r="N208" s="713"/>
    </row>
    <row r="209">
      <c r="C209" s="483"/>
      <c r="D209" s="355"/>
      <c r="E209" s="672"/>
      <c r="F209" s="255"/>
      <c r="G209" s="261"/>
      <c r="H209" s="264"/>
      <c r="I209" s="483"/>
      <c r="J209" s="718"/>
      <c r="L209" s="713"/>
      <c r="M209" s="713"/>
      <c r="N209" s="713"/>
    </row>
    <row r="210">
      <c r="C210" s="483"/>
      <c r="D210" s="355"/>
      <c r="E210" s="672"/>
      <c r="F210" s="255"/>
      <c r="G210" s="261"/>
      <c r="H210" s="264"/>
      <c r="I210" s="483"/>
      <c r="J210" s="718"/>
      <c r="L210" s="713"/>
      <c r="M210" s="713"/>
      <c r="N210" s="713"/>
    </row>
    <row r="211">
      <c r="C211" s="483"/>
      <c r="D211" s="355"/>
      <c r="E211" s="672"/>
      <c r="F211" s="255"/>
      <c r="G211" s="261"/>
      <c r="H211" s="264"/>
      <c r="I211" s="483"/>
      <c r="J211" s="718"/>
      <c r="L211" s="713"/>
      <c r="M211" s="713"/>
      <c r="N211" s="713"/>
    </row>
    <row r="212">
      <c r="C212" s="483"/>
      <c r="D212" s="355"/>
      <c r="E212" s="672"/>
      <c r="F212" s="255"/>
      <c r="G212" s="261"/>
      <c r="H212" s="264"/>
      <c r="I212" s="483"/>
      <c r="J212" s="718"/>
      <c r="L212" s="713"/>
      <c r="M212" s="713"/>
      <c r="N212" s="713"/>
    </row>
    <row r="213">
      <c r="C213" s="483"/>
      <c r="D213" s="355"/>
      <c r="E213" s="672"/>
      <c r="F213" s="255"/>
      <c r="G213" s="261"/>
      <c r="H213" s="264"/>
      <c r="I213" s="483"/>
      <c r="J213" s="718"/>
      <c r="L213" s="713"/>
      <c r="M213" s="713"/>
      <c r="N213" s="713"/>
    </row>
    <row r="214">
      <c r="C214" s="483"/>
      <c r="D214" s="355"/>
      <c r="E214" s="672"/>
      <c r="F214" s="255"/>
      <c r="G214" s="261"/>
      <c r="H214" s="264"/>
      <c r="I214" s="483"/>
      <c r="J214" s="718"/>
      <c r="L214" s="713"/>
      <c r="M214" s="713"/>
      <c r="N214" s="713"/>
    </row>
    <row r="215">
      <c r="C215" s="483"/>
      <c r="D215" s="355"/>
      <c r="E215" s="672"/>
      <c r="F215" s="255"/>
      <c r="G215" s="261"/>
      <c r="H215" s="264"/>
      <c r="I215" s="483"/>
      <c r="J215" s="718"/>
      <c r="L215" s="713"/>
      <c r="M215" s="713"/>
      <c r="N215" s="713"/>
    </row>
    <row r="216">
      <c r="C216" s="483"/>
      <c r="D216" s="355"/>
      <c r="E216" s="672"/>
      <c r="F216" s="255"/>
      <c r="G216" s="261"/>
      <c r="H216" s="264"/>
      <c r="I216" s="483"/>
      <c r="J216" s="718"/>
      <c r="L216" s="713"/>
      <c r="M216" s="713"/>
      <c r="N216" s="713"/>
    </row>
    <row r="217">
      <c r="C217" s="483"/>
      <c r="D217" s="355"/>
      <c r="E217" s="672"/>
      <c r="F217" s="255"/>
      <c r="G217" s="261"/>
      <c r="H217" s="264"/>
      <c r="I217" s="483"/>
      <c r="J217" s="718"/>
      <c r="L217" s="713"/>
      <c r="M217" s="713"/>
      <c r="N217" s="713"/>
    </row>
    <row r="218">
      <c r="C218" s="483"/>
      <c r="D218" s="355"/>
      <c r="E218" s="672"/>
      <c r="F218" s="255"/>
      <c r="G218" s="261"/>
      <c r="H218" s="264"/>
      <c r="I218" s="483"/>
      <c r="J218" s="718"/>
      <c r="L218" s="713"/>
      <c r="M218" s="713"/>
      <c r="N218" s="713"/>
    </row>
    <row r="219">
      <c r="C219" s="483"/>
      <c r="D219" s="355"/>
      <c r="E219" s="672"/>
      <c r="F219" s="255"/>
      <c r="G219" s="261"/>
      <c r="H219" s="264"/>
      <c r="I219" s="483"/>
      <c r="J219" s="718"/>
      <c r="L219" s="713"/>
      <c r="M219" s="713"/>
      <c r="N219" s="713"/>
    </row>
    <row r="220">
      <c r="C220" s="483"/>
      <c r="D220" s="355"/>
      <c r="E220" s="672"/>
      <c r="F220" s="255"/>
      <c r="G220" s="261"/>
      <c r="H220" s="264"/>
      <c r="I220" s="483"/>
      <c r="J220" s="718"/>
      <c r="L220" s="713"/>
      <c r="M220" s="713"/>
      <c r="N220" s="713"/>
    </row>
    <row r="221">
      <c r="C221" s="483"/>
      <c r="D221" s="355"/>
      <c r="E221" s="672"/>
      <c r="F221" s="255"/>
      <c r="G221" s="261"/>
      <c r="H221" s="264"/>
      <c r="I221" s="483"/>
      <c r="J221" s="718"/>
      <c r="L221" s="713"/>
      <c r="M221" s="713"/>
      <c r="N221" s="713"/>
    </row>
    <row r="222">
      <c r="C222" s="483"/>
      <c r="D222" s="355"/>
      <c r="E222" s="672"/>
      <c r="F222" s="255"/>
      <c r="G222" s="261"/>
      <c r="H222" s="264"/>
      <c r="I222" s="483"/>
      <c r="J222" s="718"/>
      <c r="L222" s="713"/>
      <c r="M222" s="713"/>
      <c r="N222" s="713"/>
    </row>
    <row r="223">
      <c r="C223" s="483"/>
      <c r="D223" s="355"/>
      <c r="E223" s="672"/>
      <c r="F223" s="255"/>
      <c r="G223" s="261"/>
      <c r="H223" s="264"/>
      <c r="I223" s="483"/>
      <c r="J223" s="718"/>
      <c r="L223" s="713"/>
      <c r="M223" s="713"/>
      <c r="N223" s="713"/>
    </row>
    <row r="224">
      <c r="C224" s="483"/>
      <c r="D224" s="355"/>
      <c r="E224" s="672"/>
      <c r="F224" s="255"/>
      <c r="G224" s="261"/>
      <c r="H224" s="264"/>
      <c r="I224" s="483"/>
      <c r="J224" s="718"/>
      <c r="L224" s="713"/>
      <c r="M224" s="713"/>
      <c r="N224" s="713"/>
    </row>
    <row r="225">
      <c r="C225" s="483"/>
      <c r="D225" s="355"/>
      <c r="E225" s="672"/>
      <c r="F225" s="255"/>
      <c r="G225" s="261"/>
      <c r="H225" s="264"/>
      <c r="I225" s="483"/>
      <c r="J225" s="718"/>
      <c r="L225" s="713"/>
      <c r="M225" s="713"/>
      <c r="N225" s="713"/>
    </row>
    <row r="226">
      <c r="C226" s="483"/>
      <c r="D226" s="355"/>
      <c r="E226" s="672"/>
      <c r="F226" s="255"/>
      <c r="G226" s="261"/>
      <c r="H226" s="264"/>
      <c r="I226" s="483"/>
      <c r="J226" s="718"/>
      <c r="L226" s="713"/>
      <c r="M226" s="713"/>
      <c r="N226" s="713"/>
    </row>
    <row r="227">
      <c r="C227" s="483"/>
      <c r="D227" s="355"/>
      <c r="E227" s="672"/>
      <c r="F227" s="255"/>
      <c r="G227" s="261"/>
      <c r="H227" s="264"/>
      <c r="I227" s="483"/>
      <c r="J227" s="718"/>
      <c r="L227" s="713"/>
      <c r="M227" s="713"/>
      <c r="N227" s="713"/>
    </row>
    <row r="228">
      <c r="C228" s="483"/>
      <c r="D228" s="355"/>
      <c r="E228" s="672"/>
      <c r="F228" s="255"/>
      <c r="G228" s="261"/>
      <c r="H228" s="264"/>
      <c r="I228" s="483"/>
      <c r="J228" s="718"/>
      <c r="L228" s="713"/>
      <c r="M228" s="713"/>
      <c r="N228" s="713"/>
    </row>
    <row r="229">
      <c r="C229" s="483"/>
      <c r="D229" s="355"/>
      <c r="E229" s="672"/>
      <c r="F229" s="255"/>
      <c r="G229" s="261"/>
      <c r="H229" s="264"/>
      <c r="I229" s="483"/>
      <c r="J229" s="718"/>
      <c r="L229" s="713"/>
      <c r="M229" s="713"/>
      <c r="N229" s="713"/>
    </row>
    <row r="230">
      <c r="C230" s="483"/>
      <c r="D230" s="355"/>
      <c r="E230" s="672"/>
      <c r="F230" s="255"/>
      <c r="G230" s="261"/>
      <c r="H230" s="264"/>
      <c r="I230" s="483"/>
      <c r="J230" s="718"/>
      <c r="L230" s="713"/>
      <c r="M230" s="713"/>
      <c r="N230" s="713"/>
    </row>
    <row r="231">
      <c r="C231" s="483"/>
      <c r="D231" s="355"/>
      <c r="E231" s="672"/>
      <c r="F231" s="255"/>
      <c r="G231" s="261"/>
      <c r="H231" s="264"/>
      <c r="I231" s="483"/>
      <c r="J231" s="718"/>
      <c r="L231" s="713"/>
      <c r="M231" s="713"/>
      <c r="N231" s="713"/>
    </row>
    <row r="232">
      <c r="C232" s="483"/>
      <c r="D232" s="355"/>
      <c r="E232" s="672"/>
      <c r="F232" s="255"/>
      <c r="G232" s="261"/>
      <c r="H232" s="264"/>
      <c r="I232" s="483"/>
      <c r="J232" s="718"/>
      <c r="L232" s="713"/>
      <c r="M232" s="713"/>
      <c r="N232" s="713"/>
    </row>
    <row r="233">
      <c r="C233" s="483"/>
      <c r="D233" s="355"/>
      <c r="E233" s="672"/>
      <c r="F233" s="255"/>
      <c r="G233" s="261"/>
      <c r="H233" s="264"/>
      <c r="I233" s="483"/>
      <c r="J233" s="718"/>
      <c r="L233" s="713"/>
      <c r="M233" s="713"/>
      <c r="N233" s="713"/>
    </row>
    <row r="234">
      <c r="C234" s="483"/>
      <c r="D234" s="355"/>
      <c r="E234" s="672"/>
      <c r="F234" s="255"/>
      <c r="G234" s="261"/>
      <c r="H234" s="264"/>
      <c r="I234" s="483"/>
      <c r="J234" s="718"/>
      <c r="L234" s="713"/>
      <c r="M234" s="713"/>
      <c r="N234" s="713"/>
    </row>
    <row r="235">
      <c r="C235" s="483"/>
      <c r="D235" s="355"/>
      <c r="E235" s="672"/>
      <c r="F235" s="255"/>
      <c r="G235" s="261"/>
      <c r="H235" s="264"/>
      <c r="I235" s="483"/>
      <c r="J235" s="718"/>
      <c r="L235" s="713"/>
      <c r="M235" s="713"/>
      <c r="N235" s="713"/>
    </row>
    <row r="236">
      <c r="C236" s="483"/>
      <c r="D236" s="355"/>
      <c r="E236" s="672"/>
      <c r="F236" s="255"/>
      <c r="G236" s="261"/>
      <c r="H236" s="264"/>
      <c r="I236" s="483"/>
      <c r="J236" s="718"/>
      <c r="L236" s="713"/>
      <c r="M236" s="713"/>
      <c r="N236" s="713"/>
    </row>
    <row r="237">
      <c r="C237" s="483"/>
      <c r="D237" s="355"/>
      <c r="E237" s="672"/>
      <c r="F237" s="255"/>
      <c r="G237" s="261"/>
      <c r="H237" s="264"/>
      <c r="I237" s="483"/>
      <c r="J237" s="718"/>
      <c r="L237" s="713"/>
      <c r="M237" s="713"/>
      <c r="N237" s="713"/>
    </row>
    <row r="238">
      <c r="C238" s="483"/>
      <c r="D238" s="355"/>
      <c r="E238" s="672"/>
      <c r="F238" s="255"/>
      <c r="G238" s="261"/>
      <c r="H238" s="264"/>
      <c r="I238" s="483"/>
      <c r="J238" s="718"/>
      <c r="L238" s="713"/>
      <c r="M238" s="713"/>
      <c r="N238" s="713"/>
    </row>
    <row r="239">
      <c r="C239" s="483"/>
      <c r="D239" s="355"/>
      <c r="E239" s="672"/>
      <c r="F239" s="255"/>
      <c r="G239" s="261"/>
      <c r="H239" s="264"/>
      <c r="I239" s="483"/>
      <c r="J239" s="718"/>
      <c r="L239" s="713"/>
      <c r="M239" s="713"/>
      <c r="N239" s="713"/>
    </row>
    <row r="240">
      <c r="C240" s="483"/>
      <c r="D240" s="355"/>
      <c r="E240" s="672"/>
      <c r="F240" s="255"/>
      <c r="G240" s="261"/>
      <c r="H240" s="264"/>
      <c r="I240" s="483"/>
      <c r="J240" s="718"/>
      <c r="L240" s="713"/>
      <c r="M240" s="713"/>
      <c r="N240" s="713"/>
    </row>
    <row r="241">
      <c r="C241" s="483"/>
      <c r="D241" s="355"/>
      <c r="E241" s="672"/>
      <c r="F241" s="255"/>
      <c r="G241" s="261"/>
      <c r="H241" s="264"/>
      <c r="I241" s="483"/>
      <c r="J241" s="718"/>
      <c r="L241" s="713"/>
      <c r="M241" s="713"/>
      <c r="N241" s="713"/>
    </row>
    <row r="242">
      <c r="C242" s="483"/>
      <c r="D242" s="355"/>
      <c r="E242" s="672"/>
      <c r="F242" s="255"/>
      <c r="G242" s="261"/>
      <c r="H242" s="264"/>
      <c r="I242" s="483"/>
      <c r="J242" s="718"/>
      <c r="L242" s="713"/>
      <c r="M242" s="713"/>
      <c r="N242" s="713"/>
    </row>
    <row r="243">
      <c r="C243" s="483"/>
      <c r="D243" s="355"/>
      <c r="E243" s="672"/>
      <c r="F243" s="255"/>
      <c r="G243" s="261"/>
      <c r="H243" s="264"/>
      <c r="I243" s="483"/>
      <c r="J243" s="718"/>
      <c r="L243" s="713"/>
      <c r="M243" s="713"/>
      <c r="N243" s="713"/>
    </row>
    <row r="244">
      <c r="C244" s="483"/>
      <c r="D244" s="355"/>
      <c r="E244" s="672"/>
      <c r="F244" s="255"/>
      <c r="G244" s="261"/>
      <c r="H244" s="264"/>
      <c r="I244" s="483"/>
      <c r="J244" s="718"/>
      <c r="L244" s="713"/>
      <c r="M244" s="713"/>
      <c r="N244" s="713"/>
    </row>
    <row r="245">
      <c r="C245" s="483"/>
      <c r="D245" s="355"/>
      <c r="E245" s="672"/>
      <c r="F245" s="255"/>
      <c r="G245" s="261"/>
      <c r="H245" s="264"/>
      <c r="I245" s="483"/>
      <c r="J245" s="718"/>
      <c r="L245" s="713"/>
      <c r="M245" s="713"/>
      <c r="N245" s="713"/>
    </row>
    <row r="246">
      <c r="C246" s="483"/>
      <c r="D246" s="355"/>
      <c r="E246" s="672"/>
      <c r="F246" s="255"/>
      <c r="G246" s="261"/>
      <c r="H246" s="264"/>
      <c r="I246" s="483"/>
      <c r="J246" s="718"/>
      <c r="L246" s="713"/>
      <c r="M246" s="713"/>
      <c r="N246" s="713"/>
    </row>
    <row r="247">
      <c r="C247" s="483"/>
      <c r="D247" s="355"/>
      <c r="E247" s="672"/>
      <c r="F247" s="255"/>
      <c r="G247" s="261"/>
      <c r="H247" s="264"/>
      <c r="I247" s="483"/>
      <c r="J247" s="718"/>
      <c r="L247" s="713"/>
      <c r="M247" s="713"/>
      <c r="N247" s="713"/>
    </row>
    <row r="248">
      <c r="C248" s="483"/>
      <c r="D248" s="355"/>
      <c r="E248" s="672"/>
      <c r="F248" s="255"/>
      <c r="G248" s="261"/>
      <c r="H248" s="264"/>
      <c r="I248" s="483"/>
      <c r="J248" s="718"/>
      <c r="L248" s="713"/>
      <c r="M248" s="713"/>
      <c r="N248" s="713"/>
    </row>
    <row r="249">
      <c r="C249" s="483"/>
      <c r="D249" s="355"/>
      <c r="E249" s="672"/>
      <c r="F249" s="255"/>
      <c r="G249" s="261"/>
      <c r="H249" s="264"/>
      <c r="I249" s="483"/>
      <c r="J249" s="718"/>
      <c r="L249" s="713"/>
      <c r="M249" s="713"/>
      <c r="N249" s="713"/>
    </row>
    <row r="250">
      <c r="C250" s="483"/>
      <c r="D250" s="355"/>
      <c r="E250" s="672"/>
      <c r="F250" s="255"/>
      <c r="G250" s="261"/>
      <c r="H250" s="264"/>
      <c r="I250" s="483"/>
      <c r="J250" s="718"/>
      <c r="L250" s="713"/>
      <c r="M250" s="713"/>
      <c r="N250" s="713"/>
    </row>
    <row r="251">
      <c r="C251" s="483"/>
      <c r="D251" s="355"/>
      <c r="E251" s="672"/>
      <c r="F251" s="255"/>
      <c r="G251" s="261"/>
      <c r="H251" s="264"/>
      <c r="I251" s="483"/>
      <c r="J251" s="718"/>
      <c r="L251" s="713"/>
      <c r="M251" s="713"/>
      <c r="N251" s="713"/>
    </row>
    <row r="252">
      <c r="C252" s="483"/>
      <c r="D252" s="355"/>
      <c r="E252" s="672"/>
      <c r="F252" s="255"/>
      <c r="G252" s="261"/>
      <c r="H252" s="264"/>
      <c r="I252" s="483"/>
      <c r="J252" s="718"/>
      <c r="L252" s="713"/>
      <c r="M252" s="713"/>
      <c r="N252" s="713"/>
    </row>
    <row r="253">
      <c r="C253" s="483"/>
      <c r="D253" s="355"/>
      <c r="E253" s="672"/>
      <c r="F253" s="255"/>
      <c r="G253" s="261"/>
      <c r="H253" s="264"/>
      <c r="I253" s="483"/>
      <c r="J253" s="718"/>
      <c r="L253" s="713"/>
      <c r="M253" s="713"/>
      <c r="N253" s="713"/>
    </row>
    <row r="254">
      <c r="C254" s="483"/>
      <c r="D254" s="355"/>
      <c r="E254" s="672"/>
      <c r="F254" s="255"/>
      <c r="G254" s="261"/>
      <c r="H254" s="264"/>
      <c r="I254" s="483"/>
      <c r="J254" s="718"/>
      <c r="L254" s="713"/>
      <c r="M254" s="713"/>
      <c r="N254" s="713"/>
    </row>
    <row r="255">
      <c r="C255" s="483"/>
      <c r="D255" s="355"/>
      <c r="E255" s="672"/>
      <c r="F255" s="255"/>
      <c r="G255" s="261"/>
      <c r="H255" s="264"/>
      <c r="I255" s="483"/>
      <c r="J255" s="718"/>
      <c r="L255" s="713"/>
      <c r="M255" s="713"/>
      <c r="N255" s="713"/>
    </row>
    <row r="256">
      <c r="C256" s="483"/>
      <c r="D256" s="355"/>
      <c r="E256" s="672"/>
      <c r="F256" s="255"/>
      <c r="G256" s="261"/>
      <c r="H256" s="264"/>
      <c r="I256" s="483"/>
      <c r="J256" s="718"/>
      <c r="L256" s="713"/>
      <c r="M256" s="713"/>
      <c r="N256" s="713"/>
    </row>
    <row r="257">
      <c r="C257" s="483"/>
      <c r="D257" s="355"/>
      <c r="E257" s="672"/>
      <c r="F257" s="255"/>
      <c r="G257" s="261"/>
      <c r="H257" s="264"/>
      <c r="I257" s="483"/>
      <c r="J257" s="718"/>
      <c r="L257" s="713"/>
      <c r="M257" s="713"/>
      <c r="N257" s="713"/>
    </row>
    <row r="258">
      <c r="C258" s="483"/>
      <c r="D258" s="355"/>
      <c r="E258" s="672"/>
      <c r="F258" s="255"/>
      <c r="G258" s="261"/>
      <c r="H258" s="264"/>
      <c r="I258" s="483"/>
      <c r="J258" s="718"/>
      <c r="L258" s="713"/>
      <c r="M258" s="713"/>
      <c r="N258" s="713"/>
    </row>
    <row r="259">
      <c r="C259" s="483"/>
      <c r="D259" s="355"/>
      <c r="E259" s="672"/>
      <c r="F259" s="255"/>
      <c r="G259" s="261"/>
      <c r="H259" s="264"/>
      <c r="I259" s="483"/>
      <c r="J259" s="718"/>
      <c r="L259" s="713"/>
      <c r="M259" s="713"/>
      <c r="N259" s="713"/>
    </row>
    <row r="260">
      <c r="C260" s="483"/>
      <c r="D260" s="355"/>
      <c r="E260" s="672"/>
      <c r="F260" s="255"/>
      <c r="G260" s="261"/>
      <c r="H260" s="264"/>
      <c r="I260" s="483"/>
      <c r="J260" s="718"/>
      <c r="L260" s="713"/>
      <c r="M260" s="713"/>
      <c r="N260" s="713"/>
    </row>
    <row r="261">
      <c r="C261" s="483"/>
      <c r="D261" s="355"/>
      <c r="E261" s="672"/>
      <c r="F261" s="255"/>
      <c r="G261" s="261"/>
      <c r="H261" s="264"/>
      <c r="I261" s="483"/>
      <c r="J261" s="718"/>
      <c r="L261" s="713"/>
      <c r="M261" s="713"/>
      <c r="N261" s="713"/>
    </row>
    <row r="262">
      <c r="C262" s="483"/>
      <c r="D262" s="355"/>
      <c r="E262" s="672"/>
      <c r="F262" s="255"/>
      <c r="G262" s="261"/>
      <c r="H262" s="264"/>
      <c r="I262" s="483"/>
      <c r="J262" s="718"/>
      <c r="L262" s="713"/>
      <c r="M262" s="713"/>
      <c r="N262" s="713"/>
    </row>
    <row r="263">
      <c r="C263" s="483"/>
      <c r="D263" s="355"/>
      <c r="E263" s="672"/>
      <c r="F263" s="255"/>
      <c r="G263" s="261"/>
      <c r="H263" s="264"/>
      <c r="I263" s="483"/>
      <c r="J263" s="718"/>
      <c r="L263" s="713"/>
      <c r="M263" s="713"/>
      <c r="N263" s="713"/>
    </row>
    <row r="264">
      <c r="C264" s="483"/>
      <c r="D264" s="355"/>
      <c r="E264" s="672"/>
      <c r="F264" s="255"/>
      <c r="G264" s="261"/>
      <c r="H264" s="264"/>
      <c r="I264" s="483"/>
      <c r="J264" s="718"/>
      <c r="L264" s="713"/>
      <c r="M264" s="713"/>
      <c r="N264" s="713"/>
    </row>
    <row r="265">
      <c r="C265" s="483"/>
      <c r="D265" s="355"/>
      <c r="E265" s="672"/>
      <c r="F265" s="255"/>
      <c r="G265" s="261"/>
      <c r="H265" s="264"/>
      <c r="I265" s="483"/>
      <c r="J265" s="718"/>
      <c r="L265" s="713"/>
      <c r="M265" s="713"/>
      <c r="N265" s="713"/>
    </row>
    <row r="266">
      <c r="C266" s="483"/>
      <c r="D266" s="355"/>
      <c r="E266" s="672"/>
      <c r="F266" s="255"/>
      <c r="G266" s="261"/>
      <c r="H266" s="264"/>
      <c r="I266" s="483"/>
      <c r="J266" s="718"/>
      <c r="L266" s="713"/>
      <c r="M266" s="713"/>
      <c r="N266" s="713"/>
    </row>
    <row r="267">
      <c r="C267" s="483"/>
      <c r="D267" s="355"/>
      <c r="E267" s="672"/>
      <c r="F267" s="255"/>
      <c r="G267" s="261"/>
      <c r="H267" s="264"/>
      <c r="I267" s="483"/>
      <c r="J267" s="718"/>
      <c r="L267" s="713"/>
      <c r="M267" s="713"/>
      <c r="N267" s="713"/>
    </row>
    <row r="268">
      <c r="C268" s="483"/>
      <c r="D268" s="355"/>
      <c r="E268" s="672"/>
      <c r="F268" s="255"/>
      <c r="G268" s="261"/>
      <c r="H268" s="264"/>
      <c r="I268" s="483"/>
      <c r="J268" s="718"/>
      <c r="L268" s="713"/>
      <c r="M268" s="713"/>
      <c r="N268" s="713"/>
    </row>
    <row r="269">
      <c r="C269" s="483"/>
      <c r="D269" s="355"/>
      <c r="E269" s="672"/>
      <c r="F269" s="255"/>
      <c r="G269" s="261"/>
      <c r="H269" s="264"/>
      <c r="I269" s="483"/>
      <c r="J269" s="718"/>
      <c r="L269" s="713"/>
      <c r="M269" s="713"/>
      <c r="N269" s="713"/>
    </row>
    <row r="270">
      <c r="C270" s="483"/>
      <c r="D270" s="355"/>
      <c r="E270" s="672"/>
      <c r="F270" s="255"/>
      <c r="G270" s="261"/>
      <c r="H270" s="264"/>
      <c r="I270" s="483"/>
      <c r="J270" s="718"/>
      <c r="L270" s="713"/>
      <c r="M270" s="713"/>
      <c r="N270" s="713"/>
    </row>
    <row r="271">
      <c r="C271" s="483"/>
      <c r="D271" s="355"/>
      <c r="E271" s="672"/>
      <c r="F271" s="255"/>
      <c r="G271" s="261"/>
      <c r="H271" s="264"/>
      <c r="I271" s="483"/>
      <c r="J271" s="718"/>
      <c r="L271" s="713"/>
      <c r="M271" s="713"/>
      <c r="N271" s="713"/>
    </row>
    <row r="272">
      <c r="C272" s="483"/>
      <c r="D272" s="355"/>
      <c r="E272" s="672"/>
      <c r="F272" s="255"/>
      <c r="G272" s="261"/>
      <c r="H272" s="264"/>
      <c r="I272" s="483"/>
      <c r="J272" s="718"/>
      <c r="L272" s="713"/>
      <c r="M272" s="713"/>
      <c r="N272" s="713"/>
    </row>
    <row r="273">
      <c r="C273" s="483"/>
      <c r="D273" s="355"/>
      <c r="E273" s="672"/>
      <c r="F273" s="255"/>
      <c r="G273" s="261"/>
      <c r="H273" s="264"/>
      <c r="I273" s="483"/>
      <c r="J273" s="718"/>
      <c r="L273" s="713"/>
      <c r="M273" s="713"/>
      <c r="N273" s="713"/>
    </row>
    <row r="274">
      <c r="C274" s="483"/>
      <c r="D274" s="355"/>
      <c r="E274" s="672"/>
      <c r="F274" s="255"/>
      <c r="G274" s="261"/>
      <c r="H274" s="264"/>
      <c r="I274" s="483"/>
      <c r="J274" s="718"/>
      <c r="L274" s="713"/>
      <c r="M274" s="713"/>
      <c r="N274" s="713"/>
    </row>
    <row r="275">
      <c r="C275" s="483"/>
      <c r="D275" s="355"/>
      <c r="E275" s="672"/>
      <c r="F275" s="255"/>
      <c r="G275" s="261"/>
      <c r="H275" s="264"/>
      <c r="I275" s="483"/>
      <c r="J275" s="718"/>
      <c r="L275" s="713"/>
      <c r="M275" s="713"/>
      <c r="N275" s="713"/>
    </row>
    <row r="276">
      <c r="C276" s="483"/>
      <c r="D276" s="355"/>
      <c r="E276" s="672"/>
      <c r="F276" s="255"/>
      <c r="G276" s="261"/>
      <c r="H276" s="264"/>
      <c r="I276" s="483"/>
      <c r="J276" s="718"/>
      <c r="L276" s="713"/>
      <c r="M276" s="713"/>
      <c r="N276" s="713"/>
    </row>
    <row r="277">
      <c r="C277" s="483"/>
      <c r="D277" s="355"/>
      <c r="E277" s="672"/>
      <c r="F277" s="255"/>
      <c r="G277" s="261"/>
      <c r="H277" s="264"/>
      <c r="I277" s="483"/>
      <c r="J277" s="718"/>
      <c r="L277" s="713"/>
      <c r="M277" s="713"/>
      <c r="N277" s="713"/>
    </row>
    <row r="278">
      <c r="C278" s="483"/>
      <c r="D278" s="355"/>
      <c r="E278" s="672"/>
      <c r="F278" s="255"/>
      <c r="G278" s="261"/>
      <c r="H278" s="264"/>
      <c r="I278" s="483"/>
      <c r="J278" s="718"/>
      <c r="L278" s="713"/>
      <c r="M278" s="713"/>
      <c r="N278" s="713"/>
    </row>
    <row r="279">
      <c r="C279" s="483"/>
      <c r="D279" s="355"/>
      <c r="E279" s="672"/>
      <c r="F279" s="255"/>
      <c r="G279" s="261"/>
      <c r="H279" s="264"/>
      <c r="I279" s="483"/>
      <c r="J279" s="718"/>
      <c r="L279" s="713"/>
      <c r="M279" s="713"/>
      <c r="N279" s="713"/>
    </row>
    <row r="280">
      <c r="C280" s="483"/>
      <c r="D280" s="355"/>
      <c r="E280" s="672"/>
      <c r="F280" s="255"/>
      <c r="G280" s="261"/>
      <c r="H280" s="264"/>
      <c r="I280" s="483"/>
      <c r="J280" s="718"/>
      <c r="L280" s="713"/>
      <c r="M280" s="713"/>
      <c r="N280" s="713"/>
    </row>
    <row r="281">
      <c r="C281" s="483"/>
      <c r="D281" s="355"/>
      <c r="E281" s="672"/>
      <c r="F281" s="255"/>
      <c r="G281" s="261"/>
      <c r="H281" s="264"/>
      <c r="I281" s="483"/>
      <c r="J281" s="718"/>
      <c r="L281" s="713"/>
      <c r="M281" s="713"/>
      <c r="N281" s="713"/>
    </row>
    <row r="282">
      <c r="C282" s="483"/>
      <c r="D282" s="355"/>
      <c r="E282" s="672"/>
      <c r="F282" s="255"/>
      <c r="G282" s="261"/>
      <c r="H282" s="264"/>
      <c r="I282" s="483"/>
      <c r="J282" s="718"/>
      <c r="L282" s="713"/>
      <c r="M282" s="713"/>
      <c r="N282" s="713"/>
    </row>
    <row r="283">
      <c r="C283" s="483"/>
      <c r="D283" s="355"/>
      <c r="E283" s="672"/>
      <c r="F283" s="255"/>
      <c r="G283" s="261"/>
      <c r="H283" s="264"/>
      <c r="I283" s="483"/>
      <c r="J283" s="718"/>
      <c r="L283" s="713"/>
      <c r="M283" s="713"/>
      <c r="N283" s="713"/>
    </row>
    <row r="284">
      <c r="C284" s="483"/>
      <c r="D284" s="355"/>
      <c r="E284" s="672"/>
      <c r="F284" s="255"/>
      <c r="G284" s="261"/>
      <c r="H284" s="264"/>
      <c r="I284" s="483"/>
      <c r="J284" s="718"/>
      <c r="L284" s="713"/>
      <c r="M284" s="713"/>
      <c r="N284" s="713"/>
    </row>
    <row r="285">
      <c r="C285" s="483"/>
      <c r="D285" s="355"/>
      <c r="E285" s="672"/>
      <c r="F285" s="255"/>
      <c r="G285" s="261"/>
      <c r="H285" s="264"/>
      <c r="I285" s="483"/>
      <c r="J285" s="718"/>
      <c r="L285" s="713"/>
      <c r="M285" s="713"/>
      <c r="N285" s="713"/>
    </row>
    <row r="286">
      <c r="C286" s="483"/>
      <c r="D286" s="355"/>
      <c r="E286" s="672"/>
      <c r="F286" s="255"/>
      <c r="G286" s="261"/>
      <c r="H286" s="264"/>
      <c r="I286" s="483"/>
      <c r="J286" s="718"/>
      <c r="L286" s="713"/>
      <c r="M286" s="713"/>
      <c r="N286" s="713"/>
    </row>
    <row r="287">
      <c r="C287" s="483"/>
      <c r="D287" s="355"/>
      <c r="E287" s="672"/>
      <c r="F287" s="255"/>
      <c r="G287" s="261"/>
      <c r="H287" s="264"/>
      <c r="I287" s="483"/>
      <c r="J287" s="718"/>
      <c r="L287" s="713"/>
      <c r="M287" s="713"/>
      <c r="N287" s="713"/>
    </row>
    <row r="288">
      <c r="C288" s="483"/>
      <c r="D288" s="355"/>
      <c r="E288" s="672"/>
      <c r="F288" s="255"/>
      <c r="G288" s="261"/>
      <c r="H288" s="264"/>
      <c r="I288" s="483"/>
      <c r="J288" s="718"/>
      <c r="L288" s="713"/>
      <c r="M288" s="713"/>
      <c r="N288" s="713"/>
    </row>
    <row r="289">
      <c r="C289" s="483"/>
      <c r="D289" s="355"/>
      <c r="E289" s="672"/>
      <c r="F289" s="255"/>
      <c r="G289" s="261"/>
      <c r="H289" s="264"/>
      <c r="I289" s="483"/>
      <c r="J289" s="718"/>
      <c r="L289" s="713"/>
      <c r="M289" s="713"/>
      <c r="N289" s="713"/>
    </row>
    <row r="290">
      <c r="C290" s="483"/>
      <c r="D290" s="355"/>
      <c r="E290" s="672"/>
      <c r="F290" s="255"/>
      <c r="G290" s="261"/>
      <c r="H290" s="264"/>
      <c r="I290" s="483"/>
      <c r="J290" s="718"/>
      <c r="L290" s="713"/>
      <c r="M290" s="713"/>
      <c r="N290" s="713"/>
    </row>
    <row r="291">
      <c r="C291" s="483"/>
      <c r="D291" s="355"/>
      <c r="E291" s="672"/>
      <c r="F291" s="255"/>
      <c r="G291" s="261"/>
      <c r="H291" s="264"/>
      <c r="I291" s="483"/>
      <c r="J291" s="718"/>
      <c r="L291" s="713"/>
      <c r="M291" s="713"/>
      <c r="N291" s="713"/>
    </row>
    <row r="292">
      <c r="C292" s="483"/>
      <c r="D292" s="355"/>
      <c r="E292" s="672"/>
      <c r="F292" s="255"/>
      <c r="G292" s="261"/>
      <c r="H292" s="264"/>
      <c r="I292" s="483"/>
      <c r="J292" s="718"/>
      <c r="L292" s="713"/>
      <c r="M292" s="713"/>
      <c r="N292" s="713"/>
    </row>
    <row r="293">
      <c r="C293" s="483"/>
      <c r="D293" s="355"/>
      <c r="E293" s="672"/>
      <c r="F293" s="255"/>
      <c r="G293" s="261"/>
      <c r="H293" s="264"/>
      <c r="I293" s="483"/>
      <c r="J293" s="718"/>
      <c r="L293" s="713"/>
      <c r="M293" s="713"/>
      <c r="N293" s="713"/>
    </row>
    <row r="294">
      <c r="C294" s="483"/>
      <c r="D294" s="355"/>
      <c r="E294" s="672"/>
      <c r="F294" s="255"/>
      <c r="G294" s="261"/>
      <c r="H294" s="264"/>
      <c r="I294" s="483"/>
      <c r="J294" s="718"/>
      <c r="L294" s="713"/>
      <c r="M294" s="713"/>
      <c r="N294" s="713"/>
    </row>
    <row r="295">
      <c r="C295" s="483"/>
      <c r="D295" s="355"/>
      <c r="E295" s="672"/>
      <c r="F295" s="255"/>
      <c r="G295" s="261"/>
      <c r="H295" s="264"/>
      <c r="I295" s="483"/>
      <c r="J295" s="718"/>
      <c r="L295" s="713"/>
      <c r="M295" s="713"/>
      <c r="N295" s="713"/>
    </row>
    <row r="296">
      <c r="C296" s="483"/>
      <c r="D296" s="355"/>
      <c r="E296" s="672"/>
      <c r="F296" s="255"/>
      <c r="G296" s="261"/>
      <c r="H296" s="264"/>
      <c r="I296" s="483"/>
      <c r="J296" s="718"/>
      <c r="L296" s="713"/>
      <c r="M296" s="713"/>
      <c r="N296" s="713"/>
    </row>
    <row r="297">
      <c r="C297" s="483"/>
      <c r="D297" s="355"/>
      <c r="E297" s="672"/>
      <c r="F297" s="255"/>
      <c r="G297" s="261"/>
      <c r="H297" s="264"/>
      <c r="I297" s="483"/>
      <c r="J297" s="718"/>
      <c r="L297" s="713"/>
      <c r="M297" s="713"/>
      <c r="N297" s="713"/>
    </row>
    <row r="298">
      <c r="C298" s="483"/>
      <c r="D298" s="355"/>
      <c r="E298" s="672"/>
      <c r="F298" s="255"/>
      <c r="G298" s="261"/>
      <c r="H298" s="264"/>
      <c r="I298" s="483"/>
      <c r="J298" s="718"/>
      <c r="L298" s="713"/>
      <c r="M298" s="713"/>
      <c r="N298" s="713"/>
    </row>
    <row r="299">
      <c r="C299" s="483"/>
      <c r="D299" s="355"/>
      <c r="E299" s="672"/>
      <c r="F299" s="255"/>
      <c r="G299" s="261"/>
      <c r="H299" s="264"/>
      <c r="I299" s="483"/>
      <c r="J299" s="718"/>
      <c r="L299" s="713"/>
      <c r="M299" s="713"/>
      <c r="N299" s="713"/>
    </row>
    <row r="300">
      <c r="C300" s="483"/>
      <c r="D300" s="355"/>
      <c r="E300" s="672"/>
      <c r="F300" s="255"/>
      <c r="G300" s="261"/>
      <c r="H300" s="264"/>
      <c r="I300" s="483"/>
      <c r="J300" s="718"/>
      <c r="L300" s="713"/>
      <c r="M300" s="713"/>
      <c r="N300" s="713"/>
    </row>
    <row r="301">
      <c r="C301" s="483"/>
      <c r="D301" s="355"/>
      <c r="E301" s="672"/>
      <c r="F301" s="255"/>
      <c r="G301" s="261"/>
      <c r="H301" s="264"/>
      <c r="I301" s="483"/>
      <c r="J301" s="718"/>
      <c r="L301" s="713"/>
      <c r="M301" s="713"/>
      <c r="N301" s="713"/>
    </row>
    <row r="302">
      <c r="C302" s="483"/>
      <c r="D302" s="355"/>
      <c r="E302" s="672"/>
      <c r="F302" s="255"/>
      <c r="G302" s="261"/>
      <c r="H302" s="264"/>
      <c r="I302" s="483"/>
      <c r="J302" s="718"/>
      <c r="L302" s="713"/>
      <c r="M302" s="713"/>
      <c r="N302" s="713"/>
    </row>
    <row r="303">
      <c r="C303" s="483"/>
      <c r="D303" s="355"/>
      <c r="E303" s="672"/>
      <c r="F303" s="255"/>
      <c r="G303" s="261"/>
      <c r="H303" s="264"/>
      <c r="I303" s="483"/>
      <c r="J303" s="718"/>
      <c r="L303" s="713"/>
      <c r="M303" s="713"/>
      <c r="N303" s="713"/>
    </row>
    <row r="304">
      <c r="C304" s="483"/>
      <c r="D304" s="355"/>
      <c r="E304" s="672"/>
      <c r="F304" s="255"/>
      <c r="G304" s="261"/>
      <c r="H304" s="264"/>
      <c r="I304" s="483"/>
      <c r="J304" s="718"/>
      <c r="L304" s="713"/>
      <c r="M304" s="713"/>
      <c r="N304" s="713"/>
    </row>
    <row r="305">
      <c r="C305" s="483"/>
      <c r="D305" s="355"/>
      <c r="E305" s="672"/>
      <c r="F305" s="255"/>
      <c r="G305" s="261"/>
      <c r="H305" s="264"/>
      <c r="I305" s="483"/>
      <c r="J305" s="718"/>
      <c r="L305" s="713"/>
      <c r="M305" s="713"/>
      <c r="N305" s="713"/>
    </row>
    <row r="306">
      <c r="C306" s="483"/>
      <c r="D306" s="355"/>
      <c r="E306" s="672"/>
      <c r="F306" s="255"/>
      <c r="G306" s="261"/>
      <c r="H306" s="264"/>
      <c r="I306" s="483"/>
      <c r="J306" s="718"/>
      <c r="L306" s="713"/>
      <c r="M306" s="713"/>
      <c r="N306" s="713"/>
    </row>
    <row r="307">
      <c r="C307" s="483"/>
      <c r="D307" s="355"/>
      <c r="E307" s="672"/>
      <c r="F307" s="255"/>
      <c r="G307" s="261"/>
      <c r="H307" s="264"/>
      <c r="I307" s="483"/>
      <c r="J307" s="718"/>
      <c r="L307" s="713"/>
      <c r="M307" s="713"/>
      <c r="N307" s="713"/>
    </row>
    <row r="308">
      <c r="C308" s="483"/>
      <c r="D308" s="355"/>
      <c r="E308" s="672"/>
      <c r="F308" s="255"/>
      <c r="G308" s="261"/>
      <c r="H308" s="264"/>
      <c r="I308" s="483"/>
      <c r="J308" s="718"/>
      <c r="L308" s="713"/>
      <c r="M308" s="713"/>
      <c r="N308" s="713"/>
    </row>
    <row r="309">
      <c r="C309" s="483"/>
      <c r="D309" s="355"/>
      <c r="E309" s="672"/>
      <c r="F309" s="255"/>
      <c r="G309" s="261"/>
      <c r="H309" s="264"/>
      <c r="I309" s="483"/>
      <c r="J309" s="718"/>
      <c r="L309" s="713"/>
      <c r="M309" s="713"/>
      <c r="N309" s="713"/>
    </row>
    <row r="310">
      <c r="C310" s="483"/>
      <c r="D310" s="355"/>
      <c r="E310" s="672"/>
      <c r="F310" s="255"/>
      <c r="G310" s="261"/>
      <c r="H310" s="264"/>
      <c r="I310" s="483"/>
      <c r="J310" s="718"/>
      <c r="L310" s="713"/>
      <c r="M310" s="713"/>
      <c r="N310" s="713"/>
    </row>
    <row r="311">
      <c r="C311" s="483"/>
      <c r="D311" s="355"/>
      <c r="E311" s="672"/>
      <c r="F311" s="255"/>
      <c r="G311" s="261"/>
      <c r="H311" s="264"/>
      <c r="I311" s="483"/>
      <c r="J311" s="718"/>
      <c r="L311" s="713"/>
      <c r="M311" s="713"/>
      <c r="N311" s="713"/>
    </row>
    <row r="312">
      <c r="C312" s="483"/>
      <c r="D312" s="355"/>
      <c r="E312" s="672"/>
      <c r="F312" s="255"/>
      <c r="G312" s="261"/>
      <c r="H312" s="264"/>
      <c r="I312" s="483"/>
      <c r="J312" s="718"/>
      <c r="L312" s="713"/>
      <c r="M312" s="713"/>
      <c r="N312" s="713"/>
    </row>
    <row r="313">
      <c r="C313" s="483"/>
      <c r="D313" s="355"/>
      <c r="E313" s="672"/>
      <c r="F313" s="255"/>
      <c r="G313" s="261"/>
      <c r="H313" s="264"/>
      <c r="I313" s="483"/>
      <c r="J313" s="718"/>
      <c r="L313" s="713"/>
      <c r="M313" s="713"/>
      <c r="N313" s="713"/>
    </row>
    <row r="314">
      <c r="C314" s="483"/>
      <c r="D314" s="355"/>
      <c r="E314" s="672"/>
      <c r="F314" s="255"/>
      <c r="G314" s="261"/>
      <c r="H314" s="264"/>
      <c r="I314" s="483"/>
      <c r="J314" s="718"/>
      <c r="L314" s="713"/>
      <c r="M314" s="713"/>
      <c r="N314" s="713"/>
    </row>
    <row r="315">
      <c r="C315" s="483"/>
      <c r="D315" s="355"/>
      <c r="E315" s="672"/>
      <c r="F315" s="255"/>
      <c r="G315" s="261"/>
      <c r="H315" s="264"/>
      <c r="I315" s="483"/>
      <c r="J315" s="718"/>
      <c r="L315" s="713"/>
      <c r="M315" s="713"/>
      <c r="N315" s="713"/>
    </row>
    <row r="316">
      <c r="C316" s="483"/>
      <c r="D316" s="355"/>
      <c r="E316" s="672"/>
      <c r="F316" s="255"/>
      <c r="G316" s="261"/>
      <c r="H316" s="264"/>
      <c r="I316" s="483"/>
      <c r="J316" s="718"/>
      <c r="L316" s="713"/>
      <c r="M316" s="713"/>
      <c r="N316" s="713"/>
    </row>
    <row r="317">
      <c r="C317" s="483"/>
      <c r="D317" s="355"/>
      <c r="E317" s="672"/>
      <c r="F317" s="255"/>
      <c r="G317" s="261"/>
      <c r="H317" s="264"/>
      <c r="I317" s="483"/>
      <c r="J317" s="718"/>
      <c r="L317" s="713"/>
      <c r="M317" s="713"/>
      <c r="N317" s="713"/>
    </row>
    <row r="318">
      <c r="C318" s="483"/>
      <c r="D318" s="355"/>
      <c r="E318" s="672"/>
      <c r="F318" s="255"/>
      <c r="G318" s="261"/>
      <c r="H318" s="264"/>
      <c r="I318" s="483"/>
      <c r="J318" s="718"/>
      <c r="L318" s="713"/>
      <c r="M318" s="713"/>
      <c r="N318" s="713"/>
    </row>
    <row r="319">
      <c r="C319" s="483"/>
      <c r="D319" s="355"/>
      <c r="E319" s="672"/>
      <c r="F319" s="255"/>
      <c r="G319" s="261"/>
      <c r="H319" s="264"/>
      <c r="I319" s="483"/>
      <c r="J319" s="718"/>
      <c r="L319" s="713"/>
      <c r="M319" s="713"/>
      <c r="N319" s="713"/>
    </row>
    <row r="320">
      <c r="C320" s="483"/>
      <c r="D320" s="355"/>
      <c r="E320" s="672"/>
      <c r="F320" s="255"/>
      <c r="G320" s="261"/>
      <c r="H320" s="264"/>
      <c r="I320" s="483"/>
      <c r="J320" s="718"/>
      <c r="L320" s="713"/>
      <c r="M320" s="713"/>
      <c r="N320" s="713"/>
    </row>
    <row r="321">
      <c r="C321" s="483"/>
      <c r="D321" s="355"/>
      <c r="E321" s="672"/>
      <c r="F321" s="255"/>
      <c r="G321" s="261"/>
      <c r="H321" s="264"/>
      <c r="I321" s="483"/>
      <c r="J321" s="718"/>
      <c r="L321" s="713"/>
      <c r="M321" s="713"/>
      <c r="N321" s="713"/>
    </row>
    <row r="322">
      <c r="C322" s="483"/>
      <c r="D322" s="355"/>
      <c r="E322" s="672"/>
      <c r="F322" s="255"/>
      <c r="G322" s="261"/>
      <c r="H322" s="264"/>
      <c r="I322" s="483"/>
      <c r="J322" s="718"/>
      <c r="L322" s="713"/>
      <c r="M322" s="713"/>
      <c r="N322" s="713"/>
    </row>
    <row r="323">
      <c r="C323" s="483"/>
      <c r="D323" s="355"/>
      <c r="E323" s="672"/>
      <c r="F323" s="255"/>
      <c r="G323" s="261"/>
      <c r="H323" s="264"/>
      <c r="I323" s="483"/>
      <c r="J323" s="718"/>
      <c r="L323" s="713"/>
      <c r="M323" s="713"/>
      <c r="N323" s="713"/>
    </row>
    <row r="324">
      <c r="C324" s="483"/>
      <c r="D324" s="355"/>
      <c r="E324" s="672"/>
      <c r="F324" s="255"/>
      <c r="G324" s="261"/>
      <c r="H324" s="264"/>
      <c r="I324" s="483"/>
      <c r="J324" s="718"/>
      <c r="L324" s="713"/>
      <c r="M324" s="713"/>
      <c r="N324" s="713"/>
    </row>
    <row r="325">
      <c r="C325" s="483"/>
      <c r="D325" s="355"/>
      <c r="E325" s="672"/>
      <c r="F325" s="255"/>
      <c r="G325" s="261"/>
      <c r="H325" s="264"/>
      <c r="I325" s="483"/>
      <c r="J325" s="718"/>
      <c r="L325" s="713"/>
      <c r="M325" s="713"/>
      <c r="N325" s="713"/>
    </row>
    <row r="326">
      <c r="C326" s="483"/>
      <c r="D326" s="355"/>
      <c r="E326" s="672"/>
      <c r="F326" s="255"/>
      <c r="G326" s="261"/>
      <c r="H326" s="264"/>
      <c r="I326" s="483"/>
      <c r="J326" s="718"/>
      <c r="L326" s="713"/>
      <c r="M326" s="713"/>
      <c r="N326" s="713"/>
    </row>
    <row r="327">
      <c r="C327" s="483"/>
      <c r="D327" s="355"/>
      <c r="E327" s="672"/>
      <c r="F327" s="255"/>
      <c r="G327" s="261"/>
      <c r="H327" s="264"/>
      <c r="I327" s="483"/>
      <c r="J327" s="718"/>
      <c r="L327" s="713"/>
      <c r="M327" s="713"/>
      <c r="N327" s="713"/>
    </row>
    <row r="328">
      <c r="C328" s="483"/>
      <c r="D328" s="355"/>
      <c r="E328" s="672"/>
      <c r="F328" s="255"/>
      <c r="G328" s="261"/>
      <c r="H328" s="264"/>
      <c r="I328" s="483"/>
      <c r="J328" s="718"/>
      <c r="L328" s="713"/>
      <c r="M328" s="713"/>
      <c r="N328" s="713"/>
    </row>
    <row r="329">
      <c r="C329" s="483"/>
      <c r="D329" s="355"/>
      <c r="E329" s="672"/>
      <c r="F329" s="255"/>
      <c r="G329" s="261"/>
      <c r="H329" s="264"/>
      <c r="I329" s="483"/>
      <c r="J329" s="718"/>
      <c r="L329" s="713"/>
      <c r="M329" s="713"/>
      <c r="N329" s="713"/>
    </row>
    <row r="330">
      <c r="C330" s="483"/>
      <c r="D330" s="355"/>
      <c r="E330" s="672"/>
      <c r="F330" s="255"/>
      <c r="G330" s="261"/>
      <c r="H330" s="264"/>
      <c r="I330" s="483"/>
      <c r="J330" s="718"/>
      <c r="L330" s="713"/>
      <c r="M330" s="713"/>
      <c r="N330" s="713"/>
    </row>
    <row r="331">
      <c r="C331" s="483"/>
      <c r="D331" s="355"/>
      <c r="E331" s="672"/>
      <c r="F331" s="255"/>
      <c r="G331" s="261"/>
      <c r="H331" s="264"/>
      <c r="I331" s="483"/>
      <c r="J331" s="718"/>
      <c r="L331" s="713"/>
      <c r="M331" s="713"/>
      <c r="N331" s="713"/>
    </row>
    <row r="332">
      <c r="C332" s="483"/>
      <c r="D332" s="355"/>
      <c r="E332" s="672"/>
      <c r="F332" s="255"/>
      <c r="G332" s="261"/>
      <c r="H332" s="264"/>
      <c r="I332" s="483"/>
      <c r="J332" s="718"/>
      <c r="L332" s="713"/>
      <c r="M332" s="713"/>
      <c r="N332" s="713"/>
    </row>
    <row r="333">
      <c r="C333" s="483"/>
      <c r="D333" s="355"/>
      <c r="E333" s="672"/>
      <c r="F333" s="255"/>
      <c r="G333" s="261"/>
      <c r="H333" s="264"/>
      <c r="I333" s="483"/>
      <c r="J333" s="718"/>
      <c r="L333" s="713"/>
      <c r="M333" s="713"/>
      <c r="N333" s="713"/>
    </row>
    <row r="334">
      <c r="C334" s="483"/>
      <c r="D334" s="355"/>
      <c r="E334" s="672"/>
      <c r="F334" s="255"/>
      <c r="G334" s="261"/>
      <c r="H334" s="264"/>
      <c r="I334" s="483"/>
      <c r="J334" s="718"/>
      <c r="L334" s="713"/>
      <c r="M334" s="713"/>
      <c r="N334" s="713"/>
    </row>
    <row r="335">
      <c r="C335" s="483"/>
      <c r="D335" s="355"/>
      <c r="E335" s="672"/>
      <c r="F335" s="255"/>
      <c r="G335" s="261"/>
      <c r="H335" s="264"/>
      <c r="I335" s="483"/>
      <c r="J335" s="718"/>
      <c r="L335" s="713"/>
      <c r="M335" s="713"/>
      <c r="N335" s="713"/>
    </row>
    <row r="336">
      <c r="C336" s="483"/>
      <c r="D336" s="355"/>
      <c r="E336" s="672"/>
      <c r="F336" s="255"/>
      <c r="G336" s="261"/>
      <c r="H336" s="264"/>
      <c r="I336" s="483"/>
      <c r="J336" s="718"/>
      <c r="L336" s="713"/>
      <c r="M336" s="713"/>
      <c r="N336" s="713"/>
    </row>
    <row r="337">
      <c r="C337" s="483"/>
      <c r="D337" s="355"/>
      <c r="E337" s="672"/>
      <c r="F337" s="255"/>
      <c r="G337" s="261"/>
      <c r="H337" s="264"/>
      <c r="I337" s="483"/>
      <c r="J337" s="718"/>
      <c r="L337" s="713"/>
      <c r="M337" s="713"/>
      <c r="N337" s="713"/>
    </row>
    <row r="338">
      <c r="C338" s="483"/>
      <c r="D338" s="355"/>
      <c r="E338" s="672"/>
      <c r="F338" s="255"/>
      <c r="G338" s="261"/>
      <c r="H338" s="264"/>
      <c r="I338" s="483"/>
      <c r="J338" s="718"/>
      <c r="L338" s="713"/>
      <c r="M338" s="713"/>
      <c r="N338" s="713"/>
    </row>
    <row r="339">
      <c r="C339" s="483"/>
      <c r="D339" s="355"/>
      <c r="E339" s="672"/>
      <c r="F339" s="255"/>
      <c r="G339" s="261"/>
      <c r="H339" s="264"/>
      <c r="I339" s="483"/>
      <c r="J339" s="718"/>
      <c r="L339" s="713"/>
      <c r="M339" s="713"/>
      <c r="N339" s="713"/>
    </row>
    <row r="340">
      <c r="C340" s="483"/>
      <c r="D340" s="355"/>
      <c r="E340" s="672"/>
      <c r="F340" s="255"/>
      <c r="G340" s="261"/>
      <c r="H340" s="264"/>
      <c r="I340" s="483"/>
      <c r="J340" s="718"/>
      <c r="L340" s="713"/>
      <c r="M340" s="713"/>
      <c r="N340" s="713"/>
    </row>
    <row r="341">
      <c r="C341" s="483"/>
      <c r="D341" s="355"/>
      <c r="E341" s="672"/>
      <c r="F341" s="255"/>
      <c r="G341" s="261"/>
      <c r="H341" s="264"/>
      <c r="I341" s="483"/>
      <c r="J341" s="718"/>
      <c r="L341" s="713"/>
      <c r="M341" s="713"/>
      <c r="N341" s="713"/>
    </row>
    <row r="342">
      <c r="C342" s="483"/>
      <c r="D342" s="355"/>
      <c r="E342" s="672"/>
      <c r="F342" s="255"/>
      <c r="G342" s="261"/>
      <c r="H342" s="264"/>
      <c r="I342" s="483"/>
      <c r="J342" s="718"/>
      <c r="L342" s="713"/>
      <c r="M342" s="713"/>
      <c r="N342" s="713"/>
    </row>
    <row r="343">
      <c r="C343" s="483"/>
      <c r="D343" s="355"/>
      <c r="E343" s="672"/>
      <c r="F343" s="255"/>
      <c r="G343" s="261"/>
      <c r="H343" s="264"/>
      <c r="I343" s="483"/>
      <c r="J343" s="718"/>
      <c r="L343" s="713"/>
      <c r="M343" s="713"/>
      <c r="N343" s="713"/>
    </row>
    <row r="344">
      <c r="C344" s="483"/>
      <c r="D344" s="355"/>
      <c r="E344" s="672"/>
      <c r="F344" s="255"/>
      <c r="G344" s="261"/>
      <c r="H344" s="264"/>
      <c r="I344" s="483"/>
      <c r="J344" s="718"/>
      <c r="L344" s="713"/>
      <c r="M344" s="713"/>
      <c r="N344" s="713"/>
    </row>
    <row r="345">
      <c r="C345" s="483"/>
      <c r="D345" s="355"/>
      <c r="E345" s="672"/>
      <c r="F345" s="255"/>
      <c r="G345" s="261"/>
      <c r="H345" s="264"/>
      <c r="I345" s="483"/>
      <c r="J345" s="718"/>
      <c r="L345" s="713"/>
      <c r="M345" s="713"/>
      <c r="N345" s="713"/>
    </row>
    <row r="346">
      <c r="C346" s="483"/>
      <c r="D346" s="355"/>
      <c r="E346" s="672"/>
      <c r="F346" s="255"/>
      <c r="G346" s="261"/>
      <c r="H346" s="264"/>
      <c r="I346" s="483"/>
      <c r="J346" s="718"/>
      <c r="L346" s="713"/>
      <c r="M346" s="713"/>
      <c r="N346" s="713"/>
    </row>
    <row r="347">
      <c r="C347" s="483"/>
      <c r="D347" s="355"/>
      <c r="E347" s="672"/>
      <c r="F347" s="255"/>
      <c r="G347" s="261"/>
      <c r="H347" s="264"/>
      <c r="I347" s="483"/>
      <c r="J347" s="718"/>
      <c r="L347" s="713"/>
      <c r="M347" s="713"/>
      <c r="N347" s="713"/>
    </row>
    <row r="348">
      <c r="C348" s="483"/>
      <c r="D348" s="355"/>
      <c r="E348" s="672"/>
      <c r="F348" s="255"/>
      <c r="G348" s="261"/>
      <c r="H348" s="264"/>
      <c r="I348" s="483"/>
      <c r="J348" s="718"/>
      <c r="L348" s="713"/>
      <c r="M348" s="713"/>
      <c r="N348" s="713"/>
    </row>
    <row r="349">
      <c r="C349" s="483"/>
      <c r="D349" s="355"/>
      <c r="E349" s="672"/>
      <c r="F349" s="255"/>
      <c r="G349" s="261"/>
      <c r="H349" s="264"/>
      <c r="I349" s="483"/>
      <c r="J349" s="718"/>
      <c r="L349" s="713"/>
      <c r="M349" s="713"/>
      <c r="N349" s="713"/>
    </row>
    <row r="350">
      <c r="C350" s="483"/>
      <c r="D350" s="355"/>
      <c r="E350" s="672"/>
      <c r="F350" s="255"/>
      <c r="G350" s="261"/>
      <c r="H350" s="264"/>
      <c r="I350" s="483"/>
      <c r="J350" s="718"/>
      <c r="L350" s="713"/>
      <c r="M350" s="713"/>
      <c r="N350" s="713"/>
    </row>
    <row r="351">
      <c r="C351" s="483"/>
      <c r="D351" s="355"/>
      <c r="E351" s="672"/>
      <c r="F351" s="255"/>
      <c r="G351" s="261"/>
      <c r="H351" s="264"/>
      <c r="I351" s="483"/>
      <c r="J351" s="718"/>
      <c r="L351" s="713"/>
      <c r="M351" s="713"/>
      <c r="N351" s="713"/>
    </row>
    <row r="352">
      <c r="C352" s="483"/>
      <c r="D352" s="355"/>
      <c r="E352" s="672"/>
      <c r="F352" s="255"/>
      <c r="G352" s="261"/>
      <c r="H352" s="264"/>
      <c r="I352" s="483"/>
      <c r="J352" s="718"/>
      <c r="L352" s="713"/>
      <c r="M352" s="713"/>
      <c r="N352" s="713"/>
    </row>
    <row r="353">
      <c r="C353" s="483"/>
      <c r="D353" s="355"/>
      <c r="E353" s="672"/>
      <c r="F353" s="255"/>
      <c r="G353" s="261"/>
      <c r="H353" s="264"/>
      <c r="I353" s="483"/>
      <c r="J353" s="718"/>
      <c r="L353" s="713"/>
      <c r="M353" s="713"/>
      <c r="N353" s="713"/>
    </row>
    <row r="354">
      <c r="C354" s="483"/>
      <c r="D354" s="355"/>
      <c r="E354" s="672"/>
      <c r="F354" s="255"/>
      <c r="G354" s="261"/>
      <c r="H354" s="264"/>
      <c r="I354" s="483"/>
      <c r="J354" s="718"/>
      <c r="L354" s="713"/>
      <c r="M354" s="713"/>
      <c r="N354" s="713"/>
    </row>
    <row r="355">
      <c r="C355" s="483"/>
      <c r="D355" s="355"/>
      <c r="E355" s="672"/>
      <c r="F355" s="255"/>
      <c r="G355" s="261"/>
      <c r="H355" s="264"/>
      <c r="I355" s="483"/>
      <c r="J355" s="718"/>
      <c r="L355" s="713"/>
      <c r="M355" s="713"/>
      <c r="N355" s="713"/>
    </row>
    <row r="356">
      <c r="C356" s="483"/>
      <c r="D356" s="355"/>
      <c r="E356" s="672"/>
      <c r="F356" s="255"/>
      <c r="G356" s="261"/>
      <c r="H356" s="264"/>
      <c r="I356" s="483"/>
      <c r="J356" s="718"/>
      <c r="L356" s="713"/>
      <c r="M356" s="713"/>
      <c r="N356" s="713"/>
    </row>
    <row r="357">
      <c r="C357" s="483"/>
      <c r="D357" s="355"/>
      <c r="E357" s="672"/>
      <c r="F357" s="255"/>
      <c r="G357" s="261"/>
      <c r="H357" s="264"/>
      <c r="I357" s="483"/>
      <c r="J357" s="718"/>
      <c r="L357" s="713"/>
      <c r="M357" s="713"/>
      <c r="N357" s="713"/>
    </row>
    <row r="358">
      <c r="C358" s="483"/>
      <c r="D358" s="355"/>
      <c r="E358" s="672"/>
      <c r="F358" s="255"/>
      <c r="G358" s="261"/>
      <c r="H358" s="264"/>
      <c r="I358" s="483"/>
      <c r="J358" s="718"/>
      <c r="L358" s="713"/>
      <c r="M358" s="713"/>
      <c r="N358" s="713"/>
    </row>
    <row r="359">
      <c r="C359" s="483"/>
      <c r="D359" s="355"/>
      <c r="E359" s="672"/>
      <c r="F359" s="255"/>
      <c r="G359" s="261"/>
      <c r="H359" s="264"/>
      <c r="I359" s="483"/>
      <c r="J359" s="718"/>
      <c r="L359" s="713"/>
      <c r="M359" s="713"/>
      <c r="N359" s="713"/>
    </row>
    <row r="360">
      <c r="C360" s="483"/>
      <c r="D360" s="355"/>
      <c r="E360" s="672"/>
      <c r="F360" s="255"/>
      <c r="G360" s="261"/>
      <c r="H360" s="264"/>
      <c r="I360" s="483"/>
      <c r="J360" s="718"/>
      <c r="L360" s="713"/>
      <c r="M360" s="713"/>
      <c r="N360" s="713"/>
    </row>
    <row r="361">
      <c r="C361" s="483"/>
      <c r="D361" s="355"/>
      <c r="E361" s="672"/>
      <c r="F361" s="255"/>
      <c r="G361" s="261"/>
      <c r="H361" s="264"/>
      <c r="I361" s="483"/>
      <c r="J361" s="718"/>
      <c r="L361" s="713"/>
      <c r="M361" s="713"/>
      <c r="N361" s="713"/>
    </row>
    <row r="362">
      <c r="C362" s="483"/>
      <c r="D362" s="355"/>
      <c r="E362" s="672"/>
      <c r="F362" s="255"/>
      <c r="G362" s="261"/>
      <c r="H362" s="264"/>
      <c r="I362" s="483"/>
      <c r="J362" s="718"/>
      <c r="L362" s="713"/>
      <c r="M362" s="713"/>
      <c r="N362" s="713"/>
    </row>
    <row r="363">
      <c r="C363" s="483"/>
      <c r="D363" s="355"/>
      <c r="E363" s="672"/>
      <c r="F363" s="255"/>
      <c r="G363" s="261"/>
      <c r="H363" s="264"/>
      <c r="I363" s="483"/>
      <c r="J363" s="718"/>
      <c r="L363" s="713"/>
      <c r="M363" s="713"/>
      <c r="N363" s="713"/>
    </row>
    <row r="364">
      <c r="C364" s="483"/>
      <c r="D364" s="355"/>
      <c r="E364" s="672"/>
      <c r="F364" s="255"/>
      <c r="G364" s="261"/>
      <c r="H364" s="264"/>
      <c r="I364" s="483"/>
      <c r="J364" s="718"/>
      <c r="L364" s="713"/>
      <c r="M364" s="713"/>
      <c r="N364" s="713"/>
    </row>
    <row r="365">
      <c r="C365" s="483"/>
      <c r="D365" s="355"/>
      <c r="E365" s="672"/>
      <c r="F365" s="255"/>
      <c r="G365" s="261"/>
      <c r="H365" s="264"/>
      <c r="I365" s="483"/>
      <c r="J365" s="718"/>
      <c r="L365" s="713"/>
      <c r="M365" s="713"/>
      <c r="N365" s="713"/>
    </row>
    <row r="366">
      <c r="C366" s="483"/>
      <c r="D366" s="355"/>
      <c r="E366" s="672"/>
      <c r="F366" s="255"/>
      <c r="G366" s="261"/>
      <c r="H366" s="264"/>
      <c r="I366" s="483"/>
      <c r="J366" s="718"/>
      <c r="L366" s="713"/>
      <c r="M366" s="713"/>
      <c r="N366" s="713"/>
    </row>
    <row r="367">
      <c r="C367" s="483"/>
      <c r="D367" s="355"/>
      <c r="E367" s="672"/>
      <c r="F367" s="255"/>
      <c r="G367" s="261"/>
      <c r="H367" s="264"/>
      <c r="I367" s="483"/>
      <c r="J367" s="718"/>
      <c r="L367" s="713"/>
      <c r="M367" s="713"/>
      <c r="N367" s="713"/>
    </row>
    <row r="368">
      <c r="C368" s="483"/>
      <c r="D368" s="355"/>
      <c r="E368" s="672"/>
      <c r="F368" s="255"/>
      <c r="G368" s="261"/>
      <c r="H368" s="264"/>
      <c r="I368" s="483"/>
      <c r="J368" s="718"/>
      <c r="L368" s="713"/>
      <c r="M368" s="713"/>
      <c r="N368" s="713"/>
    </row>
    <row r="369">
      <c r="C369" s="483"/>
      <c r="D369" s="355"/>
      <c r="E369" s="672"/>
      <c r="F369" s="255"/>
      <c r="G369" s="261"/>
      <c r="H369" s="264"/>
      <c r="I369" s="483"/>
      <c r="J369" s="718"/>
      <c r="L369" s="713"/>
      <c r="M369" s="713"/>
      <c r="N369" s="713"/>
    </row>
    <row r="370">
      <c r="C370" s="483"/>
      <c r="D370" s="355"/>
      <c r="E370" s="672"/>
      <c r="F370" s="255"/>
      <c r="G370" s="261"/>
      <c r="H370" s="264"/>
      <c r="I370" s="483"/>
      <c r="J370" s="718"/>
      <c r="L370" s="713"/>
      <c r="M370" s="713"/>
      <c r="N370" s="713"/>
    </row>
    <row r="371">
      <c r="C371" s="483"/>
      <c r="D371" s="355"/>
      <c r="E371" s="672"/>
      <c r="F371" s="255"/>
      <c r="G371" s="261"/>
      <c r="H371" s="264"/>
      <c r="I371" s="483"/>
      <c r="J371" s="718"/>
      <c r="L371" s="713"/>
      <c r="M371" s="713"/>
      <c r="N371" s="713"/>
    </row>
    <row r="372">
      <c r="C372" s="483"/>
      <c r="D372" s="355"/>
      <c r="E372" s="672"/>
      <c r="F372" s="255"/>
      <c r="G372" s="261"/>
      <c r="H372" s="264"/>
      <c r="I372" s="483"/>
      <c r="J372" s="718"/>
      <c r="L372" s="713"/>
      <c r="M372" s="713"/>
      <c r="N372" s="713"/>
    </row>
    <row r="373">
      <c r="C373" s="483"/>
      <c r="D373" s="355"/>
      <c r="E373" s="672"/>
      <c r="F373" s="255"/>
      <c r="G373" s="261"/>
      <c r="H373" s="264"/>
      <c r="I373" s="483"/>
      <c r="J373" s="718"/>
      <c r="L373" s="713"/>
      <c r="M373" s="713"/>
      <c r="N373" s="713"/>
    </row>
    <row r="374">
      <c r="C374" s="483"/>
      <c r="D374" s="355"/>
      <c r="E374" s="672"/>
      <c r="F374" s="255"/>
      <c r="G374" s="261"/>
      <c r="H374" s="264"/>
      <c r="I374" s="483"/>
      <c r="J374" s="718"/>
      <c r="L374" s="713"/>
      <c r="M374" s="713"/>
      <c r="N374" s="713"/>
    </row>
    <row r="375">
      <c r="C375" s="483"/>
      <c r="D375" s="355"/>
      <c r="E375" s="672"/>
      <c r="F375" s="255"/>
      <c r="G375" s="261"/>
      <c r="H375" s="264"/>
      <c r="I375" s="483"/>
      <c r="J375" s="718"/>
      <c r="L375" s="713"/>
      <c r="M375" s="713"/>
      <c r="N375" s="713"/>
    </row>
    <row r="376">
      <c r="C376" s="483"/>
      <c r="D376" s="355"/>
      <c r="E376" s="672"/>
      <c r="F376" s="255"/>
      <c r="G376" s="261"/>
      <c r="H376" s="264"/>
      <c r="I376" s="483"/>
      <c r="J376" s="718"/>
      <c r="L376" s="713"/>
      <c r="M376" s="713"/>
      <c r="N376" s="713"/>
    </row>
    <row r="377">
      <c r="C377" s="483"/>
      <c r="D377" s="355"/>
      <c r="E377" s="672"/>
      <c r="F377" s="255"/>
      <c r="G377" s="261"/>
      <c r="H377" s="264"/>
      <c r="I377" s="483"/>
      <c r="J377" s="718"/>
      <c r="L377" s="713"/>
      <c r="M377" s="713"/>
      <c r="N377" s="713"/>
    </row>
    <row r="378">
      <c r="C378" s="483"/>
      <c r="D378" s="355"/>
      <c r="E378" s="672"/>
      <c r="F378" s="255"/>
      <c r="G378" s="261"/>
      <c r="H378" s="264"/>
      <c r="I378" s="483"/>
      <c r="J378" s="718"/>
      <c r="L378" s="713"/>
      <c r="M378" s="713"/>
      <c r="N378" s="713"/>
    </row>
    <row r="379">
      <c r="C379" s="483"/>
      <c r="D379" s="355"/>
      <c r="E379" s="672"/>
      <c r="F379" s="255"/>
      <c r="G379" s="261"/>
      <c r="H379" s="264"/>
      <c r="I379" s="483"/>
      <c r="J379" s="718"/>
      <c r="L379" s="713"/>
      <c r="M379" s="713"/>
      <c r="N379" s="713"/>
    </row>
    <row r="380">
      <c r="C380" s="483"/>
      <c r="D380" s="355"/>
      <c r="E380" s="672"/>
      <c r="F380" s="255"/>
      <c r="G380" s="261"/>
      <c r="H380" s="264"/>
      <c r="I380" s="483"/>
      <c r="J380" s="718"/>
      <c r="L380" s="713"/>
      <c r="M380" s="713"/>
      <c r="N380" s="713"/>
    </row>
    <row r="381">
      <c r="C381" s="483"/>
      <c r="D381" s="355"/>
      <c r="E381" s="672"/>
      <c r="F381" s="255"/>
      <c r="G381" s="261"/>
      <c r="H381" s="264"/>
      <c r="I381" s="483"/>
      <c r="J381" s="718"/>
      <c r="L381" s="713"/>
      <c r="M381" s="713"/>
      <c r="N381" s="713"/>
    </row>
    <row r="382">
      <c r="C382" s="483"/>
      <c r="D382" s="355"/>
      <c r="E382" s="672"/>
      <c r="F382" s="255"/>
      <c r="G382" s="261"/>
      <c r="H382" s="264"/>
      <c r="I382" s="483"/>
      <c r="J382" s="718"/>
      <c r="L382" s="713"/>
      <c r="M382" s="713"/>
      <c r="N382" s="713"/>
    </row>
    <row r="383">
      <c r="C383" s="483"/>
      <c r="D383" s="355"/>
      <c r="E383" s="672"/>
      <c r="F383" s="255"/>
      <c r="G383" s="261"/>
      <c r="H383" s="264"/>
      <c r="I383" s="483"/>
      <c r="J383" s="718"/>
      <c r="L383" s="713"/>
      <c r="M383" s="713"/>
      <c r="N383" s="713"/>
    </row>
    <row r="384">
      <c r="C384" s="483"/>
      <c r="D384" s="355"/>
      <c r="E384" s="672"/>
      <c r="F384" s="255"/>
      <c r="G384" s="261"/>
      <c r="H384" s="264"/>
      <c r="I384" s="483"/>
      <c r="J384" s="718"/>
      <c r="L384" s="713"/>
      <c r="M384" s="713"/>
      <c r="N384" s="713"/>
    </row>
    <row r="385">
      <c r="C385" s="483"/>
      <c r="D385" s="355"/>
      <c r="E385" s="672"/>
      <c r="F385" s="255"/>
      <c r="G385" s="261"/>
      <c r="H385" s="264"/>
      <c r="I385" s="483"/>
      <c r="J385" s="718"/>
      <c r="L385" s="713"/>
      <c r="M385" s="713"/>
      <c r="N385" s="713"/>
    </row>
    <row r="386">
      <c r="C386" s="483"/>
      <c r="D386" s="355"/>
      <c r="E386" s="672"/>
      <c r="F386" s="255"/>
      <c r="G386" s="261"/>
      <c r="H386" s="264"/>
      <c r="I386" s="483"/>
      <c r="J386" s="718"/>
      <c r="L386" s="713"/>
      <c r="M386" s="713"/>
      <c r="N386" s="713"/>
    </row>
    <row r="387">
      <c r="C387" s="483"/>
      <c r="D387" s="355"/>
      <c r="E387" s="672"/>
      <c r="F387" s="255"/>
      <c r="G387" s="261"/>
      <c r="H387" s="264"/>
      <c r="I387" s="483"/>
      <c r="J387" s="718"/>
      <c r="L387" s="713"/>
      <c r="M387" s="713"/>
      <c r="N387" s="713"/>
    </row>
    <row r="388">
      <c r="C388" s="483"/>
      <c r="D388" s="355"/>
      <c r="E388" s="672"/>
      <c r="F388" s="255"/>
      <c r="G388" s="261"/>
      <c r="H388" s="264"/>
      <c r="I388" s="483"/>
      <c r="J388" s="718"/>
      <c r="L388" s="713"/>
      <c r="M388" s="713"/>
      <c r="N388" s="713"/>
    </row>
    <row r="389">
      <c r="C389" s="483"/>
      <c r="D389" s="355"/>
      <c r="E389" s="672"/>
      <c r="F389" s="255"/>
      <c r="G389" s="261"/>
      <c r="H389" s="264"/>
      <c r="I389" s="483"/>
      <c r="J389" s="718"/>
      <c r="L389" s="713"/>
      <c r="M389" s="713"/>
      <c r="N389" s="713"/>
    </row>
    <row r="390">
      <c r="C390" s="483"/>
      <c r="D390" s="355"/>
      <c r="E390" s="672"/>
      <c r="F390" s="255"/>
      <c r="G390" s="261"/>
      <c r="H390" s="264"/>
      <c r="I390" s="483"/>
      <c r="J390" s="718"/>
      <c r="L390" s="713"/>
      <c r="M390" s="713"/>
      <c r="N390" s="713"/>
    </row>
    <row r="391">
      <c r="C391" s="483"/>
      <c r="D391" s="355"/>
      <c r="E391" s="672"/>
      <c r="F391" s="255"/>
      <c r="G391" s="261"/>
      <c r="H391" s="264"/>
      <c r="I391" s="483"/>
      <c r="J391" s="718"/>
      <c r="L391" s="713"/>
      <c r="M391" s="713"/>
      <c r="N391" s="713"/>
    </row>
    <row r="392">
      <c r="C392" s="483"/>
      <c r="D392" s="355"/>
      <c r="E392" s="672"/>
      <c r="F392" s="255"/>
      <c r="G392" s="261"/>
      <c r="H392" s="264"/>
      <c r="I392" s="483"/>
      <c r="J392" s="718"/>
      <c r="L392" s="713"/>
      <c r="M392" s="713"/>
      <c r="N392" s="713"/>
    </row>
    <row r="393">
      <c r="C393" s="483"/>
      <c r="D393" s="355"/>
      <c r="E393" s="672"/>
      <c r="F393" s="255"/>
      <c r="G393" s="261"/>
      <c r="H393" s="264"/>
      <c r="I393" s="483"/>
      <c r="J393" s="718"/>
      <c r="L393" s="713"/>
      <c r="M393" s="713"/>
      <c r="N393" s="713"/>
    </row>
    <row r="394">
      <c r="C394" s="483"/>
      <c r="D394" s="355"/>
      <c r="E394" s="672"/>
      <c r="F394" s="255"/>
      <c r="G394" s="261"/>
      <c r="H394" s="264"/>
      <c r="I394" s="483"/>
      <c r="J394" s="718"/>
      <c r="L394" s="713"/>
      <c r="M394" s="713"/>
      <c r="N394" s="713"/>
    </row>
    <row r="395">
      <c r="C395" s="483"/>
      <c r="D395" s="355"/>
      <c r="E395" s="672"/>
      <c r="F395" s="255"/>
      <c r="G395" s="261"/>
      <c r="H395" s="264"/>
      <c r="I395" s="483"/>
      <c r="J395" s="718"/>
      <c r="L395" s="713"/>
      <c r="M395" s="713"/>
      <c r="N395" s="713"/>
    </row>
    <row r="396">
      <c r="C396" s="483"/>
      <c r="D396" s="355"/>
      <c r="E396" s="672"/>
      <c r="F396" s="255"/>
      <c r="G396" s="261"/>
      <c r="H396" s="264"/>
      <c r="I396" s="483"/>
      <c r="J396" s="718"/>
      <c r="L396" s="713"/>
      <c r="M396" s="713"/>
      <c r="N396" s="713"/>
    </row>
    <row r="397">
      <c r="C397" s="483"/>
      <c r="D397" s="355"/>
      <c r="E397" s="672"/>
      <c r="F397" s="255"/>
      <c r="G397" s="261"/>
      <c r="H397" s="264"/>
      <c r="I397" s="483"/>
      <c r="J397" s="718"/>
      <c r="L397" s="713"/>
      <c r="M397" s="713"/>
      <c r="N397" s="713"/>
    </row>
    <row r="398">
      <c r="C398" s="483"/>
      <c r="D398" s="355"/>
      <c r="E398" s="672"/>
      <c r="F398" s="255"/>
      <c r="G398" s="261"/>
      <c r="H398" s="264"/>
      <c r="I398" s="483"/>
      <c r="J398" s="718"/>
      <c r="L398" s="713"/>
      <c r="M398" s="713"/>
      <c r="N398" s="713"/>
    </row>
    <row r="399">
      <c r="C399" s="483"/>
      <c r="D399" s="355"/>
      <c r="E399" s="672"/>
      <c r="F399" s="255"/>
      <c r="G399" s="261"/>
      <c r="H399" s="264"/>
      <c r="I399" s="483"/>
      <c r="J399" s="718"/>
      <c r="L399" s="713"/>
      <c r="M399" s="713"/>
      <c r="N399" s="713"/>
    </row>
    <row r="400">
      <c r="C400" s="483"/>
      <c r="D400" s="355"/>
      <c r="E400" s="672"/>
      <c r="F400" s="255"/>
      <c r="G400" s="261"/>
      <c r="H400" s="264"/>
      <c r="I400" s="483"/>
      <c r="J400" s="718"/>
      <c r="L400" s="713"/>
      <c r="M400" s="713"/>
      <c r="N400" s="713"/>
    </row>
    <row r="401">
      <c r="C401" s="483"/>
      <c r="D401" s="355"/>
      <c r="E401" s="672"/>
      <c r="F401" s="255"/>
      <c r="G401" s="261"/>
      <c r="H401" s="264"/>
      <c r="I401" s="483"/>
      <c r="J401" s="718"/>
      <c r="L401" s="713"/>
      <c r="M401" s="713"/>
      <c r="N401" s="713"/>
    </row>
    <row r="402">
      <c r="C402" s="483"/>
      <c r="D402" s="355"/>
      <c r="E402" s="672"/>
      <c r="F402" s="255"/>
      <c r="G402" s="261"/>
      <c r="H402" s="264"/>
      <c r="I402" s="483"/>
      <c r="J402" s="718"/>
      <c r="L402" s="713"/>
      <c r="M402" s="713"/>
      <c r="N402" s="713"/>
    </row>
    <row r="403">
      <c r="C403" s="483"/>
      <c r="D403" s="355"/>
      <c r="E403" s="672"/>
      <c r="F403" s="255"/>
      <c r="G403" s="261"/>
      <c r="H403" s="264"/>
      <c r="I403" s="483"/>
      <c r="J403" s="718"/>
      <c r="L403" s="713"/>
      <c r="M403" s="713"/>
      <c r="N403" s="713"/>
    </row>
    <row r="404">
      <c r="C404" s="483"/>
      <c r="D404" s="355"/>
      <c r="E404" s="672"/>
      <c r="F404" s="255"/>
      <c r="G404" s="261"/>
      <c r="H404" s="264"/>
      <c r="I404" s="483"/>
      <c r="J404" s="718"/>
      <c r="L404" s="713"/>
      <c r="M404" s="713"/>
      <c r="N404" s="713"/>
    </row>
    <row r="405">
      <c r="C405" s="483"/>
      <c r="D405" s="355"/>
      <c r="E405" s="672"/>
      <c r="F405" s="255"/>
      <c r="G405" s="261"/>
      <c r="H405" s="264"/>
      <c r="I405" s="483"/>
      <c r="J405" s="718"/>
      <c r="L405" s="713"/>
      <c r="M405" s="713"/>
      <c r="N405" s="713"/>
    </row>
    <row r="406">
      <c r="C406" s="483"/>
      <c r="D406" s="355"/>
      <c r="E406" s="672"/>
      <c r="F406" s="255"/>
      <c r="G406" s="261"/>
      <c r="H406" s="264"/>
      <c r="I406" s="483"/>
      <c r="J406" s="718"/>
      <c r="L406" s="713"/>
      <c r="M406" s="713"/>
      <c r="N406" s="713"/>
    </row>
    <row r="407">
      <c r="C407" s="483"/>
      <c r="D407" s="355"/>
      <c r="E407" s="672"/>
      <c r="F407" s="255"/>
      <c r="G407" s="261"/>
      <c r="H407" s="264"/>
      <c r="I407" s="483"/>
      <c r="J407" s="718"/>
      <c r="L407" s="713"/>
      <c r="M407" s="713"/>
      <c r="N407" s="713"/>
    </row>
    <row r="408">
      <c r="C408" s="483"/>
      <c r="D408" s="355"/>
      <c r="E408" s="672"/>
      <c r="F408" s="255"/>
      <c r="G408" s="261"/>
      <c r="H408" s="264"/>
      <c r="I408" s="483"/>
      <c r="J408" s="718"/>
      <c r="L408" s="713"/>
      <c r="M408" s="713"/>
      <c r="N408" s="713"/>
    </row>
    <row r="409">
      <c r="C409" s="483"/>
      <c r="D409" s="355"/>
      <c r="E409" s="672"/>
      <c r="F409" s="255"/>
      <c r="G409" s="261"/>
      <c r="H409" s="264"/>
      <c r="I409" s="483"/>
      <c r="J409" s="718"/>
      <c r="L409" s="713"/>
      <c r="M409" s="713"/>
      <c r="N409" s="713"/>
    </row>
    <row r="410">
      <c r="C410" s="483"/>
      <c r="D410" s="355"/>
      <c r="E410" s="672"/>
      <c r="F410" s="255"/>
      <c r="G410" s="261"/>
      <c r="H410" s="264"/>
      <c r="I410" s="483"/>
      <c r="J410" s="718"/>
      <c r="L410" s="713"/>
      <c r="M410" s="713"/>
      <c r="N410" s="713"/>
    </row>
    <row r="411">
      <c r="C411" s="483"/>
      <c r="D411" s="355"/>
      <c r="E411" s="672"/>
      <c r="F411" s="255"/>
      <c r="G411" s="261"/>
      <c r="H411" s="264"/>
      <c r="I411" s="483"/>
      <c r="J411" s="718"/>
      <c r="L411" s="713"/>
      <c r="M411" s="713"/>
      <c r="N411" s="713"/>
    </row>
    <row r="412">
      <c r="C412" s="483"/>
      <c r="D412" s="355"/>
      <c r="E412" s="672"/>
      <c r="F412" s="255"/>
      <c r="G412" s="261"/>
      <c r="H412" s="264"/>
      <c r="I412" s="483"/>
      <c r="J412" s="718"/>
      <c r="L412" s="713"/>
      <c r="M412" s="713"/>
      <c r="N412" s="713"/>
    </row>
    <row r="413">
      <c r="C413" s="483"/>
      <c r="D413" s="355"/>
      <c r="E413" s="672"/>
      <c r="F413" s="255"/>
      <c r="G413" s="261"/>
      <c r="H413" s="264"/>
      <c r="I413" s="483"/>
      <c r="J413" s="718"/>
      <c r="L413" s="713"/>
      <c r="M413" s="713"/>
      <c r="N413" s="713"/>
    </row>
    <row r="414">
      <c r="C414" s="483"/>
      <c r="D414" s="355"/>
      <c r="E414" s="672"/>
      <c r="F414" s="255"/>
      <c r="G414" s="261"/>
      <c r="H414" s="264"/>
      <c r="I414" s="483"/>
      <c r="J414" s="718"/>
      <c r="L414" s="713"/>
      <c r="M414" s="713"/>
      <c r="N414" s="713"/>
    </row>
    <row r="415">
      <c r="C415" s="483"/>
      <c r="D415" s="355"/>
      <c r="E415" s="672"/>
      <c r="F415" s="255"/>
      <c r="G415" s="261"/>
      <c r="H415" s="264"/>
      <c r="I415" s="483"/>
      <c r="J415" s="718"/>
      <c r="L415" s="713"/>
      <c r="M415" s="713"/>
      <c r="N415" s="713"/>
    </row>
    <row r="416">
      <c r="C416" s="483"/>
      <c r="D416" s="355"/>
      <c r="E416" s="672"/>
      <c r="F416" s="255"/>
      <c r="G416" s="261"/>
      <c r="H416" s="264"/>
      <c r="I416" s="483"/>
      <c r="J416" s="718"/>
      <c r="L416" s="713"/>
      <c r="M416" s="713"/>
      <c r="N416" s="713"/>
    </row>
    <row r="417">
      <c r="C417" s="483"/>
      <c r="D417" s="355"/>
      <c r="E417" s="672"/>
      <c r="F417" s="255"/>
      <c r="G417" s="261"/>
      <c r="H417" s="264"/>
      <c r="I417" s="483"/>
      <c r="J417" s="718"/>
      <c r="L417" s="713"/>
      <c r="M417" s="713"/>
      <c r="N417" s="713"/>
    </row>
    <row r="418">
      <c r="C418" s="483"/>
      <c r="D418" s="355"/>
      <c r="E418" s="672"/>
      <c r="F418" s="255"/>
      <c r="G418" s="261"/>
      <c r="H418" s="264"/>
      <c r="I418" s="483"/>
      <c r="J418" s="718"/>
      <c r="L418" s="713"/>
      <c r="M418" s="713"/>
      <c r="N418" s="713"/>
    </row>
    <row r="419">
      <c r="C419" s="483"/>
      <c r="D419" s="355"/>
      <c r="E419" s="672"/>
      <c r="F419" s="255"/>
      <c r="G419" s="261"/>
      <c r="H419" s="264"/>
      <c r="I419" s="483"/>
      <c r="J419" s="718"/>
      <c r="L419" s="713"/>
      <c r="M419" s="713"/>
      <c r="N419" s="713"/>
    </row>
    <row r="420">
      <c r="C420" s="483"/>
      <c r="D420" s="355"/>
      <c r="E420" s="672"/>
      <c r="F420" s="255"/>
      <c r="G420" s="261"/>
      <c r="H420" s="264"/>
      <c r="I420" s="483"/>
      <c r="J420" s="718"/>
      <c r="L420" s="713"/>
      <c r="M420" s="713"/>
      <c r="N420" s="713"/>
    </row>
    <row r="421">
      <c r="C421" s="483"/>
      <c r="D421" s="355"/>
      <c r="E421" s="672"/>
      <c r="F421" s="255"/>
      <c r="G421" s="261"/>
      <c r="H421" s="264"/>
      <c r="I421" s="483"/>
      <c r="J421" s="718"/>
      <c r="L421" s="713"/>
      <c r="M421" s="713"/>
      <c r="N421" s="713"/>
    </row>
    <row r="422">
      <c r="C422" s="483"/>
      <c r="D422" s="355"/>
      <c r="E422" s="672"/>
      <c r="F422" s="255"/>
      <c r="G422" s="261"/>
      <c r="H422" s="264"/>
      <c r="I422" s="483"/>
      <c r="J422" s="718"/>
      <c r="L422" s="713"/>
      <c r="M422" s="713"/>
      <c r="N422" s="713"/>
    </row>
    <row r="423">
      <c r="C423" s="483"/>
      <c r="D423" s="355"/>
      <c r="E423" s="672"/>
      <c r="F423" s="255"/>
      <c r="G423" s="261"/>
      <c r="H423" s="264"/>
      <c r="I423" s="483"/>
      <c r="J423" s="718"/>
      <c r="L423" s="713"/>
      <c r="M423" s="713"/>
      <c r="N423" s="713"/>
    </row>
    <row r="424">
      <c r="C424" s="483"/>
      <c r="D424" s="355"/>
      <c r="E424" s="672"/>
      <c r="F424" s="255"/>
      <c r="G424" s="261"/>
      <c r="H424" s="264"/>
      <c r="I424" s="483"/>
      <c r="J424" s="718"/>
      <c r="L424" s="713"/>
      <c r="M424" s="713"/>
      <c r="N424" s="713"/>
    </row>
    <row r="425">
      <c r="C425" s="483"/>
      <c r="D425" s="355"/>
      <c r="E425" s="672"/>
      <c r="F425" s="255"/>
      <c r="G425" s="261"/>
      <c r="H425" s="264"/>
      <c r="I425" s="483"/>
      <c r="J425" s="718"/>
      <c r="L425" s="713"/>
      <c r="M425" s="713"/>
      <c r="N425" s="713"/>
    </row>
    <row r="426">
      <c r="C426" s="483"/>
      <c r="D426" s="355"/>
      <c r="E426" s="672"/>
      <c r="F426" s="255"/>
      <c r="G426" s="261"/>
      <c r="H426" s="264"/>
      <c r="I426" s="483"/>
      <c r="J426" s="718"/>
      <c r="L426" s="713"/>
      <c r="M426" s="713"/>
      <c r="N426" s="713"/>
    </row>
    <row r="427">
      <c r="C427" s="483"/>
      <c r="D427" s="355"/>
      <c r="E427" s="672"/>
      <c r="F427" s="255"/>
      <c r="G427" s="261"/>
      <c r="H427" s="264"/>
      <c r="I427" s="483"/>
      <c r="J427" s="718"/>
      <c r="L427" s="713"/>
      <c r="M427" s="713"/>
      <c r="N427" s="713"/>
    </row>
    <row r="428">
      <c r="C428" s="483"/>
      <c r="D428" s="355"/>
      <c r="E428" s="672"/>
      <c r="F428" s="255"/>
      <c r="G428" s="261"/>
      <c r="H428" s="264"/>
      <c r="I428" s="483"/>
      <c r="J428" s="718"/>
      <c r="L428" s="713"/>
      <c r="M428" s="713"/>
      <c r="N428" s="713"/>
    </row>
    <row r="429">
      <c r="C429" s="483"/>
      <c r="D429" s="355"/>
      <c r="E429" s="672"/>
      <c r="F429" s="255"/>
      <c r="G429" s="261"/>
      <c r="H429" s="264"/>
      <c r="I429" s="483"/>
      <c r="J429" s="718"/>
      <c r="L429" s="713"/>
      <c r="M429" s="713"/>
      <c r="N429" s="713"/>
    </row>
    <row r="430">
      <c r="C430" s="483"/>
      <c r="D430" s="355"/>
      <c r="E430" s="672"/>
      <c r="F430" s="255"/>
      <c r="G430" s="261"/>
      <c r="H430" s="264"/>
      <c r="I430" s="483"/>
      <c r="J430" s="718"/>
      <c r="L430" s="713"/>
      <c r="M430" s="713"/>
      <c r="N430" s="713"/>
    </row>
    <row r="431">
      <c r="C431" s="483"/>
      <c r="D431" s="355"/>
      <c r="E431" s="672"/>
      <c r="F431" s="255"/>
      <c r="G431" s="261"/>
      <c r="H431" s="264"/>
      <c r="I431" s="483"/>
      <c r="J431" s="718"/>
      <c r="L431" s="713"/>
      <c r="M431" s="713"/>
      <c r="N431" s="713"/>
    </row>
    <row r="432">
      <c r="C432" s="483"/>
      <c r="D432" s="355"/>
      <c r="E432" s="672"/>
      <c r="F432" s="255"/>
      <c r="G432" s="261"/>
      <c r="H432" s="264"/>
      <c r="I432" s="483"/>
      <c r="J432" s="718"/>
      <c r="L432" s="713"/>
      <c r="M432" s="713"/>
      <c r="N432" s="713"/>
    </row>
    <row r="433">
      <c r="C433" s="483"/>
      <c r="D433" s="355"/>
      <c r="E433" s="672"/>
      <c r="F433" s="255"/>
      <c r="G433" s="261"/>
      <c r="H433" s="264"/>
      <c r="I433" s="483"/>
      <c r="J433" s="718"/>
      <c r="L433" s="713"/>
      <c r="M433" s="713"/>
      <c r="N433" s="713"/>
    </row>
    <row r="434">
      <c r="C434" s="483"/>
      <c r="D434" s="355"/>
      <c r="E434" s="672"/>
      <c r="F434" s="255"/>
      <c r="G434" s="261"/>
      <c r="H434" s="264"/>
      <c r="I434" s="483"/>
      <c r="J434" s="718"/>
      <c r="L434" s="713"/>
      <c r="M434" s="713"/>
      <c r="N434" s="713"/>
    </row>
    <row r="435">
      <c r="C435" s="483"/>
      <c r="D435" s="355"/>
      <c r="E435" s="672"/>
      <c r="F435" s="255"/>
      <c r="G435" s="261"/>
      <c r="H435" s="264"/>
      <c r="I435" s="483"/>
      <c r="J435" s="718"/>
      <c r="L435" s="713"/>
      <c r="M435" s="713"/>
      <c r="N435" s="713"/>
    </row>
    <row r="436">
      <c r="C436" s="483"/>
      <c r="D436" s="355"/>
      <c r="E436" s="672"/>
      <c r="F436" s="255"/>
      <c r="G436" s="261"/>
      <c r="H436" s="264"/>
      <c r="I436" s="483"/>
      <c r="J436" s="718"/>
      <c r="L436" s="713"/>
      <c r="M436" s="713"/>
      <c r="N436" s="713"/>
    </row>
    <row r="437">
      <c r="C437" s="483"/>
      <c r="D437" s="355"/>
      <c r="E437" s="672"/>
      <c r="F437" s="255"/>
      <c r="G437" s="261"/>
      <c r="H437" s="264"/>
      <c r="I437" s="483"/>
      <c r="J437" s="718"/>
      <c r="L437" s="713"/>
      <c r="M437" s="713"/>
      <c r="N437" s="713"/>
    </row>
    <row r="438">
      <c r="C438" s="483"/>
      <c r="D438" s="355"/>
      <c r="E438" s="672"/>
      <c r="F438" s="255"/>
      <c r="G438" s="261"/>
      <c r="H438" s="264"/>
      <c r="I438" s="483"/>
      <c r="J438" s="718"/>
      <c r="L438" s="713"/>
      <c r="M438" s="713"/>
      <c r="N438" s="713"/>
    </row>
    <row r="439">
      <c r="C439" s="483"/>
      <c r="D439" s="355"/>
      <c r="E439" s="672"/>
      <c r="F439" s="255"/>
      <c r="G439" s="261"/>
      <c r="H439" s="264"/>
      <c r="I439" s="483"/>
      <c r="J439" s="718"/>
      <c r="L439" s="713"/>
      <c r="M439" s="713"/>
      <c r="N439" s="713"/>
    </row>
    <row r="440">
      <c r="C440" s="483"/>
      <c r="D440" s="355"/>
      <c r="E440" s="672"/>
      <c r="F440" s="255"/>
      <c r="G440" s="261"/>
      <c r="H440" s="264"/>
      <c r="I440" s="483"/>
      <c r="J440" s="718"/>
      <c r="L440" s="713"/>
      <c r="M440" s="713"/>
      <c r="N440" s="713"/>
    </row>
    <row r="441">
      <c r="C441" s="483"/>
      <c r="D441" s="355"/>
      <c r="E441" s="672"/>
      <c r="F441" s="255"/>
      <c r="G441" s="261"/>
      <c r="H441" s="264"/>
      <c r="I441" s="483"/>
      <c r="J441" s="718"/>
      <c r="L441" s="713"/>
      <c r="M441" s="713"/>
      <c r="N441" s="713"/>
    </row>
    <row r="442">
      <c r="C442" s="483"/>
      <c r="D442" s="355"/>
      <c r="E442" s="672"/>
      <c r="F442" s="255"/>
      <c r="G442" s="261"/>
      <c r="H442" s="264"/>
      <c r="I442" s="483"/>
      <c r="J442" s="718"/>
      <c r="L442" s="713"/>
      <c r="M442" s="713"/>
      <c r="N442" s="713"/>
    </row>
    <row r="443">
      <c r="C443" s="483"/>
      <c r="D443" s="355"/>
      <c r="E443" s="672"/>
      <c r="F443" s="255"/>
      <c r="G443" s="261"/>
      <c r="H443" s="264"/>
      <c r="I443" s="483"/>
      <c r="J443" s="718"/>
      <c r="L443" s="713"/>
      <c r="M443" s="713"/>
      <c r="N443" s="713"/>
    </row>
    <row r="444">
      <c r="C444" s="483"/>
      <c r="D444" s="355"/>
      <c r="E444" s="672"/>
      <c r="F444" s="255"/>
      <c r="G444" s="261"/>
      <c r="H444" s="264"/>
      <c r="I444" s="483"/>
      <c r="J444" s="718"/>
      <c r="L444" s="713"/>
      <c r="M444" s="713"/>
      <c r="N444" s="713"/>
    </row>
    <row r="445">
      <c r="C445" s="483"/>
      <c r="D445" s="355"/>
      <c r="E445" s="672"/>
      <c r="F445" s="255"/>
      <c r="G445" s="261"/>
      <c r="H445" s="264"/>
      <c r="I445" s="483"/>
      <c r="J445" s="718"/>
      <c r="L445" s="713"/>
      <c r="M445" s="713"/>
      <c r="N445" s="713"/>
    </row>
    <row r="446">
      <c r="C446" s="483"/>
      <c r="D446" s="355"/>
      <c r="E446" s="672"/>
      <c r="F446" s="255"/>
      <c r="G446" s="261"/>
      <c r="H446" s="264"/>
      <c r="I446" s="483"/>
      <c r="J446" s="718"/>
      <c r="L446" s="713"/>
      <c r="M446" s="713"/>
      <c r="N446" s="713"/>
    </row>
    <row r="447">
      <c r="C447" s="483"/>
      <c r="D447" s="355"/>
      <c r="E447" s="672"/>
      <c r="F447" s="255"/>
      <c r="G447" s="261"/>
      <c r="H447" s="264"/>
      <c r="I447" s="483"/>
      <c r="J447" s="718"/>
      <c r="L447" s="713"/>
      <c r="M447" s="713"/>
      <c r="N447" s="713"/>
    </row>
    <row r="448">
      <c r="C448" s="483"/>
      <c r="D448" s="355"/>
      <c r="E448" s="672"/>
      <c r="F448" s="255"/>
      <c r="G448" s="261"/>
      <c r="H448" s="264"/>
      <c r="I448" s="483"/>
      <c r="J448" s="718"/>
      <c r="L448" s="713"/>
      <c r="M448" s="713"/>
      <c r="N448" s="713"/>
    </row>
    <row r="449">
      <c r="C449" s="483"/>
      <c r="D449" s="355"/>
      <c r="E449" s="672"/>
      <c r="F449" s="255"/>
      <c r="G449" s="261"/>
      <c r="H449" s="264"/>
      <c r="I449" s="483"/>
      <c r="J449" s="718"/>
      <c r="L449" s="713"/>
      <c r="M449" s="713"/>
      <c r="N449" s="713"/>
    </row>
    <row r="450">
      <c r="C450" s="483"/>
      <c r="D450" s="355"/>
      <c r="E450" s="672"/>
      <c r="F450" s="255"/>
      <c r="G450" s="261"/>
      <c r="H450" s="264"/>
      <c r="I450" s="483"/>
      <c r="J450" s="718"/>
      <c r="L450" s="713"/>
      <c r="M450" s="713"/>
      <c r="N450" s="713"/>
    </row>
    <row r="451">
      <c r="C451" s="483"/>
      <c r="D451" s="355"/>
      <c r="E451" s="672"/>
      <c r="F451" s="255"/>
      <c r="G451" s="261"/>
      <c r="H451" s="264"/>
      <c r="I451" s="483"/>
      <c r="J451" s="718"/>
      <c r="L451" s="713"/>
      <c r="M451" s="713"/>
      <c r="N451" s="713"/>
    </row>
    <row r="452">
      <c r="C452" s="483"/>
      <c r="D452" s="355"/>
      <c r="E452" s="672"/>
      <c r="F452" s="255"/>
      <c r="G452" s="261"/>
      <c r="H452" s="264"/>
      <c r="I452" s="483"/>
      <c r="J452" s="718"/>
      <c r="L452" s="713"/>
      <c r="M452" s="713"/>
      <c r="N452" s="713"/>
    </row>
    <row r="453">
      <c r="C453" s="483"/>
      <c r="D453" s="355"/>
      <c r="E453" s="672"/>
      <c r="F453" s="255"/>
      <c r="G453" s="261"/>
      <c r="H453" s="264"/>
      <c r="I453" s="483"/>
      <c r="J453" s="718"/>
      <c r="L453" s="713"/>
      <c r="M453" s="713"/>
      <c r="N453" s="713"/>
    </row>
    <row r="454">
      <c r="C454" s="483"/>
      <c r="D454" s="355"/>
      <c r="E454" s="672"/>
      <c r="F454" s="255"/>
      <c r="G454" s="261"/>
      <c r="H454" s="264"/>
      <c r="I454" s="483"/>
      <c r="J454" s="718"/>
      <c r="L454" s="713"/>
      <c r="M454" s="713"/>
      <c r="N454" s="713"/>
    </row>
    <row r="455">
      <c r="C455" s="483"/>
      <c r="D455" s="355"/>
      <c r="E455" s="672"/>
      <c r="F455" s="255"/>
      <c r="G455" s="261"/>
      <c r="H455" s="264"/>
      <c r="I455" s="483"/>
      <c r="J455" s="718"/>
      <c r="L455" s="713"/>
      <c r="M455" s="713"/>
      <c r="N455" s="713"/>
    </row>
    <row r="456">
      <c r="C456" s="483"/>
      <c r="D456" s="355"/>
      <c r="E456" s="672"/>
      <c r="F456" s="255"/>
      <c r="G456" s="261"/>
      <c r="H456" s="264"/>
      <c r="I456" s="483"/>
      <c r="J456" s="718"/>
      <c r="L456" s="713"/>
      <c r="M456" s="713"/>
      <c r="N456" s="713"/>
    </row>
    <row r="457">
      <c r="C457" s="483"/>
      <c r="D457" s="355"/>
      <c r="E457" s="672"/>
      <c r="F457" s="255"/>
      <c r="G457" s="261"/>
      <c r="H457" s="264"/>
      <c r="I457" s="483"/>
      <c r="J457" s="718"/>
      <c r="L457" s="713"/>
      <c r="M457" s="713"/>
      <c r="N457" s="713"/>
    </row>
    <row r="458">
      <c r="C458" s="483"/>
      <c r="D458" s="355"/>
      <c r="E458" s="672"/>
      <c r="F458" s="255"/>
      <c r="G458" s="261"/>
      <c r="H458" s="264"/>
      <c r="I458" s="483"/>
      <c r="J458" s="718"/>
      <c r="L458" s="713"/>
      <c r="M458" s="713"/>
      <c r="N458" s="713"/>
    </row>
    <row r="459">
      <c r="C459" s="483"/>
      <c r="D459" s="355"/>
      <c r="E459" s="672"/>
      <c r="F459" s="255"/>
      <c r="G459" s="261"/>
      <c r="H459" s="264"/>
      <c r="I459" s="483"/>
      <c r="J459" s="718"/>
      <c r="L459" s="713"/>
      <c r="M459" s="713"/>
      <c r="N459" s="713"/>
    </row>
    <row r="460">
      <c r="C460" s="483"/>
      <c r="D460" s="355"/>
      <c r="E460" s="672"/>
      <c r="F460" s="255"/>
      <c r="G460" s="261"/>
      <c r="H460" s="264"/>
      <c r="I460" s="483"/>
      <c r="J460" s="718"/>
      <c r="L460" s="713"/>
      <c r="M460" s="713"/>
      <c r="N460" s="713"/>
    </row>
    <row r="461">
      <c r="C461" s="483"/>
      <c r="D461" s="355"/>
      <c r="E461" s="672"/>
      <c r="F461" s="255"/>
      <c r="G461" s="261"/>
      <c r="H461" s="264"/>
      <c r="I461" s="483"/>
      <c r="J461" s="718"/>
      <c r="L461" s="713"/>
      <c r="M461" s="713"/>
      <c r="N461" s="713"/>
    </row>
    <row r="462">
      <c r="C462" s="483"/>
      <c r="D462" s="355"/>
      <c r="E462" s="672"/>
      <c r="F462" s="255"/>
      <c r="G462" s="261"/>
      <c r="H462" s="264"/>
      <c r="I462" s="483"/>
      <c r="J462" s="718"/>
      <c r="L462" s="713"/>
      <c r="M462" s="713"/>
      <c r="N462" s="713"/>
    </row>
    <row r="463">
      <c r="C463" s="483"/>
      <c r="D463" s="355"/>
      <c r="E463" s="672"/>
      <c r="F463" s="255"/>
      <c r="G463" s="261"/>
      <c r="H463" s="264"/>
      <c r="I463" s="483"/>
      <c r="J463" s="718"/>
      <c r="L463" s="713"/>
      <c r="M463" s="713"/>
      <c r="N463" s="713"/>
    </row>
    <row r="464">
      <c r="C464" s="483"/>
      <c r="D464" s="355"/>
      <c r="E464" s="672"/>
      <c r="F464" s="255"/>
      <c r="G464" s="261"/>
      <c r="H464" s="264"/>
      <c r="I464" s="483"/>
      <c r="J464" s="718"/>
      <c r="L464" s="713"/>
      <c r="M464" s="713"/>
      <c r="N464" s="713"/>
    </row>
    <row r="465">
      <c r="C465" s="483"/>
      <c r="D465" s="355"/>
      <c r="E465" s="672"/>
      <c r="F465" s="255"/>
      <c r="G465" s="261"/>
      <c r="H465" s="264"/>
      <c r="I465" s="483"/>
      <c r="J465" s="718"/>
      <c r="L465" s="713"/>
      <c r="M465" s="713"/>
      <c r="N465" s="713"/>
    </row>
    <row r="466">
      <c r="C466" s="483"/>
      <c r="D466" s="355"/>
      <c r="E466" s="672"/>
      <c r="F466" s="255"/>
      <c r="G466" s="261"/>
      <c r="H466" s="264"/>
      <c r="I466" s="483"/>
      <c r="J466" s="718"/>
      <c r="L466" s="713"/>
      <c r="M466" s="713"/>
      <c r="N466" s="713"/>
    </row>
    <row r="467">
      <c r="C467" s="483"/>
      <c r="D467" s="355"/>
      <c r="E467" s="672"/>
      <c r="F467" s="255"/>
      <c r="G467" s="261"/>
      <c r="H467" s="264"/>
      <c r="I467" s="483"/>
      <c r="J467" s="718"/>
      <c r="L467" s="713"/>
      <c r="M467" s="713"/>
      <c r="N467" s="713"/>
    </row>
    <row r="468">
      <c r="C468" s="483"/>
      <c r="D468" s="355"/>
      <c r="E468" s="672"/>
      <c r="F468" s="255"/>
      <c r="G468" s="261"/>
      <c r="H468" s="264"/>
      <c r="I468" s="483"/>
      <c r="J468" s="718"/>
      <c r="L468" s="713"/>
      <c r="M468" s="713"/>
      <c r="N468" s="713"/>
    </row>
    <row r="469">
      <c r="C469" s="483"/>
      <c r="D469" s="355"/>
      <c r="E469" s="672"/>
      <c r="F469" s="255"/>
      <c r="G469" s="261"/>
      <c r="H469" s="264"/>
      <c r="I469" s="483"/>
      <c r="J469" s="718"/>
      <c r="L469" s="713"/>
      <c r="M469" s="713"/>
      <c r="N469" s="713"/>
    </row>
    <row r="470">
      <c r="C470" s="483"/>
      <c r="D470" s="355"/>
      <c r="E470" s="672"/>
      <c r="F470" s="255"/>
      <c r="G470" s="261"/>
      <c r="H470" s="264"/>
      <c r="I470" s="483"/>
      <c r="J470" s="718"/>
      <c r="L470" s="713"/>
      <c r="M470" s="713"/>
      <c r="N470" s="713"/>
    </row>
    <row r="471">
      <c r="C471" s="483"/>
      <c r="D471" s="355"/>
      <c r="E471" s="672"/>
      <c r="F471" s="255"/>
      <c r="G471" s="261"/>
      <c r="H471" s="264"/>
      <c r="I471" s="483"/>
      <c r="J471" s="718"/>
      <c r="L471" s="713"/>
      <c r="M471" s="713"/>
      <c r="N471" s="713"/>
    </row>
    <row r="472">
      <c r="C472" s="483"/>
      <c r="D472" s="355"/>
      <c r="E472" s="672"/>
      <c r="F472" s="255"/>
      <c r="G472" s="261"/>
      <c r="H472" s="264"/>
      <c r="I472" s="483"/>
      <c r="J472" s="718"/>
      <c r="L472" s="713"/>
      <c r="M472" s="713"/>
      <c r="N472" s="713"/>
    </row>
    <row r="473">
      <c r="C473" s="483"/>
      <c r="D473" s="355"/>
      <c r="E473" s="672"/>
      <c r="F473" s="255"/>
      <c r="G473" s="261"/>
      <c r="H473" s="264"/>
      <c r="I473" s="483"/>
      <c r="J473" s="718"/>
      <c r="L473" s="713"/>
      <c r="M473" s="713"/>
      <c r="N473" s="713"/>
    </row>
    <row r="474">
      <c r="C474" s="483"/>
      <c r="D474" s="355"/>
      <c r="E474" s="672"/>
      <c r="F474" s="255"/>
      <c r="G474" s="261"/>
      <c r="H474" s="264"/>
      <c r="I474" s="483"/>
      <c r="J474" s="718"/>
      <c r="L474" s="713"/>
      <c r="M474" s="713"/>
      <c r="N474" s="713"/>
    </row>
    <row r="475">
      <c r="C475" s="483"/>
      <c r="D475" s="355"/>
      <c r="E475" s="672"/>
      <c r="F475" s="255"/>
      <c r="G475" s="261"/>
      <c r="H475" s="264"/>
      <c r="I475" s="483"/>
      <c r="J475" s="718"/>
      <c r="L475" s="713"/>
      <c r="M475" s="713"/>
      <c r="N475" s="713"/>
    </row>
    <row r="476">
      <c r="C476" s="483"/>
      <c r="D476" s="355"/>
      <c r="E476" s="672"/>
      <c r="F476" s="255"/>
      <c r="G476" s="261"/>
      <c r="H476" s="264"/>
      <c r="I476" s="483"/>
      <c r="J476" s="718"/>
      <c r="L476" s="713"/>
      <c r="M476" s="713"/>
      <c r="N476" s="713"/>
    </row>
    <row r="477">
      <c r="C477" s="483"/>
      <c r="D477" s="355"/>
      <c r="E477" s="672"/>
      <c r="F477" s="255"/>
      <c r="G477" s="261"/>
      <c r="H477" s="264"/>
      <c r="I477" s="483"/>
      <c r="J477" s="718"/>
      <c r="L477" s="713"/>
      <c r="M477" s="713"/>
      <c r="N477" s="713"/>
    </row>
    <row r="478">
      <c r="C478" s="483"/>
      <c r="D478" s="355"/>
      <c r="E478" s="672"/>
      <c r="F478" s="255"/>
      <c r="G478" s="261"/>
      <c r="H478" s="264"/>
      <c r="I478" s="483"/>
      <c r="J478" s="718"/>
      <c r="L478" s="713"/>
      <c r="M478" s="713"/>
      <c r="N478" s="713"/>
    </row>
    <row r="479">
      <c r="C479" s="483"/>
      <c r="D479" s="355"/>
      <c r="E479" s="672"/>
      <c r="F479" s="255"/>
      <c r="G479" s="261"/>
      <c r="H479" s="264"/>
      <c r="I479" s="483"/>
      <c r="J479" s="718"/>
      <c r="L479" s="713"/>
      <c r="M479" s="713"/>
      <c r="N479" s="713"/>
    </row>
    <row r="480">
      <c r="C480" s="483"/>
      <c r="D480" s="355"/>
      <c r="E480" s="672"/>
      <c r="F480" s="255"/>
      <c r="G480" s="261"/>
      <c r="H480" s="264"/>
      <c r="I480" s="483"/>
      <c r="J480" s="718"/>
      <c r="L480" s="713"/>
      <c r="M480" s="713"/>
      <c r="N480" s="713"/>
    </row>
    <row r="481">
      <c r="C481" s="483"/>
      <c r="D481" s="355"/>
      <c r="E481" s="672"/>
      <c r="F481" s="255"/>
      <c r="G481" s="261"/>
      <c r="H481" s="264"/>
      <c r="I481" s="483"/>
      <c r="J481" s="718"/>
      <c r="L481" s="713"/>
      <c r="M481" s="713"/>
      <c r="N481" s="713"/>
    </row>
    <row r="482">
      <c r="C482" s="483"/>
      <c r="D482" s="355"/>
      <c r="E482" s="672"/>
      <c r="F482" s="255"/>
      <c r="G482" s="261"/>
      <c r="H482" s="264"/>
      <c r="I482" s="483"/>
      <c r="J482" s="718"/>
      <c r="L482" s="713"/>
      <c r="M482" s="713"/>
      <c r="N482" s="713"/>
    </row>
    <row r="483">
      <c r="C483" s="483"/>
      <c r="D483" s="355"/>
      <c r="E483" s="672"/>
      <c r="F483" s="255"/>
      <c r="G483" s="261"/>
      <c r="H483" s="264"/>
      <c r="I483" s="483"/>
      <c r="J483" s="718"/>
      <c r="L483" s="713"/>
      <c r="M483" s="713"/>
      <c r="N483" s="713"/>
    </row>
    <row r="484">
      <c r="C484" s="483"/>
      <c r="D484" s="355"/>
      <c r="E484" s="672"/>
      <c r="F484" s="255"/>
      <c r="G484" s="261"/>
      <c r="H484" s="264"/>
      <c r="I484" s="483"/>
      <c r="J484" s="718"/>
      <c r="L484" s="713"/>
      <c r="M484" s="713"/>
      <c r="N484" s="713"/>
    </row>
    <row r="485">
      <c r="C485" s="483"/>
      <c r="D485" s="355"/>
      <c r="E485" s="672"/>
      <c r="F485" s="255"/>
      <c r="G485" s="261"/>
      <c r="H485" s="264"/>
      <c r="I485" s="483"/>
      <c r="J485" s="718"/>
      <c r="L485" s="713"/>
      <c r="M485" s="713"/>
      <c r="N485" s="713"/>
    </row>
    <row r="486">
      <c r="C486" s="483"/>
      <c r="D486" s="355"/>
      <c r="E486" s="672"/>
      <c r="F486" s="255"/>
      <c r="G486" s="261"/>
      <c r="H486" s="264"/>
      <c r="I486" s="483"/>
      <c r="J486" s="718"/>
      <c r="L486" s="713"/>
      <c r="M486" s="713"/>
      <c r="N486" s="713"/>
    </row>
    <row r="487">
      <c r="C487" s="483"/>
      <c r="D487" s="355"/>
      <c r="E487" s="672"/>
      <c r="F487" s="255"/>
      <c r="G487" s="261"/>
      <c r="H487" s="264"/>
      <c r="I487" s="483"/>
      <c r="J487" s="718"/>
      <c r="L487" s="713"/>
      <c r="M487" s="713"/>
      <c r="N487" s="713"/>
    </row>
    <row r="488">
      <c r="C488" s="483"/>
      <c r="D488" s="355"/>
      <c r="E488" s="672"/>
      <c r="F488" s="255"/>
      <c r="G488" s="261"/>
      <c r="H488" s="264"/>
      <c r="I488" s="483"/>
      <c r="J488" s="718"/>
      <c r="L488" s="713"/>
      <c r="M488" s="713"/>
      <c r="N488" s="713"/>
    </row>
    <row r="489">
      <c r="C489" s="483"/>
      <c r="D489" s="355"/>
      <c r="E489" s="672"/>
      <c r="F489" s="255"/>
      <c r="G489" s="261"/>
      <c r="H489" s="264"/>
      <c r="I489" s="483"/>
      <c r="J489" s="718"/>
      <c r="L489" s="713"/>
      <c r="M489" s="713"/>
      <c r="N489" s="713"/>
    </row>
    <row r="490">
      <c r="C490" s="483"/>
      <c r="D490" s="355"/>
      <c r="E490" s="672"/>
      <c r="F490" s="255"/>
      <c r="G490" s="261"/>
      <c r="H490" s="264"/>
      <c r="I490" s="483"/>
      <c r="J490" s="718"/>
      <c r="L490" s="713"/>
      <c r="M490" s="713"/>
      <c r="N490" s="713"/>
    </row>
    <row r="491">
      <c r="C491" s="483"/>
      <c r="D491" s="355"/>
      <c r="E491" s="672"/>
      <c r="F491" s="255"/>
      <c r="G491" s="261"/>
      <c r="H491" s="264"/>
      <c r="I491" s="483"/>
      <c r="J491" s="718"/>
      <c r="L491" s="713"/>
      <c r="M491" s="713"/>
      <c r="N491" s="713"/>
    </row>
    <row r="492">
      <c r="C492" s="483"/>
      <c r="D492" s="355"/>
      <c r="E492" s="672"/>
      <c r="F492" s="255"/>
      <c r="G492" s="261"/>
      <c r="H492" s="264"/>
      <c r="I492" s="483"/>
      <c r="J492" s="718"/>
      <c r="L492" s="713"/>
      <c r="M492" s="713"/>
      <c r="N492" s="713"/>
    </row>
    <row r="493">
      <c r="C493" s="483"/>
      <c r="D493" s="355"/>
      <c r="E493" s="672"/>
      <c r="F493" s="255"/>
      <c r="G493" s="261"/>
      <c r="H493" s="264"/>
      <c r="I493" s="483"/>
      <c r="J493" s="718"/>
      <c r="L493" s="713"/>
      <c r="M493" s="713"/>
      <c r="N493" s="713"/>
    </row>
    <row r="494">
      <c r="C494" s="483"/>
      <c r="D494" s="355"/>
      <c r="E494" s="672"/>
      <c r="F494" s="255"/>
      <c r="G494" s="261"/>
      <c r="H494" s="264"/>
      <c r="I494" s="483"/>
      <c r="J494" s="718"/>
      <c r="L494" s="713"/>
      <c r="M494" s="713"/>
      <c r="N494" s="713"/>
    </row>
    <row r="495">
      <c r="C495" s="483"/>
      <c r="D495" s="355"/>
      <c r="E495" s="672"/>
      <c r="F495" s="255"/>
      <c r="G495" s="261"/>
      <c r="H495" s="264"/>
      <c r="I495" s="483"/>
      <c r="J495" s="718"/>
      <c r="L495" s="713"/>
      <c r="M495" s="713"/>
      <c r="N495" s="713"/>
    </row>
    <row r="496">
      <c r="C496" s="483"/>
      <c r="D496" s="355"/>
      <c r="E496" s="672"/>
      <c r="F496" s="255"/>
      <c r="G496" s="261"/>
      <c r="H496" s="264"/>
      <c r="I496" s="483"/>
      <c r="J496" s="718"/>
      <c r="L496" s="713"/>
      <c r="M496" s="713"/>
      <c r="N496" s="713"/>
    </row>
    <row r="497">
      <c r="C497" s="483"/>
      <c r="D497" s="355"/>
      <c r="E497" s="672"/>
      <c r="F497" s="255"/>
      <c r="G497" s="261"/>
      <c r="H497" s="264"/>
      <c r="I497" s="483"/>
      <c r="J497" s="718"/>
      <c r="L497" s="713"/>
      <c r="M497" s="713"/>
      <c r="N497" s="713"/>
    </row>
    <row r="498">
      <c r="C498" s="483"/>
      <c r="D498" s="355"/>
      <c r="E498" s="672"/>
      <c r="F498" s="255"/>
      <c r="G498" s="261"/>
      <c r="H498" s="264"/>
      <c r="I498" s="483"/>
      <c r="J498" s="718"/>
      <c r="L498" s="713"/>
      <c r="M498" s="713"/>
      <c r="N498" s="713"/>
    </row>
    <row r="499">
      <c r="C499" s="483"/>
      <c r="D499" s="355"/>
      <c r="E499" s="672"/>
      <c r="F499" s="255"/>
      <c r="G499" s="261"/>
      <c r="H499" s="264"/>
      <c r="I499" s="483"/>
      <c r="J499" s="718"/>
      <c r="L499" s="713"/>
      <c r="M499" s="713"/>
      <c r="N499" s="713"/>
    </row>
    <row r="500">
      <c r="C500" s="483"/>
      <c r="D500" s="355"/>
      <c r="E500" s="672"/>
      <c r="F500" s="255"/>
      <c r="G500" s="261"/>
      <c r="H500" s="264"/>
      <c r="I500" s="483"/>
      <c r="J500" s="718"/>
      <c r="L500" s="713"/>
      <c r="M500" s="713"/>
      <c r="N500" s="713"/>
    </row>
    <row r="501">
      <c r="C501" s="483"/>
      <c r="D501" s="355"/>
      <c r="E501" s="672"/>
      <c r="F501" s="255"/>
      <c r="G501" s="261"/>
      <c r="H501" s="264"/>
      <c r="I501" s="483"/>
      <c r="J501" s="718"/>
      <c r="L501" s="713"/>
      <c r="M501" s="713"/>
      <c r="N501" s="713"/>
    </row>
    <row r="502">
      <c r="C502" s="483"/>
      <c r="D502" s="355"/>
      <c r="E502" s="672"/>
      <c r="F502" s="255"/>
      <c r="G502" s="261"/>
      <c r="H502" s="264"/>
      <c r="I502" s="483"/>
      <c r="J502" s="718"/>
      <c r="L502" s="713"/>
      <c r="M502" s="713"/>
      <c r="N502" s="713"/>
    </row>
    <row r="503">
      <c r="C503" s="483"/>
      <c r="D503" s="355"/>
      <c r="E503" s="672"/>
      <c r="F503" s="255"/>
      <c r="G503" s="261"/>
      <c r="H503" s="264"/>
      <c r="I503" s="483"/>
      <c r="J503" s="718"/>
      <c r="L503" s="713"/>
      <c r="M503" s="713"/>
      <c r="N503" s="713"/>
    </row>
    <row r="504">
      <c r="C504" s="483"/>
      <c r="D504" s="355"/>
      <c r="E504" s="672"/>
      <c r="F504" s="255"/>
      <c r="G504" s="261"/>
      <c r="H504" s="264"/>
      <c r="I504" s="483"/>
      <c r="J504" s="718"/>
      <c r="L504" s="713"/>
      <c r="M504" s="713"/>
      <c r="N504" s="713"/>
    </row>
    <row r="505">
      <c r="C505" s="483"/>
      <c r="D505" s="355"/>
      <c r="E505" s="672"/>
      <c r="F505" s="255"/>
      <c r="G505" s="261"/>
      <c r="H505" s="264"/>
      <c r="I505" s="483"/>
      <c r="J505" s="718"/>
      <c r="L505" s="713"/>
      <c r="M505" s="713"/>
      <c r="N505" s="713"/>
    </row>
    <row r="506">
      <c r="C506" s="483"/>
      <c r="D506" s="355"/>
      <c r="E506" s="672"/>
      <c r="F506" s="255"/>
      <c r="G506" s="261"/>
      <c r="H506" s="264"/>
      <c r="I506" s="483"/>
      <c r="J506" s="718"/>
      <c r="L506" s="713"/>
      <c r="M506" s="713"/>
      <c r="N506" s="713"/>
    </row>
    <row r="507">
      <c r="C507" s="483"/>
      <c r="D507" s="355"/>
      <c r="E507" s="672"/>
      <c r="F507" s="255"/>
      <c r="G507" s="261"/>
      <c r="H507" s="264"/>
      <c r="I507" s="483"/>
      <c r="J507" s="718"/>
      <c r="L507" s="713"/>
      <c r="M507" s="713"/>
      <c r="N507" s="713"/>
    </row>
    <row r="508">
      <c r="C508" s="483"/>
      <c r="D508" s="355"/>
      <c r="E508" s="672"/>
      <c r="F508" s="255"/>
      <c r="G508" s="261"/>
      <c r="H508" s="264"/>
      <c r="I508" s="483"/>
      <c r="J508" s="718"/>
      <c r="L508" s="713"/>
      <c r="M508" s="713"/>
      <c r="N508" s="713"/>
    </row>
    <row r="509">
      <c r="C509" s="483"/>
      <c r="D509" s="355"/>
      <c r="E509" s="672"/>
      <c r="F509" s="255"/>
      <c r="G509" s="261"/>
      <c r="H509" s="264"/>
      <c r="I509" s="483"/>
      <c r="J509" s="718"/>
      <c r="L509" s="713"/>
      <c r="M509" s="713"/>
      <c r="N509" s="713"/>
    </row>
    <row r="510">
      <c r="C510" s="483"/>
      <c r="D510" s="355"/>
      <c r="E510" s="672"/>
      <c r="F510" s="255"/>
      <c r="G510" s="261"/>
      <c r="H510" s="264"/>
      <c r="I510" s="483"/>
      <c r="J510" s="718"/>
      <c r="L510" s="713"/>
      <c r="M510" s="713"/>
      <c r="N510" s="713"/>
    </row>
    <row r="511">
      <c r="C511" s="483"/>
      <c r="D511" s="355"/>
      <c r="E511" s="672"/>
      <c r="F511" s="255"/>
      <c r="G511" s="261"/>
      <c r="H511" s="264"/>
      <c r="I511" s="483"/>
      <c r="J511" s="718"/>
      <c r="L511" s="713"/>
      <c r="M511" s="713"/>
      <c r="N511" s="713"/>
    </row>
    <row r="512">
      <c r="C512" s="483"/>
      <c r="D512" s="355"/>
      <c r="E512" s="672"/>
      <c r="F512" s="255"/>
      <c r="G512" s="261"/>
      <c r="H512" s="264"/>
      <c r="I512" s="483"/>
      <c r="J512" s="718"/>
      <c r="L512" s="713"/>
      <c r="M512" s="713"/>
      <c r="N512" s="713"/>
    </row>
    <row r="513">
      <c r="C513" s="483"/>
      <c r="D513" s="355"/>
      <c r="E513" s="672"/>
      <c r="F513" s="255"/>
      <c r="G513" s="261"/>
      <c r="H513" s="264"/>
      <c r="I513" s="483"/>
      <c r="J513" s="718"/>
      <c r="L513" s="713"/>
      <c r="M513" s="713"/>
      <c r="N513" s="713"/>
    </row>
    <row r="514">
      <c r="C514" s="483"/>
      <c r="D514" s="355"/>
      <c r="E514" s="672"/>
      <c r="F514" s="255"/>
      <c r="G514" s="261"/>
      <c r="H514" s="264"/>
      <c r="I514" s="483"/>
      <c r="J514" s="718"/>
      <c r="L514" s="713"/>
      <c r="M514" s="713"/>
      <c r="N514" s="713"/>
    </row>
    <row r="515">
      <c r="C515" s="483"/>
      <c r="D515" s="355"/>
      <c r="E515" s="672"/>
      <c r="F515" s="255"/>
      <c r="G515" s="261"/>
      <c r="H515" s="264"/>
      <c r="I515" s="483"/>
      <c r="J515" s="718"/>
      <c r="L515" s="713"/>
      <c r="M515" s="713"/>
      <c r="N515" s="713"/>
    </row>
    <row r="516">
      <c r="C516" s="483"/>
      <c r="D516" s="355"/>
      <c r="E516" s="672"/>
      <c r="F516" s="255"/>
      <c r="G516" s="261"/>
      <c r="H516" s="264"/>
      <c r="I516" s="483"/>
      <c r="J516" s="718"/>
      <c r="L516" s="713"/>
      <c r="M516" s="713"/>
      <c r="N516" s="713"/>
    </row>
    <row r="517">
      <c r="C517" s="483"/>
      <c r="D517" s="355"/>
      <c r="E517" s="672"/>
      <c r="F517" s="255"/>
      <c r="G517" s="261"/>
      <c r="H517" s="264"/>
      <c r="I517" s="483"/>
      <c r="J517" s="718"/>
      <c r="L517" s="713"/>
      <c r="M517" s="713"/>
      <c r="N517" s="713"/>
    </row>
    <row r="518">
      <c r="C518" s="483"/>
      <c r="D518" s="355"/>
      <c r="E518" s="672"/>
      <c r="F518" s="255"/>
      <c r="G518" s="261"/>
      <c r="H518" s="264"/>
      <c r="I518" s="483"/>
      <c r="J518" s="718"/>
      <c r="L518" s="713"/>
      <c r="M518" s="713"/>
      <c r="N518" s="713"/>
    </row>
    <row r="519">
      <c r="C519" s="483"/>
      <c r="D519" s="355"/>
      <c r="E519" s="672"/>
      <c r="F519" s="255"/>
      <c r="G519" s="261"/>
      <c r="H519" s="264"/>
      <c r="I519" s="483"/>
      <c r="J519" s="718"/>
      <c r="L519" s="713"/>
      <c r="M519" s="713"/>
      <c r="N519" s="713"/>
    </row>
    <row r="520">
      <c r="C520" s="483"/>
      <c r="D520" s="355"/>
      <c r="E520" s="672"/>
      <c r="F520" s="255"/>
      <c r="G520" s="261"/>
      <c r="H520" s="264"/>
      <c r="I520" s="483"/>
      <c r="J520" s="718"/>
      <c r="L520" s="713"/>
      <c r="M520" s="713"/>
      <c r="N520" s="713"/>
    </row>
    <row r="521">
      <c r="C521" s="483"/>
      <c r="D521" s="355"/>
      <c r="E521" s="672"/>
      <c r="F521" s="255"/>
      <c r="G521" s="261"/>
      <c r="H521" s="264"/>
      <c r="I521" s="483"/>
      <c r="J521" s="718"/>
      <c r="L521" s="713"/>
      <c r="M521" s="713"/>
      <c r="N521" s="713"/>
    </row>
    <row r="522">
      <c r="C522" s="483"/>
      <c r="D522" s="355"/>
      <c r="E522" s="672"/>
      <c r="F522" s="255"/>
      <c r="G522" s="261"/>
      <c r="H522" s="264"/>
      <c r="I522" s="483"/>
      <c r="J522" s="718"/>
      <c r="L522" s="713"/>
      <c r="M522" s="713"/>
      <c r="N522" s="713"/>
    </row>
    <row r="523">
      <c r="C523" s="483"/>
      <c r="D523" s="355"/>
      <c r="E523" s="672"/>
      <c r="F523" s="255"/>
      <c r="G523" s="261"/>
      <c r="H523" s="264"/>
      <c r="I523" s="483"/>
      <c r="J523" s="718"/>
      <c r="L523" s="713"/>
      <c r="M523" s="713"/>
      <c r="N523" s="713"/>
    </row>
    <row r="524">
      <c r="C524" s="483"/>
      <c r="D524" s="355"/>
      <c r="E524" s="672"/>
      <c r="F524" s="255"/>
      <c r="G524" s="261"/>
      <c r="H524" s="264"/>
      <c r="I524" s="483"/>
      <c r="J524" s="718"/>
      <c r="L524" s="713"/>
      <c r="M524" s="713"/>
      <c r="N524" s="713"/>
    </row>
    <row r="525">
      <c r="C525" s="483"/>
      <c r="D525" s="355"/>
      <c r="E525" s="672"/>
      <c r="F525" s="255"/>
      <c r="G525" s="261"/>
      <c r="H525" s="264"/>
      <c r="I525" s="483"/>
      <c r="J525" s="718"/>
      <c r="L525" s="713"/>
      <c r="M525" s="713"/>
      <c r="N525" s="713"/>
    </row>
    <row r="526">
      <c r="C526" s="483"/>
      <c r="D526" s="355"/>
      <c r="E526" s="672"/>
      <c r="F526" s="255"/>
      <c r="G526" s="261"/>
      <c r="H526" s="264"/>
      <c r="I526" s="483"/>
      <c r="J526" s="718"/>
      <c r="L526" s="713"/>
      <c r="M526" s="713"/>
      <c r="N526" s="713"/>
    </row>
    <row r="527">
      <c r="C527" s="483"/>
      <c r="D527" s="355"/>
      <c r="E527" s="672"/>
      <c r="F527" s="255"/>
      <c r="G527" s="261"/>
      <c r="H527" s="264"/>
      <c r="I527" s="483"/>
      <c r="J527" s="718"/>
      <c r="L527" s="713"/>
      <c r="M527" s="713"/>
      <c r="N527" s="713"/>
    </row>
    <row r="528">
      <c r="C528" s="483"/>
      <c r="D528" s="355"/>
      <c r="E528" s="672"/>
      <c r="F528" s="255"/>
      <c r="G528" s="261"/>
      <c r="H528" s="264"/>
      <c r="I528" s="483"/>
      <c r="J528" s="718"/>
      <c r="L528" s="713"/>
      <c r="M528" s="713"/>
      <c r="N528" s="713"/>
    </row>
    <row r="529">
      <c r="C529" s="483"/>
      <c r="D529" s="355"/>
      <c r="E529" s="672"/>
      <c r="F529" s="255"/>
      <c r="G529" s="261"/>
      <c r="H529" s="264"/>
      <c r="I529" s="483"/>
      <c r="J529" s="718"/>
      <c r="L529" s="713"/>
      <c r="M529" s="713"/>
      <c r="N529" s="713"/>
    </row>
    <row r="530">
      <c r="C530" s="483"/>
      <c r="D530" s="355"/>
      <c r="E530" s="672"/>
      <c r="F530" s="255"/>
      <c r="G530" s="261"/>
      <c r="H530" s="264"/>
      <c r="I530" s="483"/>
      <c r="J530" s="718"/>
      <c r="L530" s="713"/>
      <c r="M530" s="713"/>
      <c r="N530" s="713"/>
    </row>
    <row r="531">
      <c r="C531" s="483"/>
      <c r="D531" s="355"/>
      <c r="E531" s="672"/>
      <c r="F531" s="255"/>
      <c r="G531" s="261"/>
      <c r="H531" s="264"/>
      <c r="I531" s="483"/>
      <c r="J531" s="718"/>
      <c r="L531" s="713"/>
      <c r="M531" s="713"/>
      <c r="N531" s="713"/>
    </row>
    <row r="532">
      <c r="C532" s="483"/>
      <c r="D532" s="355"/>
      <c r="E532" s="672"/>
      <c r="F532" s="255"/>
      <c r="G532" s="261"/>
      <c r="H532" s="264"/>
      <c r="I532" s="483"/>
      <c r="J532" s="718"/>
      <c r="L532" s="713"/>
      <c r="M532" s="713"/>
      <c r="N532" s="713"/>
    </row>
    <row r="533">
      <c r="C533" s="483"/>
      <c r="D533" s="355"/>
      <c r="E533" s="672"/>
      <c r="F533" s="255"/>
      <c r="G533" s="261"/>
      <c r="H533" s="264"/>
      <c r="I533" s="483"/>
      <c r="J533" s="718"/>
      <c r="L533" s="713"/>
      <c r="M533" s="713"/>
      <c r="N533" s="713"/>
    </row>
    <row r="534">
      <c r="C534" s="483"/>
      <c r="D534" s="355"/>
      <c r="E534" s="672"/>
      <c r="F534" s="255"/>
      <c r="G534" s="261"/>
      <c r="H534" s="264"/>
      <c r="I534" s="483"/>
      <c r="J534" s="718"/>
      <c r="L534" s="713"/>
      <c r="M534" s="713"/>
      <c r="N534" s="713"/>
    </row>
    <row r="535">
      <c r="C535" s="483"/>
      <c r="D535" s="355"/>
      <c r="E535" s="672"/>
      <c r="F535" s="255"/>
      <c r="G535" s="261"/>
      <c r="H535" s="264"/>
      <c r="I535" s="483"/>
      <c r="J535" s="718"/>
      <c r="L535" s="713"/>
      <c r="M535" s="713"/>
      <c r="N535" s="713"/>
    </row>
    <row r="536">
      <c r="C536" s="483"/>
      <c r="D536" s="355"/>
      <c r="E536" s="672"/>
      <c r="F536" s="255"/>
      <c r="G536" s="261"/>
      <c r="H536" s="264"/>
      <c r="I536" s="483"/>
      <c r="J536" s="718"/>
      <c r="L536" s="713"/>
      <c r="M536" s="713"/>
      <c r="N536" s="713"/>
    </row>
    <row r="537">
      <c r="C537" s="483"/>
      <c r="D537" s="355"/>
      <c r="E537" s="672"/>
      <c r="F537" s="255"/>
      <c r="G537" s="261"/>
      <c r="H537" s="264"/>
      <c r="I537" s="483"/>
      <c r="J537" s="718"/>
      <c r="L537" s="713"/>
      <c r="M537" s="713"/>
      <c r="N537" s="713"/>
    </row>
    <row r="538">
      <c r="C538" s="483"/>
      <c r="D538" s="355"/>
      <c r="E538" s="672"/>
      <c r="F538" s="255"/>
      <c r="G538" s="261"/>
      <c r="H538" s="264"/>
      <c r="I538" s="483"/>
      <c r="J538" s="718"/>
      <c r="L538" s="713"/>
      <c r="M538" s="713"/>
      <c r="N538" s="713"/>
    </row>
    <row r="539">
      <c r="C539" s="483"/>
      <c r="D539" s="355"/>
      <c r="E539" s="672"/>
      <c r="F539" s="255"/>
      <c r="G539" s="261"/>
      <c r="H539" s="264"/>
      <c r="I539" s="483"/>
      <c r="J539" s="718"/>
      <c r="L539" s="713"/>
      <c r="M539" s="713"/>
      <c r="N539" s="713"/>
    </row>
    <row r="540">
      <c r="C540" s="483"/>
      <c r="D540" s="355"/>
      <c r="E540" s="672"/>
      <c r="F540" s="255"/>
      <c r="G540" s="261"/>
      <c r="H540" s="264"/>
      <c r="I540" s="483"/>
      <c r="J540" s="718"/>
      <c r="L540" s="713"/>
      <c r="M540" s="713"/>
      <c r="N540" s="713"/>
    </row>
    <row r="541">
      <c r="C541" s="483"/>
      <c r="D541" s="355"/>
      <c r="E541" s="672"/>
      <c r="F541" s="255"/>
      <c r="G541" s="261"/>
      <c r="H541" s="264"/>
      <c r="I541" s="483"/>
      <c r="J541" s="718"/>
      <c r="L541" s="713"/>
      <c r="M541" s="713"/>
      <c r="N541" s="713"/>
    </row>
    <row r="542">
      <c r="C542" s="483"/>
      <c r="D542" s="355"/>
      <c r="E542" s="672"/>
      <c r="F542" s="255"/>
      <c r="G542" s="261"/>
      <c r="H542" s="264"/>
      <c r="I542" s="483"/>
      <c r="J542" s="718"/>
      <c r="L542" s="713"/>
      <c r="M542" s="713"/>
      <c r="N542" s="713"/>
    </row>
    <row r="543">
      <c r="C543" s="483"/>
      <c r="D543" s="355"/>
      <c r="E543" s="672"/>
      <c r="F543" s="255"/>
      <c r="G543" s="261"/>
      <c r="H543" s="264"/>
      <c r="I543" s="483"/>
      <c r="J543" s="718"/>
      <c r="L543" s="713"/>
      <c r="M543" s="713"/>
      <c r="N543" s="713"/>
    </row>
    <row r="544">
      <c r="C544" s="483"/>
      <c r="D544" s="355"/>
      <c r="E544" s="672"/>
      <c r="F544" s="255"/>
      <c r="G544" s="261"/>
      <c r="H544" s="264"/>
      <c r="I544" s="483"/>
      <c r="J544" s="718"/>
      <c r="L544" s="713"/>
      <c r="M544" s="713"/>
      <c r="N544" s="713"/>
    </row>
    <row r="545">
      <c r="C545" s="483"/>
      <c r="D545" s="355"/>
      <c r="E545" s="672"/>
      <c r="F545" s="255"/>
      <c r="G545" s="261"/>
      <c r="H545" s="264"/>
      <c r="I545" s="483"/>
      <c r="J545" s="718"/>
      <c r="L545" s="713"/>
      <c r="M545" s="713"/>
      <c r="N545" s="713"/>
    </row>
    <row r="546">
      <c r="C546" s="483"/>
      <c r="D546" s="355"/>
      <c r="E546" s="672"/>
      <c r="F546" s="255"/>
      <c r="G546" s="261"/>
      <c r="H546" s="264"/>
      <c r="I546" s="483"/>
      <c r="J546" s="718"/>
      <c r="L546" s="713"/>
      <c r="M546" s="713"/>
      <c r="N546" s="713"/>
    </row>
    <row r="547">
      <c r="C547" s="483"/>
      <c r="D547" s="355"/>
      <c r="E547" s="672"/>
      <c r="F547" s="255"/>
      <c r="G547" s="261"/>
      <c r="H547" s="264"/>
      <c r="I547" s="483"/>
      <c r="J547" s="718"/>
      <c r="L547" s="713"/>
      <c r="M547" s="713"/>
      <c r="N547" s="713"/>
    </row>
    <row r="548">
      <c r="C548" s="483"/>
      <c r="D548" s="355"/>
      <c r="E548" s="672"/>
      <c r="F548" s="255"/>
      <c r="G548" s="261"/>
      <c r="H548" s="264"/>
      <c r="I548" s="483"/>
      <c r="J548" s="718"/>
      <c r="L548" s="713"/>
      <c r="M548" s="713"/>
      <c r="N548" s="713"/>
    </row>
    <row r="549">
      <c r="C549" s="483"/>
      <c r="D549" s="355"/>
      <c r="E549" s="672"/>
      <c r="F549" s="255"/>
      <c r="G549" s="261"/>
      <c r="H549" s="264"/>
      <c r="I549" s="483"/>
      <c r="J549" s="718"/>
      <c r="L549" s="713"/>
      <c r="M549" s="713"/>
      <c r="N549" s="713"/>
    </row>
    <row r="550">
      <c r="C550" s="483"/>
      <c r="D550" s="355"/>
      <c r="E550" s="672"/>
      <c r="F550" s="255"/>
      <c r="G550" s="261"/>
      <c r="H550" s="264"/>
      <c r="I550" s="483"/>
      <c r="J550" s="718"/>
      <c r="L550" s="713"/>
      <c r="M550" s="713"/>
      <c r="N550" s="713"/>
    </row>
    <row r="551">
      <c r="C551" s="483"/>
      <c r="D551" s="355"/>
      <c r="E551" s="672"/>
      <c r="F551" s="255"/>
      <c r="G551" s="261"/>
      <c r="H551" s="264"/>
      <c r="I551" s="483"/>
      <c r="J551" s="718"/>
      <c r="L551" s="713"/>
      <c r="M551" s="713"/>
      <c r="N551" s="713"/>
    </row>
    <row r="552">
      <c r="C552" s="483"/>
      <c r="D552" s="355"/>
      <c r="E552" s="672"/>
      <c r="F552" s="255"/>
      <c r="G552" s="261"/>
      <c r="H552" s="264"/>
      <c r="I552" s="483"/>
      <c r="J552" s="718"/>
      <c r="L552" s="713"/>
      <c r="M552" s="713"/>
      <c r="N552" s="713"/>
    </row>
    <row r="553">
      <c r="C553" s="483"/>
      <c r="D553" s="355"/>
      <c r="E553" s="672"/>
      <c r="F553" s="255"/>
      <c r="G553" s="261"/>
      <c r="H553" s="264"/>
      <c r="I553" s="483"/>
      <c r="J553" s="718"/>
      <c r="L553" s="713"/>
      <c r="M553" s="713"/>
      <c r="N553" s="713"/>
    </row>
    <row r="554">
      <c r="C554" s="483"/>
      <c r="D554" s="355"/>
      <c r="E554" s="672"/>
      <c r="F554" s="255"/>
      <c r="G554" s="261"/>
      <c r="H554" s="264"/>
      <c r="I554" s="483"/>
      <c r="J554" s="718"/>
      <c r="L554" s="713"/>
      <c r="M554" s="713"/>
      <c r="N554" s="713"/>
    </row>
    <row r="555">
      <c r="C555" s="483"/>
      <c r="D555" s="355"/>
      <c r="E555" s="672"/>
      <c r="F555" s="255"/>
      <c r="G555" s="261"/>
      <c r="H555" s="264"/>
      <c r="I555" s="483"/>
      <c r="J555" s="718"/>
      <c r="L555" s="713"/>
      <c r="M555" s="713"/>
      <c r="N555" s="713"/>
    </row>
    <row r="556">
      <c r="C556" s="483"/>
      <c r="D556" s="355"/>
      <c r="E556" s="672"/>
      <c r="F556" s="255"/>
      <c r="G556" s="261"/>
      <c r="H556" s="264"/>
      <c r="I556" s="483"/>
      <c r="J556" s="718"/>
      <c r="L556" s="713"/>
      <c r="M556" s="713"/>
      <c r="N556" s="713"/>
    </row>
    <row r="557">
      <c r="C557" s="483"/>
      <c r="D557" s="355"/>
      <c r="E557" s="672"/>
      <c r="F557" s="255"/>
      <c r="G557" s="261"/>
      <c r="H557" s="264"/>
      <c r="I557" s="483"/>
      <c r="J557" s="718"/>
      <c r="L557" s="713"/>
      <c r="M557" s="713"/>
      <c r="N557" s="713"/>
    </row>
    <row r="558">
      <c r="C558" s="483"/>
      <c r="D558" s="355"/>
      <c r="E558" s="672"/>
      <c r="F558" s="255"/>
      <c r="G558" s="261"/>
      <c r="H558" s="264"/>
      <c r="I558" s="483"/>
      <c r="J558" s="718"/>
      <c r="L558" s="713"/>
      <c r="M558" s="713"/>
      <c r="N558" s="713"/>
    </row>
    <row r="559">
      <c r="C559" s="483"/>
      <c r="D559" s="355"/>
      <c r="E559" s="672"/>
      <c r="F559" s="255"/>
      <c r="G559" s="261"/>
      <c r="H559" s="264"/>
      <c r="I559" s="483"/>
      <c r="J559" s="718"/>
      <c r="L559" s="713"/>
      <c r="M559" s="713"/>
      <c r="N559" s="713"/>
    </row>
    <row r="560">
      <c r="C560" s="483"/>
      <c r="D560" s="355"/>
      <c r="E560" s="672"/>
      <c r="F560" s="255"/>
      <c r="G560" s="261"/>
      <c r="H560" s="264"/>
      <c r="I560" s="483"/>
      <c r="J560" s="718"/>
      <c r="L560" s="713"/>
      <c r="M560" s="713"/>
      <c r="N560" s="713"/>
    </row>
    <row r="561">
      <c r="C561" s="483"/>
      <c r="D561" s="355"/>
      <c r="E561" s="672"/>
      <c r="F561" s="255"/>
      <c r="G561" s="261"/>
      <c r="H561" s="264"/>
      <c r="I561" s="483"/>
      <c r="J561" s="718"/>
      <c r="L561" s="713"/>
      <c r="M561" s="713"/>
      <c r="N561" s="713"/>
    </row>
    <row r="562">
      <c r="C562" s="483"/>
      <c r="D562" s="355"/>
      <c r="E562" s="672"/>
      <c r="F562" s="255"/>
      <c r="G562" s="261"/>
      <c r="H562" s="264"/>
      <c r="I562" s="483"/>
      <c r="J562" s="718"/>
      <c r="L562" s="713"/>
      <c r="M562" s="713"/>
      <c r="N562" s="713"/>
    </row>
    <row r="563">
      <c r="C563" s="483"/>
      <c r="D563" s="355"/>
      <c r="E563" s="672"/>
      <c r="F563" s="255"/>
      <c r="G563" s="261"/>
      <c r="H563" s="264"/>
      <c r="I563" s="483"/>
      <c r="J563" s="718"/>
      <c r="L563" s="713"/>
      <c r="M563" s="713"/>
      <c r="N563" s="713"/>
    </row>
    <row r="564">
      <c r="C564" s="483"/>
      <c r="D564" s="355"/>
      <c r="E564" s="672"/>
      <c r="F564" s="255"/>
      <c r="G564" s="261"/>
      <c r="H564" s="264"/>
      <c r="I564" s="483"/>
      <c r="J564" s="718"/>
      <c r="L564" s="713"/>
      <c r="M564" s="713"/>
      <c r="N564" s="713"/>
    </row>
    <row r="565">
      <c r="C565" s="483"/>
      <c r="D565" s="355"/>
      <c r="E565" s="672"/>
      <c r="F565" s="255"/>
      <c r="G565" s="261"/>
      <c r="H565" s="264"/>
      <c r="I565" s="483"/>
      <c r="J565" s="718"/>
      <c r="L565" s="713"/>
      <c r="M565" s="713"/>
      <c r="N565" s="713"/>
    </row>
    <row r="566">
      <c r="C566" s="483"/>
      <c r="D566" s="355"/>
      <c r="E566" s="672"/>
      <c r="F566" s="255"/>
      <c r="G566" s="261"/>
      <c r="H566" s="264"/>
      <c r="I566" s="483"/>
      <c r="J566" s="718"/>
      <c r="L566" s="713"/>
      <c r="M566" s="713"/>
      <c r="N566" s="713"/>
    </row>
    <row r="567">
      <c r="C567" s="483"/>
      <c r="D567" s="355"/>
      <c r="E567" s="672"/>
      <c r="F567" s="255"/>
      <c r="G567" s="261"/>
      <c r="H567" s="264"/>
      <c r="I567" s="483"/>
      <c r="J567" s="718"/>
      <c r="L567" s="713"/>
      <c r="M567" s="713"/>
      <c r="N567" s="713"/>
    </row>
    <row r="568">
      <c r="C568" s="483"/>
      <c r="D568" s="355"/>
      <c r="E568" s="672"/>
      <c r="F568" s="255"/>
      <c r="G568" s="261"/>
      <c r="H568" s="264"/>
      <c r="I568" s="483"/>
      <c r="J568" s="718"/>
      <c r="L568" s="713"/>
      <c r="M568" s="713"/>
      <c r="N568" s="713"/>
    </row>
    <row r="569">
      <c r="C569" s="483"/>
      <c r="D569" s="355"/>
      <c r="E569" s="672"/>
      <c r="F569" s="255"/>
      <c r="G569" s="261"/>
      <c r="H569" s="264"/>
      <c r="I569" s="483"/>
      <c r="J569" s="718"/>
      <c r="L569" s="713"/>
      <c r="M569" s="713"/>
      <c r="N569" s="713"/>
    </row>
    <row r="570">
      <c r="C570" s="483"/>
      <c r="D570" s="355"/>
      <c r="E570" s="672"/>
      <c r="F570" s="255"/>
      <c r="G570" s="261"/>
      <c r="H570" s="264"/>
      <c r="I570" s="483"/>
      <c r="J570" s="718"/>
      <c r="L570" s="713"/>
      <c r="M570" s="713"/>
      <c r="N570" s="713"/>
    </row>
    <row r="571">
      <c r="C571" s="483"/>
      <c r="D571" s="355"/>
      <c r="E571" s="672"/>
      <c r="F571" s="255"/>
      <c r="G571" s="261"/>
      <c r="H571" s="264"/>
      <c r="I571" s="483"/>
      <c r="J571" s="718"/>
      <c r="L571" s="713"/>
      <c r="M571" s="713"/>
      <c r="N571" s="713"/>
    </row>
    <row r="572">
      <c r="C572" s="483"/>
      <c r="D572" s="355"/>
      <c r="E572" s="672"/>
      <c r="F572" s="255"/>
      <c r="G572" s="261"/>
      <c r="H572" s="264"/>
      <c r="I572" s="483"/>
      <c r="J572" s="718"/>
      <c r="L572" s="713"/>
      <c r="M572" s="713"/>
      <c r="N572" s="713"/>
    </row>
    <row r="573">
      <c r="C573" s="483"/>
      <c r="D573" s="355"/>
      <c r="E573" s="672"/>
      <c r="F573" s="255"/>
      <c r="G573" s="261"/>
      <c r="H573" s="264"/>
      <c r="I573" s="483"/>
      <c r="J573" s="718"/>
      <c r="L573" s="713"/>
      <c r="M573" s="713"/>
      <c r="N573" s="713"/>
    </row>
    <row r="574">
      <c r="C574" s="483"/>
      <c r="D574" s="355"/>
      <c r="E574" s="672"/>
      <c r="F574" s="255"/>
      <c r="G574" s="261"/>
      <c r="H574" s="264"/>
      <c r="I574" s="483"/>
      <c r="J574" s="718"/>
      <c r="L574" s="713"/>
      <c r="M574" s="713"/>
      <c r="N574" s="713"/>
    </row>
    <row r="575">
      <c r="C575" s="483"/>
      <c r="D575" s="355"/>
      <c r="E575" s="672"/>
      <c r="F575" s="255"/>
      <c r="G575" s="261"/>
      <c r="H575" s="264"/>
      <c r="I575" s="483"/>
      <c r="J575" s="718"/>
      <c r="L575" s="713"/>
      <c r="M575" s="713"/>
      <c r="N575" s="713"/>
    </row>
    <row r="576">
      <c r="C576" s="483"/>
      <c r="D576" s="355"/>
      <c r="E576" s="672"/>
      <c r="F576" s="255"/>
      <c r="G576" s="261"/>
      <c r="H576" s="264"/>
      <c r="I576" s="483"/>
      <c r="J576" s="718"/>
      <c r="L576" s="713"/>
      <c r="M576" s="713"/>
      <c r="N576" s="713"/>
    </row>
    <row r="577">
      <c r="C577" s="483"/>
      <c r="D577" s="355"/>
      <c r="E577" s="672"/>
      <c r="F577" s="255"/>
      <c r="G577" s="261"/>
      <c r="H577" s="264"/>
      <c r="I577" s="483"/>
      <c r="J577" s="718"/>
      <c r="L577" s="713"/>
      <c r="M577" s="713"/>
      <c r="N577" s="713"/>
    </row>
    <row r="578">
      <c r="C578" s="483"/>
      <c r="D578" s="355"/>
      <c r="E578" s="672"/>
      <c r="F578" s="255"/>
      <c r="G578" s="261"/>
      <c r="H578" s="264"/>
      <c r="I578" s="483"/>
      <c r="J578" s="718"/>
      <c r="L578" s="713"/>
      <c r="M578" s="713"/>
      <c r="N578" s="713"/>
    </row>
    <row r="579">
      <c r="C579" s="483"/>
      <c r="D579" s="355"/>
      <c r="E579" s="672"/>
      <c r="F579" s="255"/>
      <c r="G579" s="261"/>
      <c r="H579" s="264"/>
      <c r="I579" s="483"/>
      <c r="J579" s="718"/>
      <c r="L579" s="713"/>
      <c r="M579" s="713"/>
      <c r="N579" s="713"/>
    </row>
    <row r="580">
      <c r="C580" s="483"/>
      <c r="D580" s="355"/>
      <c r="E580" s="672"/>
      <c r="F580" s="255"/>
      <c r="G580" s="261"/>
      <c r="H580" s="264"/>
      <c r="I580" s="483"/>
      <c r="J580" s="718"/>
      <c r="L580" s="713"/>
      <c r="M580" s="713"/>
      <c r="N580" s="713"/>
    </row>
    <row r="581">
      <c r="C581" s="483"/>
      <c r="D581" s="355"/>
      <c r="E581" s="672"/>
      <c r="F581" s="255"/>
      <c r="G581" s="261"/>
      <c r="H581" s="264"/>
      <c r="I581" s="483"/>
      <c r="J581" s="718"/>
      <c r="L581" s="713"/>
      <c r="M581" s="713"/>
      <c r="N581" s="713"/>
    </row>
    <row r="582">
      <c r="C582" s="483"/>
      <c r="D582" s="355"/>
      <c r="E582" s="672"/>
      <c r="F582" s="255"/>
      <c r="G582" s="261"/>
      <c r="H582" s="264"/>
      <c r="I582" s="483"/>
      <c r="J582" s="718"/>
      <c r="L582" s="713"/>
      <c r="M582" s="713"/>
      <c r="N582" s="713"/>
    </row>
    <row r="583">
      <c r="C583" s="483"/>
      <c r="D583" s="355"/>
      <c r="E583" s="672"/>
      <c r="F583" s="255"/>
      <c r="G583" s="261"/>
      <c r="H583" s="264"/>
      <c r="I583" s="483"/>
      <c r="J583" s="718"/>
      <c r="L583" s="713"/>
      <c r="M583" s="713"/>
      <c r="N583" s="713"/>
    </row>
    <row r="584">
      <c r="C584" s="483"/>
      <c r="D584" s="355"/>
      <c r="E584" s="672"/>
      <c r="F584" s="255"/>
      <c r="G584" s="261"/>
      <c r="H584" s="264"/>
      <c r="I584" s="483"/>
      <c r="J584" s="718"/>
      <c r="L584" s="713"/>
      <c r="M584" s="713"/>
      <c r="N584" s="713"/>
    </row>
    <row r="585">
      <c r="C585" s="483"/>
      <c r="D585" s="355"/>
      <c r="E585" s="672"/>
      <c r="F585" s="255"/>
      <c r="G585" s="261"/>
      <c r="H585" s="264"/>
      <c r="I585" s="483"/>
      <c r="J585" s="718"/>
      <c r="L585" s="713"/>
      <c r="M585" s="713"/>
      <c r="N585" s="713"/>
    </row>
    <row r="586">
      <c r="C586" s="483"/>
      <c r="D586" s="355"/>
      <c r="E586" s="672"/>
      <c r="F586" s="255"/>
      <c r="G586" s="261"/>
      <c r="H586" s="264"/>
      <c r="I586" s="483"/>
      <c r="J586" s="718"/>
      <c r="L586" s="713"/>
      <c r="M586" s="713"/>
      <c r="N586" s="713"/>
    </row>
    <row r="587">
      <c r="C587" s="483"/>
      <c r="D587" s="355"/>
      <c r="E587" s="672"/>
      <c r="F587" s="255"/>
      <c r="G587" s="261"/>
      <c r="H587" s="264"/>
      <c r="I587" s="483"/>
      <c r="J587" s="718"/>
      <c r="L587" s="713"/>
      <c r="M587" s="713"/>
      <c r="N587" s="713"/>
    </row>
    <row r="588">
      <c r="C588" s="483"/>
      <c r="D588" s="355"/>
      <c r="E588" s="672"/>
      <c r="F588" s="255"/>
      <c r="G588" s="261"/>
      <c r="H588" s="264"/>
      <c r="I588" s="483"/>
      <c r="J588" s="718"/>
      <c r="L588" s="713"/>
      <c r="M588" s="713"/>
      <c r="N588" s="713"/>
    </row>
    <row r="589">
      <c r="C589" s="483"/>
      <c r="D589" s="355"/>
      <c r="E589" s="672"/>
      <c r="F589" s="255"/>
      <c r="G589" s="261"/>
      <c r="H589" s="264"/>
      <c r="I589" s="483"/>
      <c r="J589" s="718"/>
      <c r="L589" s="713"/>
      <c r="M589" s="713"/>
      <c r="N589" s="713"/>
    </row>
    <row r="590">
      <c r="C590" s="483"/>
      <c r="D590" s="355"/>
      <c r="E590" s="672"/>
      <c r="F590" s="255"/>
      <c r="G590" s="261"/>
      <c r="H590" s="264"/>
      <c r="I590" s="483"/>
      <c r="J590" s="718"/>
      <c r="L590" s="713"/>
      <c r="M590" s="713"/>
      <c r="N590" s="713"/>
    </row>
    <row r="591">
      <c r="C591" s="483"/>
      <c r="D591" s="355"/>
      <c r="E591" s="672"/>
      <c r="F591" s="255"/>
      <c r="G591" s="261"/>
      <c r="H591" s="264"/>
      <c r="I591" s="483"/>
      <c r="J591" s="718"/>
      <c r="L591" s="713"/>
      <c r="M591" s="713"/>
      <c r="N591" s="713"/>
    </row>
    <row r="592">
      <c r="C592" s="483"/>
      <c r="D592" s="355"/>
      <c r="E592" s="672"/>
      <c r="F592" s="255"/>
      <c r="G592" s="261"/>
      <c r="H592" s="264"/>
      <c r="I592" s="483"/>
      <c r="J592" s="718"/>
      <c r="L592" s="713"/>
      <c r="M592" s="713"/>
      <c r="N592" s="713"/>
    </row>
    <row r="593">
      <c r="C593" s="483"/>
      <c r="D593" s="355"/>
      <c r="E593" s="672"/>
      <c r="F593" s="255"/>
      <c r="G593" s="261"/>
      <c r="H593" s="264"/>
      <c r="I593" s="483"/>
      <c r="J593" s="718"/>
      <c r="L593" s="713"/>
      <c r="M593" s="713"/>
      <c r="N593" s="713"/>
    </row>
    <row r="594">
      <c r="C594" s="483"/>
      <c r="D594" s="355"/>
      <c r="E594" s="672"/>
      <c r="F594" s="255"/>
      <c r="G594" s="261"/>
      <c r="H594" s="264"/>
      <c r="I594" s="483"/>
      <c r="J594" s="718"/>
      <c r="L594" s="713"/>
      <c r="M594" s="713"/>
      <c r="N594" s="713"/>
    </row>
    <row r="595">
      <c r="C595" s="483"/>
      <c r="D595" s="355"/>
      <c r="E595" s="672"/>
      <c r="F595" s="255"/>
      <c r="G595" s="261"/>
      <c r="H595" s="264"/>
      <c r="I595" s="483"/>
      <c r="J595" s="718"/>
      <c r="L595" s="713"/>
      <c r="M595" s="713"/>
      <c r="N595" s="713"/>
    </row>
    <row r="596">
      <c r="C596" s="483"/>
      <c r="D596" s="355"/>
      <c r="E596" s="672"/>
      <c r="F596" s="255"/>
      <c r="G596" s="261"/>
      <c r="H596" s="264"/>
      <c r="I596" s="483"/>
      <c r="J596" s="718"/>
      <c r="L596" s="713"/>
      <c r="M596" s="713"/>
      <c r="N596" s="713"/>
    </row>
    <row r="597">
      <c r="C597" s="483"/>
      <c r="D597" s="355"/>
      <c r="E597" s="672"/>
      <c r="F597" s="255"/>
      <c r="G597" s="261"/>
      <c r="H597" s="264"/>
      <c r="I597" s="483"/>
      <c r="J597" s="718"/>
      <c r="L597" s="713"/>
      <c r="M597" s="713"/>
      <c r="N597" s="713"/>
    </row>
    <row r="598">
      <c r="C598" s="483"/>
      <c r="D598" s="355"/>
      <c r="E598" s="672"/>
      <c r="F598" s="255"/>
      <c r="G598" s="261"/>
      <c r="H598" s="264"/>
      <c r="I598" s="483"/>
      <c r="J598" s="718"/>
      <c r="L598" s="713"/>
      <c r="M598" s="713"/>
      <c r="N598" s="713"/>
    </row>
    <row r="599">
      <c r="C599" s="483"/>
      <c r="D599" s="355"/>
      <c r="E599" s="672"/>
      <c r="F599" s="255"/>
      <c r="G599" s="261"/>
      <c r="H599" s="264"/>
      <c r="I599" s="483"/>
      <c r="J599" s="718"/>
      <c r="L599" s="713"/>
      <c r="M599" s="713"/>
      <c r="N599" s="713"/>
    </row>
    <row r="600">
      <c r="C600" s="483"/>
      <c r="D600" s="355"/>
      <c r="E600" s="672"/>
      <c r="F600" s="255"/>
      <c r="G600" s="261"/>
      <c r="H600" s="264"/>
      <c r="I600" s="483"/>
      <c r="J600" s="718"/>
      <c r="L600" s="713"/>
      <c r="M600" s="713"/>
      <c r="N600" s="713"/>
    </row>
    <row r="601">
      <c r="C601" s="483"/>
      <c r="D601" s="355"/>
      <c r="E601" s="672"/>
      <c r="F601" s="255"/>
      <c r="G601" s="261"/>
      <c r="H601" s="264"/>
      <c r="I601" s="483"/>
      <c r="J601" s="718"/>
      <c r="L601" s="713"/>
      <c r="M601" s="713"/>
      <c r="N601" s="713"/>
    </row>
    <row r="602">
      <c r="C602" s="483"/>
      <c r="D602" s="355"/>
      <c r="E602" s="672"/>
      <c r="F602" s="255"/>
      <c r="G602" s="261"/>
      <c r="H602" s="264"/>
      <c r="I602" s="483"/>
      <c r="J602" s="718"/>
      <c r="L602" s="713"/>
      <c r="M602" s="713"/>
      <c r="N602" s="713"/>
    </row>
    <row r="603">
      <c r="C603" s="483"/>
      <c r="D603" s="355"/>
      <c r="E603" s="672"/>
      <c r="F603" s="255"/>
      <c r="G603" s="261"/>
      <c r="H603" s="264"/>
      <c r="I603" s="483"/>
      <c r="J603" s="718"/>
      <c r="L603" s="713"/>
      <c r="M603" s="713"/>
      <c r="N603" s="713"/>
    </row>
    <row r="604">
      <c r="C604" s="483"/>
      <c r="D604" s="355"/>
      <c r="E604" s="672"/>
      <c r="F604" s="255"/>
      <c r="G604" s="261"/>
      <c r="H604" s="264"/>
      <c r="I604" s="483"/>
      <c r="J604" s="718"/>
      <c r="L604" s="713"/>
      <c r="M604" s="713"/>
      <c r="N604" s="713"/>
    </row>
    <row r="605">
      <c r="C605" s="483"/>
      <c r="D605" s="355"/>
      <c r="E605" s="672"/>
      <c r="F605" s="255"/>
      <c r="G605" s="261"/>
      <c r="H605" s="264"/>
      <c r="I605" s="483"/>
      <c r="J605" s="718"/>
      <c r="L605" s="713"/>
      <c r="M605" s="713"/>
      <c r="N605" s="713"/>
    </row>
    <row r="606">
      <c r="C606" s="483"/>
      <c r="D606" s="355"/>
      <c r="E606" s="672"/>
      <c r="F606" s="255"/>
      <c r="G606" s="261"/>
      <c r="H606" s="264"/>
      <c r="I606" s="483"/>
      <c r="J606" s="718"/>
      <c r="L606" s="713"/>
      <c r="M606" s="713"/>
      <c r="N606" s="713"/>
    </row>
    <row r="607">
      <c r="C607" s="483"/>
      <c r="D607" s="355"/>
      <c r="E607" s="672"/>
      <c r="F607" s="255"/>
      <c r="G607" s="261"/>
      <c r="H607" s="264"/>
      <c r="I607" s="483"/>
      <c r="J607" s="718"/>
      <c r="L607" s="713"/>
      <c r="M607" s="713"/>
      <c r="N607" s="713"/>
    </row>
    <row r="608">
      <c r="C608" s="483"/>
      <c r="D608" s="355"/>
      <c r="E608" s="672"/>
      <c r="F608" s="255"/>
      <c r="G608" s="261"/>
      <c r="H608" s="264"/>
      <c r="I608" s="483"/>
      <c r="J608" s="718"/>
      <c r="L608" s="713"/>
      <c r="M608" s="713"/>
      <c r="N608" s="713"/>
    </row>
    <row r="609">
      <c r="C609" s="483"/>
      <c r="D609" s="355"/>
      <c r="E609" s="672"/>
      <c r="F609" s="255"/>
      <c r="G609" s="261"/>
      <c r="H609" s="264"/>
      <c r="I609" s="483"/>
      <c r="J609" s="718"/>
      <c r="L609" s="713"/>
      <c r="M609" s="713"/>
      <c r="N609" s="713"/>
    </row>
    <row r="610">
      <c r="C610" s="483"/>
      <c r="D610" s="355"/>
      <c r="E610" s="672"/>
      <c r="F610" s="255"/>
      <c r="G610" s="261"/>
      <c r="H610" s="264"/>
      <c r="I610" s="483"/>
      <c r="J610" s="718"/>
      <c r="L610" s="713"/>
      <c r="M610" s="713"/>
      <c r="N610" s="713"/>
    </row>
    <row r="611">
      <c r="C611" s="483"/>
      <c r="D611" s="355"/>
      <c r="E611" s="672"/>
      <c r="F611" s="255"/>
      <c r="G611" s="261"/>
      <c r="H611" s="264"/>
      <c r="I611" s="483"/>
      <c r="J611" s="718"/>
      <c r="L611" s="713"/>
      <c r="M611" s="713"/>
      <c r="N611" s="713"/>
    </row>
    <row r="612">
      <c r="C612" s="483"/>
      <c r="D612" s="355"/>
      <c r="E612" s="672"/>
      <c r="F612" s="255"/>
      <c r="G612" s="261"/>
      <c r="H612" s="264"/>
      <c r="I612" s="483"/>
      <c r="J612" s="718"/>
      <c r="L612" s="713"/>
      <c r="M612" s="713"/>
      <c r="N612" s="713"/>
    </row>
    <row r="613">
      <c r="C613" s="483"/>
      <c r="D613" s="355"/>
      <c r="E613" s="672"/>
      <c r="F613" s="255"/>
      <c r="G613" s="261"/>
      <c r="H613" s="264"/>
      <c r="I613" s="483"/>
      <c r="J613" s="718"/>
      <c r="L613" s="713"/>
      <c r="M613" s="713"/>
      <c r="N613" s="713"/>
    </row>
    <row r="614">
      <c r="C614" s="483"/>
      <c r="D614" s="355"/>
      <c r="E614" s="672"/>
      <c r="F614" s="255"/>
      <c r="G614" s="261"/>
      <c r="H614" s="264"/>
      <c r="I614" s="483"/>
      <c r="J614" s="718"/>
      <c r="L614" s="713"/>
      <c r="M614" s="713"/>
      <c r="N614" s="713"/>
    </row>
    <row r="615">
      <c r="C615" s="483"/>
      <c r="D615" s="355"/>
      <c r="E615" s="672"/>
      <c r="F615" s="255"/>
      <c r="G615" s="261"/>
      <c r="H615" s="264"/>
      <c r="I615" s="483"/>
      <c r="J615" s="718"/>
      <c r="L615" s="713"/>
      <c r="M615" s="713"/>
      <c r="N615" s="713"/>
    </row>
    <row r="616">
      <c r="C616" s="483"/>
      <c r="D616" s="355"/>
      <c r="E616" s="672"/>
      <c r="F616" s="255"/>
      <c r="G616" s="261"/>
      <c r="H616" s="264"/>
      <c r="I616" s="483"/>
      <c r="J616" s="718"/>
      <c r="L616" s="713"/>
      <c r="M616" s="713"/>
      <c r="N616" s="713"/>
    </row>
    <row r="617">
      <c r="C617" s="483"/>
      <c r="D617" s="355"/>
      <c r="E617" s="672"/>
      <c r="F617" s="255"/>
      <c r="G617" s="261"/>
      <c r="H617" s="264"/>
      <c r="I617" s="483"/>
      <c r="J617" s="718"/>
      <c r="L617" s="713"/>
      <c r="M617" s="713"/>
      <c r="N617" s="713"/>
    </row>
    <row r="618">
      <c r="C618" s="483"/>
      <c r="D618" s="355"/>
      <c r="E618" s="672"/>
      <c r="F618" s="255"/>
      <c r="G618" s="261"/>
      <c r="H618" s="264"/>
      <c r="I618" s="483"/>
      <c r="J618" s="718"/>
      <c r="L618" s="713"/>
      <c r="M618" s="713"/>
      <c r="N618" s="713"/>
    </row>
    <row r="619">
      <c r="C619" s="483"/>
      <c r="D619" s="355"/>
      <c r="E619" s="672"/>
      <c r="F619" s="255"/>
      <c r="G619" s="261"/>
      <c r="H619" s="264"/>
      <c r="I619" s="483"/>
      <c r="J619" s="718"/>
      <c r="L619" s="713"/>
      <c r="M619" s="713"/>
      <c r="N619" s="713"/>
    </row>
    <row r="620">
      <c r="C620" s="483"/>
      <c r="D620" s="355"/>
      <c r="E620" s="672"/>
      <c r="F620" s="255"/>
      <c r="G620" s="261"/>
      <c r="H620" s="264"/>
      <c r="I620" s="483"/>
      <c r="J620" s="718"/>
      <c r="L620" s="713"/>
      <c r="M620" s="713"/>
      <c r="N620" s="713"/>
    </row>
    <row r="621">
      <c r="C621" s="483"/>
      <c r="D621" s="355"/>
      <c r="E621" s="672"/>
      <c r="F621" s="255"/>
      <c r="G621" s="261"/>
      <c r="H621" s="264"/>
      <c r="I621" s="483"/>
      <c r="J621" s="718"/>
      <c r="L621" s="713"/>
      <c r="M621" s="713"/>
      <c r="N621" s="713"/>
    </row>
    <row r="622">
      <c r="C622" s="483"/>
      <c r="D622" s="355"/>
      <c r="E622" s="672"/>
      <c r="F622" s="255"/>
      <c r="G622" s="261"/>
      <c r="H622" s="264"/>
      <c r="I622" s="483"/>
      <c r="J622" s="718"/>
      <c r="L622" s="713"/>
      <c r="M622" s="713"/>
      <c r="N622" s="713"/>
    </row>
    <row r="623">
      <c r="C623" s="483"/>
      <c r="D623" s="355"/>
      <c r="E623" s="672"/>
      <c r="F623" s="255"/>
      <c r="G623" s="261"/>
      <c r="H623" s="264"/>
      <c r="I623" s="483"/>
      <c r="J623" s="718"/>
      <c r="L623" s="713"/>
      <c r="M623" s="713"/>
      <c r="N623" s="713"/>
    </row>
    <row r="624">
      <c r="C624" s="483"/>
      <c r="D624" s="355"/>
      <c r="E624" s="672"/>
      <c r="F624" s="255"/>
      <c r="G624" s="261"/>
      <c r="H624" s="264"/>
      <c r="I624" s="483"/>
      <c r="J624" s="718"/>
      <c r="L624" s="713"/>
      <c r="M624" s="713"/>
      <c r="N624" s="713"/>
    </row>
    <row r="625">
      <c r="C625" s="483"/>
      <c r="D625" s="355"/>
      <c r="E625" s="672"/>
      <c r="F625" s="255"/>
      <c r="G625" s="261"/>
      <c r="H625" s="264"/>
      <c r="I625" s="483"/>
      <c r="J625" s="718"/>
      <c r="L625" s="713"/>
      <c r="M625" s="713"/>
      <c r="N625" s="713"/>
    </row>
    <row r="626">
      <c r="C626" s="483"/>
      <c r="D626" s="355"/>
      <c r="E626" s="672"/>
      <c r="F626" s="255"/>
      <c r="G626" s="261"/>
      <c r="H626" s="264"/>
      <c r="I626" s="483"/>
      <c r="J626" s="718"/>
      <c r="L626" s="713"/>
      <c r="M626" s="713"/>
      <c r="N626" s="713"/>
    </row>
    <row r="627">
      <c r="C627" s="483"/>
      <c r="D627" s="355"/>
      <c r="E627" s="672"/>
      <c r="F627" s="255"/>
      <c r="G627" s="261"/>
      <c r="H627" s="264"/>
      <c r="I627" s="483"/>
      <c r="J627" s="718"/>
      <c r="L627" s="713"/>
      <c r="M627" s="713"/>
      <c r="N627" s="713"/>
    </row>
    <row r="628">
      <c r="C628" s="483"/>
      <c r="D628" s="355"/>
      <c r="E628" s="672"/>
      <c r="F628" s="255"/>
      <c r="G628" s="261"/>
      <c r="H628" s="264"/>
      <c r="I628" s="483"/>
      <c r="J628" s="718"/>
      <c r="L628" s="713"/>
      <c r="M628" s="713"/>
      <c r="N628" s="713"/>
    </row>
    <row r="629">
      <c r="C629" s="483"/>
      <c r="D629" s="355"/>
      <c r="E629" s="672"/>
      <c r="F629" s="255"/>
      <c r="G629" s="261"/>
      <c r="H629" s="264"/>
      <c r="I629" s="483"/>
      <c r="J629" s="718"/>
      <c r="L629" s="713"/>
      <c r="M629" s="713"/>
      <c r="N629" s="713"/>
    </row>
    <row r="630">
      <c r="C630" s="483"/>
      <c r="D630" s="355"/>
      <c r="E630" s="672"/>
      <c r="F630" s="255"/>
      <c r="G630" s="261"/>
      <c r="H630" s="264"/>
      <c r="I630" s="483"/>
      <c r="J630" s="718"/>
      <c r="L630" s="713"/>
      <c r="M630" s="713"/>
      <c r="N630" s="713"/>
    </row>
    <row r="631">
      <c r="C631" s="483"/>
      <c r="D631" s="355"/>
      <c r="E631" s="672"/>
      <c r="F631" s="255"/>
      <c r="G631" s="261"/>
      <c r="H631" s="264"/>
      <c r="I631" s="483"/>
      <c r="J631" s="718"/>
      <c r="L631" s="713"/>
      <c r="M631" s="713"/>
      <c r="N631" s="713"/>
    </row>
    <row r="632">
      <c r="C632" s="483"/>
      <c r="D632" s="355"/>
      <c r="E632" s="672"/>
      <c r="F632" s="255"/>
      <c r="G632" s="261"/>
      <c r="H632" s="264"/>
      <c r="I632" s="483"/>
      <c r="J632" s="718"/>
      <c r="L632" s="713"/>
      <c r="M632" s="713"/>
      <c r="N632" s="713"/>
    </row>
    <row r="633">
      <c r="C633" s="483"/>
      <c r="D633" s="355"/>
      <c r="E633" s="672"/>
      <c r="F633" s="255"/>
      <c r="G633" s="261"/>
      <c r="H633" s="264"/>
      <c r="I633" s="483"/>
      <c r="J633" s="718"/>
      <c r="L633" s="713"/>
      <c r="M633" s="713"/>
      <c r="N633" s="713"/>
    </row>
    <row r="634">
      <c r="C634" s="483"/>
      <c r="D634" s="355"/>
      <c r="E634" s="672"/>
      <c r="F634" s="255"/>
      <c r="G634" s="261"/>
      <c r="H634" s="264"/>
      <c r="I634" s="483"/>
      <c r="J634" s="718"/>
      <c r="L634" s="713"/>
      <c r="M634" s="713"/>
      <c r="N634" s="713"/>
    </row>
    <row r="635">
      <c r="C635" s="483"/>
      <c r="D635" s="355"/>
      <c r="E635" s="672"/>
      <c r="F635" s="255"/>
      <c r="G635" s="261"/>
      <c r="H635" s="264"/>
      <c r="I635" s="483"/>
      <c r="J635" s="718"/>
      <c r="L635" s="713"/>
      <c r="M635" s="713"/>
      <c r="N635" s="713"/>
    </row>
    <row r="636">
      <c r="C636" s="483"/>
      <c r="D636" s="355"/>
      <c r="E636" s="672"/>
      <c r="F636" s="255"/>
      <c r="G636" s="261"/>
      <c r="H636" s="264"/>
      <c r="I636" s="483"/>
      <c r="J636" s="718"/>
      <c r="L636" s="713"/>
      <c r="M636" s="713"/>
      <c r="N636" s="713"/>
    </row>
    <row r="637">
      <c r="C637" s="483"/>
      <c r="D637" s="355"/>
      <c r="E637" s="672"/>
      <c r="F637" s="255"/>
      <c r="G637" s="261"/>
      <c r="H637" s="264"/>
      <c r="I637" s="483"/>
      <c r="J637" s="718"/>
      <c r="L637" s="713"/>
      <c r="M637" s="713"/>
      <c r="N637" s="713"/>
    </row>
    <row r="638">
      <c r="C638" s="483"/>
      <c r="D638" s="355"/>
      <c r="E638" s="672"/>
      <c r="F638" s="255"/>
      <c r="G638" s="261"/>
      <c r="H638" s="264"/>
      <c r="I638" s="483"/>
      <c r="J638" s="718"/>
      <c r="L638" s="713"/>
      <c r="M638" s="713"/>
      <c r="N638" s="713"/>
    </row>
    <row r="639">
      <c r="C639" s="483"/>
      <c r="D639" s="355"/>
      <c r="E639" s="672"/>
      <c r="F639" s="255"/>
      <c r="G639" s="261"/>
      <c r="H639" s="264"/>
      <c r="I639" s="483"/>
      <c r="J639" s="718"/>
      <c r="L639" s="713"/>
      <c r="M639" s="713"/>
      <c r="N639" s="713"/>
    </row>
    <row r="640">
      <c r="C640" s="483"/>
      <c r="D640" s="355"/>
      <c r="E640" s="672"/>
      <c r="F640" s="255"/>
      <c r="G640" s="261"/>
      <c r="H640" s="264"/>
      <c r="I640" s="483"/>
      <c r="J640" s="718"/>
      <c r="L640" s="713"/>
      <c r="M640" s="713"/>
      <c r="N640" s="713"/>
    </row>
    <row r="641">
      <c r="C641" s="483"/>
      <c r="D641" s="355"/>
      <c r="E641" s="672"/>
      <c r="F641" s="255"/>
      <c r="G641" s="261"/>
      <c r="H641" s="264"/>
      <c r="I641" s="483"/>
      <c r="J641" s="718"/>
      <c r="L641" s="713"/>
      <c r="M641" s="713"/>
      <c r="N641" s="713"/>
    </row>
    <row r="642">
      <c r="C642" s="483"/>
      <c r="D642" s="355"/>
      <c r="E642" s="672"/>
      <c r="F642" s="255"/>
      <c r="G642" s="261"/>
      <c r="H642" s="264"/>
      <c r="I642" s="483"/>
      <c r="J642" s="718"/>
      <c r="L642" s="713"/>
      <c r="M642" s="713"/>
      <c r="N642" s="713"/>
    </row>
    <row r="643">
      <c r="C643" s="483"/>
      <c r="D643" s="355"/>
      <c r="E643" s="672"/>
      <c r="F643" s="255"/>
      <c r="G643" s="261"/>
      <c r="H643" s="264"/>
      <c r="I643" s="483"/>
      <c r="J643" s="718"/>
      <c r="L643" s="713"/>
      <c r="M643" s="713"/>
      <c r="N643" s="713"/>
    </row>
    <row r="644">
      <c r="C644" s="483"/>
      <c r="D644" s="355"/>
      <c r="E644" s="672"/>
      <c r="F644" s="255"/>
      <c r="G644" s="261"/>
      <c r="H644" s="264"/>
      <c r="I644" s="483"/>
      <c r="J644" s="718"/>
      <c r="L644" s="713"/>
      <c r="M644" s="713"/>
      <c r="N644" s="713"/>
    </row>
    <row r="645">
      <c r="C645" s="483"/>
      <c r="D645" s="355"/>
      <c r="E645" s="672"/>
      <c r="F645" s="255"/>
      <c r="G645" s="261"/>
      <c r="H645" s="264"/>
      <c r="I645" s="483"/>
      <c r="J645" s="718"/>
      <c r="L645" s="713"/>
      <c r="M645" s="713"/>
      <c r="N645" s="713"/>
    </row>
    <row r="646">
      <c r="C646" s="483"/>
      <c r="D646" s="355"/>
      <c r="E646" s="672"/>
      <c r="F646" s="255"/>
      <c r="G646" s="261"/>
      <c r="H646" s="264"/>
      <c r="I646" s="483"/>
      <c r="J646" s="718"/>
      <c r="L646" s="713"/>
      <c r="M646" s="713"/>
      <c r="N646" s="713"/>
    </row>
    <row r="647">
      <c r="C647" s="483"/>
      <c r="D647" s="355"/>
      <c r="E647" s="672"/>
      <c r="F647" s="255"/>
      <c r="G647" s="261"/>
      <c r="H647" s="264"/>
      <c r="I647" s="483"/>
      <c r="J647" s="718"/>
      <c r="L647" s="713"/>
      <c r="M647" s="713"/>
      <c r="N647" s="713"/>
    </row>
    <row r="648">
      <c r="C648" s="483"/>
      <c r="D648" s="355"/>
      <c r="E648" s="672"/>
      <c r="F648" s="255"/>
      <c r="G648" s="261"/>
      <c r="H648" s="264"/>
      <c r="I648" s="483"/>
      <c r="J648" s="718"/>
      <c r="L648" s="713"/>
      <c r="M648" s="713"/>
      <c r="N648" s="713"/>
    </row>
    <row r="649">
      <c r="C649" s="483"/>
      <c r="D649" s="355"/>
      <c r="E649" s="672"/>
      <c r="F649" s="255"/>
      <c r="G649" s="261"/>
      <c r="H649" s="264"/>
      <c r="I649" s="483"/>
      <c r="J649" s="718"/>
      <c r="L649" s="713"/>
      <c r="M649" s="713"/>
      <c r="N649" s="713"/>
    </row>
    <row r="650">
      <c r="C650" s="483"/>
      <c r="D650" s="355"/>
      <c r="E650" s="672"/>
      <c r="F650" s="255"/>
      <c r="G650" s="261"/>
      <c r="H650" s="264"/>
      <c r="I650" s="483"/>
      <c r="J650" s="718"/>
      <c r="L650" s="713"/>
      <c r="M650" s="713"/>
      <c r="N650" s="713"/>
    </row>
    <row r="651">
      <c r="C651" s="483"/>
      <c r="D651" s="355"/>
      <c r="E651" s="672"/>
      <c r="F651" s="255"/>
      <c r="G651" s="261"/>
      <c r="H651" s="264"/>
      <c r="I651" s="483"/>
      <c r="J651" s="718"/>
      <c r="L651" s="713"/>
      <c r="M651" s="713"/>
      <c r="N651" s="713"/>
    </row>
    <row r="652">
      <c r="C652" s="483"/>
      <c r="D652" s="355"/>
      <c r="E652" s="672"/>
      <c r="F652" s="255"/>
      <c r="G652" s="261"/>
      <c r="H652" s="264"/>
      <c r="I652" s="483"/>
      <c r="J652" s="718"/>
      <c r="L652" s="713"/>
      <c r="M652" s="713"/>
      <c r="N652" s="713"/>
    </row>
    <row r="653">
      <c r="C653" s="483"/>
      <c r="D653" s="355"/>
      <c r="E653" s="672"/>
      <c r="F653" s="255"/>
      <c r="G653" s="261"/>
      <c r="H653" s="264"/>
      <c r="I653" s="483"/>
      <c r="J653" s="718"/>
      <c r="L653" s="713"/>
      <c r="M653" s="713"/>
      <c r="N653" s="713"/>
    </row>
    <row r="654">
      <c r="C654" s="483"/>
      <c r="D654" s="355"/>
      <c r="E654" s="672"/>
      <c r="F654" s="255"/>
      <c r="G654" s="261"/>
      <c r="H654" s="264"/>
      <c r="I654" s="483"/>
      <c r="J654" s="718"/>
      <c r="L654" s="713"/>
      <c r="M654" s="713"/>
      <c r="N654" s="713"/>
    </row>
    <row r="655">
      <c r="C655" s="483"/>
      <c r="D655" s="355"/>
      <c r="E655" s="672"/>
      <c r="F655" s="255"/>
      <c r="G655" s="261"/>
      <c r="H655" s="264"/>
      <c r="I655" s="483"/>
      <c r="J655" s="718"/>
      <c r="L655" s="713"/>
      <c r="M655" s="713"/>
      <c r="N655" s="713"/>
    </row>
    <row r="656">
      <c r="C656" s="483"/>
      <c r="D656" s="355"/>
      <c r="E656" s="672"/>
      <c r="F656" s="255"/>
      <c r="G656" s="261"/>
      <c r="H656" s="264"/>
      <c r="I656" s="483"/>
      <c r="J656" s="718"/>
      <c r="L656" s="713"/>
      <c r="M656" s="713"/>
      <c r="N656" s="713"/>
    </row>
    <row r="657">
      <c r="C657" s="483"/>
      <c r="D657" s="355"/>
      <c r="E657" s="672"/>
      <c r="F657" s="255"/>
      <c r="G657" s="261"/>
      <c r="H657" s="264"/>
      <c r="I657" s="483"/>
      <c r="J657" s="718"/>
      <c r="L657" s="713"/>
      <c r="M657" s="713"/>
      <c r="N657" s="713"/>
    </row>
    <row r="658">
      <c r="C658" s="483"/>
      <c r="D658" s="355"/>
      <c r="E658" s="672"/>
      <c r="F658" s="255"/>
      <c r="G658" s="261"/>
      <c r="H658" s="264"/>
      <c r="I658" s="483"/>
      <c r="J658" s="718"/>
      <c r="L658" s="713"/>
      <c r="M658" s="713"/>
      <c r="N658" s="713"/>
    </row>
    <row r="659">
      <c r="C659" s="483"/>
      <c r="D659" s="355"/>
      <c r="E659" s="672"/>
      <c r="F659" s="255"/>
      <c r="G659" s="261"/>
      <c r="H659" s="264"/>
      <c r="I659" s="483"/>
      <c r="J659" s="718"/>
      <c r="L659" s="713"/>
      <c r="M659" s="713"/>
      <c r="N659" s="713"/>
    </row>
    <row r="660">
      <c r="C660" s="483"/>
      <c r="D660" s="355"/>
      <c r="E660" s="672"/>
      <c r="F660" s="255"/>
      <c r="G660" s="261"/>
      <c r="H660" s="264"/>
      <c r="I660" s="483"/>
      <c r="J660" s="718"/>
      <c r="L660" s="713"/>
      <c r="M660" s="713"/>
      <c r="N660" s="713"/>
    </row>
    <row r="661">
      <c r="C661" s="483"/>
      <c r="D661" s="355"/>
      <c r="E661" s="672"/>
      <c r="F661" s="255"/>
      <c r="G661" s="261"/>
      <c r="H661" s="264"/>
      <c r="I661" s="483"/>
      <c r="J661" s="718"/>
      <c r="L661" s="713"/>
      <c r="M661" s="713"/>
      <c r="N661" s="713"/>
    </row>
    <row r="662">
      <c r="C662" s="483"/>
      <c r="D662" s="355"/>
      <c r="E662" s="672"/>
      <c r="F662" s="255"/>
      <c r="G662" s="261"/>
      <c r="H662" s="264"/>
      <c r="I662" s="483"/>
      <c r="J662" s="718"/>
      <c r="L662" s="713"/>
      <c r="M662" s="713"/>
      <c r="N662" s="713"/>
    </row>
    <row r="663">
      <c r="C663" s="483"/>
      <c r="D663" s="355"/>
      <c r="E663" s="672"/>
      <c r="F663" s="255"/>
      <c r="G663" s="261"/>
      <c r="H663" s="264"/>
      <c r="I663" s="483"/>
      <c r="J663" s="718"/>
      <c r="L663" s="713"/>
      <c r="M663" s="713"/>
      <c r="N663" s="713"/>
    </row>
    <row r="664">
      <c r="C664" s="483"/>
      <c r="D664" s="355"/>
      <c r="E664" s="672"/>
      <c r="F664" s="255"/>
      <c r="G664" s="261"/>
      <c r="H664" s="264"/>
      <c r="I664" s="483"/>
      <c r="J664" s="718"/>
      <c r="L664" s="713"/>
      <c r="M664" s="713"/>
      <c r="N664" s="713"/>
    </row>
    <row r="665">
      <c r="C665" s="483"/>
      <c r="D665" s="355"/>
      <c r="E665" s="672"/>
      <c r="F665" s="255"/>
      <c r="G665" s="261"/>
      <c r="H665" s="264"/>
      <c r="I665" s="483"/>
      <c r="J665" s="718"/>
      <c r="L665" s="713"/>
      <c r="M665" s="713"/>
      <c r="N665" s="713"/>
    </row>
    <row r="666">
      <c r="C666" s="483"/>
      <c r="D666" s="355"/>
      <c r="E666" s="672"/>
      <c r="F666" s="255"/>
      <c r="G666" s="261"/>
      <c r="H666" s="264"/>
      <c r="I666" s="483"/>
      <c r="J666" s="718"/>
      <c r="L666" s="713"/>
      <c r="M666" s="713"/>
      <c r="N666" s="713"/>
    </row>
    <row r="667">
      <c r="C667" s="483"/>
      <c r="D667" s="355"/>
      <c r="E667" s="672"/>
      <c r="F667" s="255"/>
      <c r="G667" s="261"/>
      <c r="H667" s="264"/>
      <c r="I667" s="483"/>
      <c r="J667" s="718"/>
      <c r="L667" s="713"/>
      <c r="M667" s="713"/>
      <c r="N667" s="713"/>
    </row>
    <row r="668">
      <c r="C668" s="483"/>
      <c r="D668" s="355"/>
      <c r="E668" s="672"/>
      <c r="F668" s="255"/>
      <c r="G668" s="261"/>
      <c r="H668" s="264"/>
      <c r="I668" s="483"/>
      <c r="J668" s="718"/>
      <c r="L668" s="713"/>
      <c r="M668" s="713"/>
      <c r="N668" s="713"/>
    </row>
    <row r="669">
      <c r="C669" s="483"/>
      <c r="D669" s="355"/>
      <c r="E669" s="672"/>
      <c r="F669" s="255"/>
      <c r="G669" s="261"/>
      <c r="H669" s="264"/>
      <c r="I669" s="483"/>
      <c r="J669" s="718"/>
      <c r="L669" s="713"/>
      <c r="M669" s="713"/>
      <c r="N669" s="713"/>
    </row>
    <row r="670">
      <c r="C670" s="483"/>
      <c r="D670" s="355"/>
      <c r="E670" s="672"/>
      <c r="F670" s="255"/>
      <c r="G670" s="261"/>
      <c r="H670" s="264"/>
      <c r="I670" s="483"/>
      <c r="J670" s="718"/>
      <c r="L670" s="713"/>
      <c r="M670" s="713"/>
      <c r="N670" s="713"/>
    </row>
    <row r="671">
      <c r="C671" s="483"/>
      <c r="D671" s="355"/>
      <c r="E671" s="672"/>
      <c r="F671" s="255"/>
      <c r="G671" s="261"/>
      <c r="H671" s="264"/>
      <c r="I671" s="483"/>
      <c r="J671" s="718"/>
      <c r="L671" s="713"/>
      <c r="M671" s="713"/>
      <c r="N671" s="713"/>
    </row>
    <row r="672">
      <c r="C672" s="483"/>
      <c r="D672" s="355"/>
      <c r="E672" s="672"/>
      <c r="F672" s="255"/>
      <c r="G672" s="261"/>
      <c r="H672" s="264"/>
      <c r="I672" s="483"/>
      <c r="J672" s="718"/>
      <c r="L672" s="713"/>
      <c r="M672" s="713"/>
      <c r="N672" s="713"/>
    </row>
    <row r="673">
      <c r="C673" s="483"/>
      <c r="D673" s="355"/>
      <c r="E673" s="672"/>
      <c r="F673" s="255"/>
      <c r="G673" s="261"/>
      <c r="H673" s="264"/>
      <c r="I673" s="483"/>
      <c r="J673" s="718"/>
      <c r="L673" s="713"/>
      <c r="M673" s="713"/>
      <c r="N673" s="713"/>
    </row>
    <row r="674">
      <c r="C674" s="483"/>
      <c r="D674" s="355"/>
      <c r="E674" s="672"/>
      <c r="F674" s="255"/>
      <c r="G674" s="261"/>
      <c r="H674" s="264"/>
      <c r="I674" s="483"/>
      <c r="J674" s="718"/>
      <c r="L674" s="713"/>
      <c r="M674" s="713"/>
      <c r="N674" s="713"/>
    </row>
    <row r="675">
      <c r="C675" s="483"/>
      <c r="D675" s="355"/>
      <c r="E675" s="672"/>
      <c r="F675" s="255"/>
      <c r="G675" s="261"/>
      <c r="H675" s="264"/>
      <c r="I675" s="483"/>
      <c r="J675" s="718"/>
      <c r="L675" s="713"/>
      <c r="M675" s="713"/>
      <c r="N675" s="713"/>
    </row>
    <row r="676">
      <c r="C676" s="483"/>
      <c r="D676" s="355"/>
      <c r="E676" s="672"/>
      <c r="F676" s="255"/>
      <c r="G676" s="261"/>
      <c r="H676" s="264"/>
      <c r="I676" s="483"/>
      <c r="J676" s="718"/>
      <c r="L676" s="713"/>
      <c r="M676" s="713"/>
      <c r="N676" s="713"/>
    </row>
    <row r="677">
      <c r="C677" s="483"/>
      <c r="D677" s="355"/>
      <c r="E677" s="672"/>
      <c r="F677" s="255"/>
      <c r="G677" s="261"/>
      <c r="H677" s="264"/>
      <c r="I677" s="483"/>
      <c r="J677" s="718"/>
      <c r="L677" s="713"/>
      <c r="M677" s="713"/>
      <c r="N677" s="713"/>
    </row>
    <row r="678">
      <c r="C678" s="483"/>
      <c r="D678" s="355"/>
      <c r="E678" s="672"/>
      <c r="F678" s="255"/>
      <c r="G678" s="261"/>
      <c r="H678" s="264"/>
      <c r="I678" s="483"/>
      <c r="J678" s="718"/>
      <c r="L678" s="713"/>
      <c r="M678" s="713"/>
      <c r="N678" s="713"/>
    </row>
    <row r="679">
      <c r="C679" s="483"/>
      <c r="D679" s="355"/>
      <c r="E679" s="672"/>
      <c r="F679" s="255"/>
      <c r="G679" s="261"/>
      <c r="H679" s="264"/>
      <c r="I679" s="483"/>
      <c r="J679" s="718"/>
      <c r="L679" s="713"/>
      <c r="M679" s="713"/>
      <c r="N679" s="713"/>
    </row>
    <row r="680">
      <c r="C680" s="483"/>
      <c r="D680" s="355"/>
      <c r="E680" s="672"/>
      <c r="F680" s="255"/>
      <c r="G680" s="261"/>
      <c r="H680" s="264"/>
      <c r="I680" s="483"/>
      <c r="J680" s="718"/>
      <c r="L680" s="713"/>
      <c r="M680" s="713"/>
      <c r="N680" s="713"/>
    </row>
    <row r="681">
      <c r="C681" s="483"/>
      <c r="D681" s="355"/>
      <c r="E681" s="672"/>
      <c r="F681" s="255"/>
      <c r="G681" s="261"/>
      <c r="H681" s="264"/>
      <c r="I681" s="483"/>
      <c r="J681" s="718"/>
      <c r="L681" s="713"/>
      <c r="M681" s="713"/>
      <c r="N681" s="713"/>
    </row>
    <row r="682">
      <c r="C682" s="483"/>
      <c r="D682" s="355"/>
      <c r="E682" s="672"/>
      <c r="F682" s="255"/>
      <c r="G682" s="261"/>
      <c r="H682" s="264"/>
      <c r="I682" s="483"/>
      <c r="J682" s="718"/>
      <c r="L682" s="713"/>
      <c r="M682" s="713"/>
      <c r="N682" s="713"/>
    </row>
    <row r="683">
      <c r="C683" s="483"/>
      <c r="D683" s="355"/>
      <c r="E683" s="672"/>
      <c r="F683" s="255"/>
      <c r="G683" s="261"/>
      <c r="H683" s="264"/>
      <c r="I683" s="483"/>
      <c r="J683" s="718"/>
      <c r="L683" s="713"/>
      <c r="M683" s="713"/>
      <c r="N683" s="713"/>
    </row>
    <row r="684">
      <c r="C684" s="483"/>
      <c r="D684" s="355"/>
      <c r="E684" s="672"/>
      <c r="F684" s="255"/>
      <c r="G684" s="261"/>
      <c r="H684" s="264"/>
      <c r="I684" s="483"/>
      <c r="J684" s="718"/>
      <c r="L684" s="713"/>
      <c r="M684" s="713"/>
      <c r="N684" s="713"/>
    </row>
    <row r="685">
      <c r="C685" s="483"/>
      <c r="D685" s="355"/>
      <c r="E685" s="672"/>
      <c r="F685" s="255"/>
      <c r="G685" s="261"/>
      <c r="H685" s="264"/>
      <c r="I685" s="483"/>
      <c r="J685" s="718"/>
      <c r="L685" s="713"/>
      <c r="M685" s="713"/>
      <c r="N685" s="713"/>
    </row>
    <row r="686">
      <c r="C686" s="483"/>
      <c r="D686" s="355"/>
      <c r="E686" s="672"/>
      <c r="F686" s="255"/>
      <c r="G686" s="261"/>
      <c r="H686" s="264"/>
      <c r="I686" s="483"/>
      <c r="J686" s="718"/>
      <c r="L686" s="713"/>
      <c r="M686" s="713"/>
      <c r="N686" s="713"/>
    </row>
    <row r="687">
      <c r="C687" s="483"/>
      <c r="D687" s="355"/>
      <c r="E687" s="672"/>
      <c r="F687" s="255"/>
      <c r="G687" s="261"/>
      <c r="H687" s="264"/>
      <c r="I687" s="483"/>
      <c r="J687" s="718"/>
      <c r="L687" s="713"/>
      <c r="M687" s="713"/>
      <c r="N687" s="713"/>
    </row>
    <row r="688">
      <c r="C688" s="483"/>
      <c r="D688" s="355"/>
      <c r="E688" s="672"/>
      <c r="F688" s="255"/>
      <c r="G688" s="261"/>
      <c r="H688" s="264"/>
      <c r="I688" s="483"/>
      <c r="J688" s="718"/>
      <c r="L688" s="713"/>
      <c r="M688" s="713"/>
      <c r="N688" s="713"/>
    </row>
    <row r="689">
      <c r="C689" s="483"/>
      <c r="D689" s="355"/>
      <c r="E689" s="672"/>
      <c r="F689" s="255"/>
      <c r="G689" s="261"/>
      <c r="H689" s="264"/>
      <c r="I689" s="483"/>
      <c r="J689" s="718"/>
      <c r="L689" s="713"/>
      <c r="M689" s="713"/>
      <c r="N689" s="713"/>
    </row>
    <row r="690">
      <c r="C690" s="483"/>
      <c r="D690" s="355"/>
      <c r="E690" s="672"/>
      <c r="F690" s="255"/>
      <c r="G690" s="261"/>
      <c r="H690" s="264"/>
      <c r="I690" s="483"/>
      <c r="J690" s="718"/>
      <c r="L690" s="713"/>
      <c r="M690" s="713"/>
      <c r="N690" s="713"/>
    </row>
    <row r="691">
      <c r="C691" s="483"/>
      <c r="D691" s="355"/>
      <c r="E691" s="672"/>
      <c r="F691" s="255"/>
      <c r="G691" s="261"/>
      <c r="H691" s="264"/>
      <c r="I691" s="483"/>
      <c r="J691" s="718"/>
      <c r="L691" s="713"/>
      <c r="M691" s="713"/>
      <c r="N691" s="713"/>
    </row>
    <row r="692">
      <c r="C692" s="483"/>
      <c r="D692" s="355"/>
      <c r="E692" s="672"/>
      <c r="F692" s="255"/>
      <c r="G692" s="261"/>
      <c r="H692" s="264"/>
      <c r="I692" s="483"/>
      <c r="J692" s="718"/>
      <c r="L692" s="713"/>
      <c r="M692" s="713"/>
      <c r="N692" s="713"/>
    </row>
    <row r="693">
      <c r="C693" s="483"/>
      <c r="D693" s="355"/>
      <c r="E693" s="672"/>
      <c r="F693" s="255"/>
      <c r="G693" s="261"/>
      <c r="H693" s="264"/>
      <c r="I693" s="483"/>
      <c r="J693" s="718"/>
      <c r="L693" s="713"/>
      <c r="M693" s="713"/>
      <c r="N693" s="713"/>
    </row>
    <row r="694">
      <c r="C694" s="483"/>
      <c r="D694" s="355"/>
      <c r="E694" s="672"/>
      <c r="F694" s="255"/>
      <c r="G694" s="261"/>
      <c r="H694" s="264"/>
      <c r="I694" s="483"/>
      <c r="J694" s="718"/>
      <c r="L694" s="713"/>
      <c r="M694" s="713"/>
      <c r="N694" s="713"/>
    </row>
    <row r="695">
      <c r="C695" s="483"/>
      <c r="D695" s="355"/>
      <c r="E695" s="672"/>
      <c r="F695" s="255"/>
      <c r="G695" s="261"/>
      <c r="H695" s="264"/>
      <c r="I695" s="483"/>
      <c r="J695" s="718"/>
      <c r="L695" s="713"/>
      <c r="M695" s="713"/>
      <c r="N695" s="713"/>
    </row>
    <row r="696">
      <c r="C696" s="483"/>
      <c r="D696" s="355"/>
      <c r="E696" s="672"/>
      <c r="F696" s="255"/>
      <c r="G696" s="261"/>
      <c r="H696" s="264"/>
      <c r="I696" s="483"/>
      <c r="J696" s="718"/>
      <c r="L696" s="713"/>
      <c r="M696" s="713"/>
      <c r="N696" s="713"/>
    </row>
    <row r="697">
      <c r="C697" s="483"/>
      <c r="D697" s="355"/>
      <c r="E697" s="672"/>
      <c r="F697" s="255"/>
      <c r="G697" s="261"/>
      <c r="H697" s="264"/>
      <c r="I697" s="483"/>
      <c r="J697" s="718"/>
      <c r="L697" s="713"/>
      <c r="M697" s="713"/>
      <c r="N697" s="713"/>
    </row>
    <row r="698">
      <c r="C698" s="483"/>
      <c r="D698" s="355"/>
      <c r="E698" s="672"/>
      <c r="F698" s="255"/>
      <c r="G698" s="261"/>
      <c r="H698" s="264"/>
      <c r="I698" s="483"/>
      <c r="J698" s="718"/>
      <c r="L698" s="713"/>
      <c r="M698" s="713"/>
      <c r="N698" s="713"/>
    </row>
    <row r="699">
      <c r="C699" s="483"/>
      <c r="D699" s="355"/>
      <c r="E699" s="672"/>
      <c r="F699" s="255"/>
      <c r="G699" s="261"/>
      <c r="H699" s="264"/>
      <c r="I699" s="483"/>
      <c r="J699" s="718"/>
      <c r="L699" s="713"/>
      <c r="M699" s="713"/>
      <c r="N699" s="713"/>
    </row>
    <row r="700">
      <c r="C700" s="483"/>
      <c r="D700" s="355"/>
      <c r="E700" s="672"/>
      <c r="F700" s="255"/>
      <c r="G700" s="261"/>
      <c r="H700" s="264"/>
      <c r="I700" s="483"/>
      <c r="J700" s="718"/>
      <c r="L700" s="713"/>
      <c r="M700" s="713"/>
      <c r="N700" s="713"/>
    </row>
    <row r="701">
      <c r="C701" s="483"/>
      <c r="D701" s="355"/>
      <c r="E701" s="672"/>
      <c r="F701" s="255"/>
      <c r="G701" s="261"/>
      <c r="H701" s="264"/>
      <c r="I701" s="483"/>
      <c r="J701" s="718"/>
      <c r="L701" s="713"/>
      <c r="M701" s="713"/>
      <c r="N701" s="713"/>
    </row>
    <row r="702">
      <c r="C702" s="483"/>
      <c r="D702" s="355"/>
      <c r="E702" s="672"/>
      <c r="F702" s="255"/>
      <c r="G702" s="261"/>
      <c r="H702" s="264"/>
      <c r="I702" s="483"/>
      <c r="J702" s="718"/>
      <c r="L702" s="713"/>
      <c r="M702" s="713"/>
      <c r="N702" s="713"/>
    </row>
    <row r="703">
      <c r="C703" s="483"/>
      <c r="D703" s="355"/>
      <c r="E703" s="672"/>
      <c r="F703" s="255"/>
      <c r="G703" s="261"/>
      <c r="H703" s="264"/>
      <c r="I703" s="483"/>
      <c r="J703" s="718"/>
      <c r="L703" s="713"/>
      <c r="M703" s="713"/>
      <c r="N703" s="713"/>
    </row>
    <row r="704">
      <c r="C704" s="483"/>
      <c r="D704" s="355"/>
      <c r="E704" s="672"/>
      <c r="F704" s="255"/>
      <c r="G704" s="261"/>
      <c r="H704" s="264"/>
      <c r="I704" s="483"/>
      <c r="J704" s="718"/>
      <c r="L704" s="713"/>
      <c r="M704" s="713"/>
      <c r="N704" s="713"/>
    </row>
    <row r="705">
      <c r="C705" s="483"/>
      <c r="D705" s="355"/>
      <c r="E705" s="672"/>
      <c r="F705" s="255"/>
      <c r="G705" s="261"/>
      <c r="H705" s="264"/>
      <c r="I705" s="483"/>
      <c r="J705" s="718"/>
      <c r="L705" s="713"/>
      <c r="M705" s="713"/>
      <c r="N705" s="713"/>
    </row>
    <row r="706">
      <c r="C706" s="483"/>
      <c r="D706" s="355"/>
      <c r="E706" s="672"/>
      <c r="F706" s="255"/>
      <c r="G706" s="261"/>
      <c r="H706" s="264"/>
      <c r="I706" s="483"/>
      <c r="J706" s="718"/>
      <c r="L706" s="713"/>
      <c r="M706" s="713"/>
      <c r="N706" s="713"/>
    </row>
    <row r="707">
      <c r="C707" s="483"/>
      <c r="D707" s="355"/>
      <c r="E707" s="672"/>
      <c r="F707" s="255"/>
      <c r="G707" s="261"/>
      <c r="H707" s="264"/>
      <c r="I707" s="483"/>
      <c r="J707" s="718"/>
      <c r="L707" s="713"/>
      <c r="M707" s="713"/>
      <c r="N707" s="713"/>
    </row>
    <row r="708">
      <c r="C708" s="483"/>
      <c r="D708" s="355"/>
      <c r="E708" s="672"/>
      <c r="F708" s="255"/>
      <c r="G708" s="261"/>
      <c r="H708" s="264"/>
      <c r="I708" s="483"/>
      <c r="J708" s="718"/>
      <c r="L708" s="713"/>
      <c r="M708" s="713"/>
      <c r="N708" s="713"/>
    </row>
    <row r="709">
      <c r="C709" s="483"/>
      <c r="D709" s="355"/>
      <c r="E709" s="672"/>
      <c r="F709" s="255"/>
      <c r="G709" s="261"/>
      <c r="H709" s="264"/>
      <c r="I709" s="483"/>
      <c r="J709" s="718"/>
      <c r="L709" s="713"/>
      <c r="M709" s="713"/>
      <c r="N709" s="713"/>
    </row>
    <row r="710">
      <c r="C710" s="483"/>
      <c r="D710" s="355"/>
      <c r="E710" s="672"/>
      <c r="F710" s="255"/>
      <c r="G710" s="261"/>
      <c r="H710" s="264"/>
      <c r="I710" s="483"/>
      <c r="J710" s="718"/>
      <c r="L710" s="713"/>
      <c r="M710" s="713"/>
      <c r="N710" s="713"/>
    </row>
    <row r="711">
      <c r="C711" s="483"/>
      <c r="D711" s="355"/>
      <c r="E711" s="672"/>
      <c r="F711" s="255"/>
      <c r="G711" s="261"/>
      <c r="H711" s="264"/>
      <c r="I711" s="483"/>
      <c r="J711" s="718"/>
      <c r="L711" s="713"/>
      <c r="M711" s="713"/>
      <c r="N711" s="713"/>
    </row>
    <row r="712">
      <c r="C712" s="483"/>
      <c r="D712" s="355"/>
      <c r="E712" s="672"/>
      <c r="F712" s="255"/>
      <c r="G712" s="261"/>
      <c r="H712" s="264"/>
      <c r="I712" s="483"/>
      <c r="J712" s="718"/>
      <c r="L712" s="713"/>
      <c r="M712" s="713"/>
      <c r="N712" s="713"/>
    </row>
    <row r="713">
      <c r="C713" s="483"/>
      <c r="D713" s="355"/>
      <c r="E713" s="672"/>
      <c r="F713" s="255"/>
      <c r="G713" s="261"/>
      <c r="H713" s="264"/>
      <c r="I713" s="483"/>
      <c r="J713" s="718"/>
      <c r="L713" s="713"/>
      <c r="M713" s="713"/>
      <c r="N713" s="713"/>
    </row>
    <row r="714">
      <c r="C714" s="483"/>
      <c r="D714" s="355"/>
      <c r="E714" s="672"/>
      <c r="F714" s="255"/>
      <c r="G714" s="261"/>
      <c r="H714" s="264"/>
      <c r="I714" s="483"/>
      <c r="J714" s="718"/>
      <c r="L714" s="713"/>
      <c r="M714" s="713"/>
      <c r="N714" s="713"/>
    </row>
    <row r="715">
      <c r="C715" s="483"/>
      <c r="D715" s="355"/>
      <c r="E715" s="672"/>
      <c r="F715" s="255"/>
      <c r="G715" s="261"/>
      <c r="H715" s="264"/>
      <c r="I715" s="483"/>
      <c r="J715" s="718"/>
      <c r="L715" s="713"/>
      <c r="M715" s="713"/>
      <c r="N715" s="713"/>
    </row>
    <row r="716">
      <c r="C716" s="483"/>
      <c r="D716" s="355"/>
      <c r="E716" s="672"/>
      <c r="F716" s="255"/>
      <c r="G716" s="261"/>
      <c r="H716" s="264"/>
      <c r="I716" s="483"/>
      <c r="J716" s="718"/>
      <c r="L716" s="713"/>
      <c r="M716" s="713"/>
      <c r="N716" s="713"/>
    </row>
    <row r="717">
      <c r="C717" s="483"/>
      <c r="D717" s="355"/>
      <c r="E717" s="672"/>
      <c r="F717" s="255"/>
      <c r="G717" s="261"/>
      <c r="H717" s="264"/>
      <c r="I717" s="483"/>
      <c r="J717" s="718"/>
      <c r="L717" s="713"/>
      <c r="M717" s="713"/>
      <c r="N717" s="713"/>
    </row>
    <row r="718">
      <c r="C718" s="483"/>
      <c r="D718" s="355"/>
      <c r="E718" s="672"/>
      <c r="F718" s="255"/>
      <c r="G718" s="261"/>
      <c r="H718" s="264"/>
      <c r="I718" s="483"/>
      <c r="J718" s="718"/>
      <c r="L718" s="713"/>
      <c r="M718" s="713"/>
      <c r="N718" s="713"/>
    </row>
    <row r="719">
      <c r="C719" s="483"/>
      <c r="D719" s="355"/>
      <c r="E719" s="672"/>
      <c r="F719" s="255"/>
      <c r="G719" s="261"/>
      <c r="H719" s="264"/>
      <c r="I719" s="483"/>
      <c r="J719" s="718"/>
      <c r="L719" s="713"/>
      <c r="M719" s="713"/>
      <c r="N719" s="713"/>
    </row>
    <row r="720">
      <c r="C720" s="483"/>
      <c r="D720" s="355"/>
      <c r="E720" s="672"/>
      <c r="F720" s="255"/>
      <c r="G720" s="261"/>
      <c r="H720" s="264"/>
      <c r="I720" s="483"/>
      <c r="J720" s="718"/>
      <c r="L720" s="713"/>
      <c r="M720" s="713"/>
      <c r="N720" s="713"/>
    </row>
    <row r="721">
      <c r="C721" s="483"/>
      <c r="D721" s="355"/>
      <c r="E721" s="672"/>
      <c r="F721" s="255"/>
      <c r="G721" s="261"/>
      <c r="H721" s="264"/>
      <c r="I721" s="483"/>
      <c r="J721" s="718"/>
      <c r="L721" s="713"/>
      <c r="M721" s="713"/>
      <c r="N721" s="713"/>
    </row>
    <row r="722">
      <c r="C722" s="483"/>
      <c r="D722" s="355"/>
      <c r="E722" s="672"/>
      <c r="F722" s="255"/>
      <c r="G722" s="261"/>
      <c r="H722" s="264"/>
      <c r="I722" s="483"/>
      <c r="J722" s="718"/>
      <c r="L722" s="713"/>
      <c r="M722" s="713"/>
      <c r="N722" s="713"/>
    </row>
    <row r="723">
      <c r="C723" s="483"/>
      <c r="D723" s="355"/>
      <c r="E723" s="672"/>
      <c r="F723" s="255"/>
      <c r="G723" s="261"/>
      <c r="H723" s="264"/>
      <c r="I723" s="483"/>
      <c r="J723" s="718"/>
      <c r="L723" s="713"/>
      <c r="M723" s="713"/>
      <c r="N723" s="713"/>
    </row>
    <row r="724">
      <c r="C724" s="483"/>
      <c r="D724" s="355"/>
      <c r="E724" s="672"/>
      <c r="F724" s="255"/>
      <c r="G724" s="261"/>
      <c r="H724" s="264"/>
      <c r="I724" s="483"/>
      <c r="J724" s="718"/>
      <c r="L724" s="713"/>
      <c r="M724" s="713"/>
      <c r="N724" s="713"/>
    </row>
    <row r="725">
      <c r="C725" s="483"/>
      <c r="D725" s="355"/>
      <c r="E725" s="672"/>
      <c r="F725" s="255"/>
      <c r="G725" s="261"/>
      <c r="H725" s="264"/>
      <c r="I725" s="483"/>
      <c r="J725" s="718"/>
      <c r="L725" s="713"/>
      <c r="M725" s="713"/>
      <c r="N725" s="713"/>
    </row>
    <row r="726">
      <c r="C726" s="483"/>
      <c r="D726" s="355"/>
      <c r="E726" s="672"/>
      <c r="F726" s="255"/>
      <c r="G726" s="261"/>
      <c r="H726" s="264"/>
      <c r="I726" s="483"/>
      <c r="J726" s="718"/>
      <c r="L726" s="713"/>
      <c r="M726" s="713"/>
      <c r="N726" s="713"/>
    </row>
    <row r="727">
      <c r="C727" s="483"/>
      <c r="D727" s="355"/>
      <c r="E727" s="672"/>
      <c r="F727" s="255"/>
      <c r="G727" s="261"/>
      <c r="H727" s="264"/>
      <c r="I727" s="483"/>
      <c r="J727" s="718"/>
      <c r="L727" s="713"/>
      <c r="M727" s="713"/>
      <c r="N727" s="713"/>
    </row>
    <row r="728">
      <c r="C728" s="483"/>
      <c r="D728" s="355"/>
      <c r="E728" s="672"/>
      <c r="F728" s="255"/>
      <c r="G728" s="261"/>
      <c r="H728" s="264"/>
      <c r="I728" s="483"/>
      <c r="J728" s="718"/>
      <c r="L728" s="713"/>
      <c r="M728" s="713"/>
      <c r="N728" s="713"/>
    </row>
    <row r="729">
      <c r="C729" s="483"/>
      <c r="D729" s="355"/>
      <c r="E729" s="672"/>
      <c r="F729" s="255"/>
      <c r="G729" s="261"/>
      <c r="H729" s="264"/>
      <c r="I729" s="483"/>
      <c r="J729" s="718"/>
      <c r="L729" s="713"/>
      <c r="M729" s="713"/>
      <c r="N729" s="713"/>
    </row>
    <row r="730">
      <c r="C730" s="483"/>
      <c r="D730" s="355"/>
      <c r="E730" s="672"/>
      <c r="F730" s="255"/>
      <c r="G730" s="261"/>
      <c r="H730" s="264"/>
      <c r="I730" s="483"/>
      <c r="J730" s="718"/>
      <c r="L730" s="713"/>
      <c r="M730" s="713"/>
      <c r="N730" s="713"/>
    </row>
    <row r="731">
      <c r="C731" s="483"/>
      <c r="D731" s="355"/>
      <c r="E731" s="672"/>
      <c r="F731" s="255"/>
      <c r="G731" s="261"/>
      <c r="H731" s="264"/>
      <c r="I731" s="483"/>
      <c r="J731" s="718"/>
      <c r="L731" s="713"/>
      <c r="M731" s="713"/>
      <c r="N731" s="713"/>
    </row>
    <row r="732">
      <c r="C732" s="483"/>
      <c r="D732" s="355"/>
      <c r="E732" s="672"/>
      <c r="F732" s="255"/>
      <c r="G732" s="261"/>
      <c r="H732" s="264"/>
      <c r="I732" s="483"/>
      <c r="J732" s="718"/>
      <c r="L732" s="713"/>
      <c r="M732" s="713"/>
      <c r="N732" s="713"/>
    </row>
    <row r="733">
      <c r="C733" s="483"/>
      <c r="D733" s="355"/>
      <c r="E733" s="672"/>
      <c r="F733" s="255"/>
      <c r="G733" s="261"/>
      <c r="H733" s="264"/>
      <c r="I733" s="483"/>
      <c r="J733" s="718"/>
      <c r="L733" s="713"/>
      <c r="M733" s="713"/>
      <c r="N733" s="713"/>
    </row>
    <row r="734">
      <c r="C734" s="483"/>
      <c r="D734" s="355"/>
      <c r="E734" s="672"/>
      <c r="F734" s="255"/>
      <c r="G734" s="261"/>
      <c r="H734" s="264"/>
      <c r="I734" s="483"/>
      <c r="J734" s="718"/>
      <c r="L734" s="713"/>
      <c r="M734" s="713"/>
      <c r="N734" s="713"/>
    </row>
    <row r="735">
      <c r="C735" s="483"/>
      <c r="D735" s="355"/>
      <c r="E735" s="672"/>
      <c r="F735" s="255"/>
      <c r="G735" s="261"/>
      <c r="H735" s="264"/>
      <c r="I735" s="483"/>
      <c r="J735" s="718"/>
      <c r="L735" s="713"/>
      <c r="M735" s="713"/>
      <c r="N735" s="713"/>
    </row>
    <row r="736">
      <c r="C736" s="483"/>
      <c r="D736" s="355"/>
      <c r="E736" s="672"/>
      <c r="F736" s="255"/>
      <c r="G736" s="261"/>
      <c r="H736" s="264"/>
      <c r="I736" s="483"/>
      <c r="J736" s="718"/>
      <c r="L736" s="713"/>
      <c r="M736" s="713"/>
      <c r="N736" s="713"/>
    </row>
    <row r="737">
      <c r="C737" s="483"/>
      <c r="D737" s="355"/>
      <c r="E737" s="672"/>
      <c r="F737" s="255"/>
      <c r="G737" s="261"/>
      <c r="H737" s="264"/>
      <c r="I737" s="483"/>
      <c r="J737" s="718"/>
      <c r="L737" s="713"/>
      <c r="M737" s="713"/>
      <c r="N737" s="713"/>
    </row>
    <row r="738">
      <c r="C738" s="483"/>
      <c r="D738" s="355"/>
      <c r="E738" s="672"/>
      <c r="F738" s="255"/>
      <c r="G738" s="261"/>
      <c r="H738" s="264"/>
      <c r="I738" s="483"/>
      <c r="J738" s="718"/>
      <c r="L738" s="713"/>
      <c r="M738" s="713"/>
      <c r="N738" s="713"/>
    </row>
    <row r="739">
      <c r="C739" s="483"/>
      <c r="D739" s="355"/>
      <c r="E739" s="672"/>
      <c r="F739" s="255"/>
      <c r="G739" s="261"/>
      <c r="H739" s="264"/>
      <c r="I739" s="483"/>
      <c r="J739" s="718"/>
      <c r="L739" s="713"/>
      <c r="M739" s="713"/>
      <c r="N739" s="713"/>
    </row>
    <row r="740">
      <c r="C740" s="483"/>
      <c r="D740" s="355"/>
      <c r="E740" s="672"/>
      <c r="F740" s="255"/>
      <c r="G740" s="261"/>
      <c r="H740" s="264"/>
      <c r="I740" s="483"/>
      <c r="J740" s="718"/>
      <c r="L740" s="713"/>
      <c r="M740" s="713"/>
      <c r="N740" s="713"/>
    </row>
    <row r="741">
      <c r="C741" s="483"/>
      <c r="D741" s="355"/>
      <c r="E741" s="672"/>
      <c r="F741" s="255"/>
      <c r="G741" s="261"/>
      <c r="H741" s="264"/>
      <c r="I741" s="483"/>
      <c r="J741" s="718"/>
      <c r="L741" s="713"/>
      <c r="M741" s="713"/>
      <c r="N741" s="713"/>
    </row>
    <row r="742">
      <c r="C742" s="483"/>
      <c r="D742" s="355"/>
      <c r="E742" s="672"/>
      <c r="F742" s="255"/>
      <c r="G742" s="261"/>
      <c r="H742" s="264"/>
      <c r="I742" s="483"/>
      <c r="J742" s="718"/>
      <c r="L742" s="713"/>
      <c r="M742" s="713"/>
      <c r="N742" s="713"/>
    </row>
    <row r="743">
      <c r="C743" s="483"/>
      <c r="D743" s="355"/>
      <c r="E743" s="672"/>
      <c r="F743" s="255"/>
      <c r="G743" s="261"/>
      <c r="H743" s="264"/>
      <c r="I743" s="483"/>
      <c r="J743" s="718"/>
      <c r="L743" s="713"/>
      <c r="M743" s="713"/>
      <c r="N743" s="713"/>
    </row>
    <row r="744">
      <c r="C744" s="483"/>
      <c r="D744" s="355"/>
      <c r="E744" s="672"/>
      <c r="F744" s="255"/>
      <c r="G744" s="261"/>
      <c r="H744" s="264"/>
      <c r="I744" s="483"/>
      <c r="J744" s="718"/>
      <c r="L744" s="713"/>
      <c r="M744" s="713"/>
      <c r="N744" s="713"/>
    </row>
    <row r="745">
      <c r="C745" s="483"/>
      <c r="D745" s="355"/>
      <c r="E745" s="672"/>
      <c r="F745" s="255"/>
      <c r="G745" s="261"/>
      <c r="H745" s="264"/>
      <c r="I745" s="483"/>
      <c r="J745" s="718"/>
      <c r="L745" s="713"/>
      <c r="M745" s="713"/>
      <c r="N745" s="713"/>
    </row>
    <row r="746">
      <c r="C746" s="483"/>
      <c r="D746" s="355"/>
      <c r="E746" s="672"/>
      <c r="F746" s="255"/>
      <c r="G746" s="261"/>
      <c r="H746" s="264"/>
      <c r="I746" s="483"/>
      <c r="J746" s="718"/>
      <c r="L746" s="713"/>
      <c r="M746" s="713"/>
      <c r="N746" s="713"/>
    </row>
    <row r="747">
      <c r="C747" s="483"/>
      <c r="D747" s="355"/>
      <c r="E747" s="672"/>
      <c r="F747" s="255"/>
      <c r="G747" s="261"/>
      <c r="H747" s="264"/>
      <c r="I747" s="483"/>
      <c r="J747" s="718"/>
      <c r="L747" s="713"/>
      <c r="M747" s="713"/>
      <c r="N747" s="713"/>
    </row>
    <row r="748">
      <c r="C748" s="483"/>
      <c r="D748" s="355"/>
      <c r="E748" s="672"/>
      <c r="F748" s="255"/>
      <c r="G748" s="261"/>
      <c r="H748" s="264"/>
      <c r="I748" s="483"/>
      <c r="J748" s="718"/>
      <c r="L748" s="713"/>
      <c r="M748" s="713"/>
      <c r="N748" s="713"/>
    </row>
    <row r="749">
      <c r="C749" s="483"/>
      <c r="D749" s="355"/>
      <c r="E749" s="672"/>
      <c r="F749" s="255"/>
      <c r="G749" s="261"/>
      <c r="H749" s="264"/>
      <c r="I749" s="483"/>
      <c r="J749" s="718"/>
      <c r="L749" s="713"/>
      <c r="M749" s="713"/>
      <c r="N749" s="713"/>
    </row>
    <row r="750">
      <c r="C750" s="483"/>
      <c r="D750" s="355"/>
      <c r="E750" s="672"/>
      <c r="F750" s="255"/>
      <c r="G750" s="261"/>
      <c r="H750" s="264"/>
      <c r="I750" s="483"/>
      <c r="J750" s="718"/>
      <c r="L750" s="713"/>
      <c r="M750" s="713"/>
      <c r="N750" s="713"/>
    </row>
    <row r="751">
      <c r="C751" s="483"/>
      <c r="D751" s="355"/>
      <c r="E751" s="672"/>
      <c r="F751" s="255"/>
      <c r="G751" s="261"/>
      <c r="H751" s="264"/>
      <c r="I751" s="483"/>
      <c r="J751" s="718"/>
      <c r="L751" s="713"/>
      <c r="M751" s="713"/>
      <c r="N751" s="713"/>
    </row>
    <row r="752">
      <c r="C752" s="483"/>
      <c r="D752" s="355"/>
      <c r="E752" s="672"/>
      <c r="F752" s="255"/>
      <c r="G752" s="261"/>
      <c r="H752" s="264"/>
      <c r="I752" s="483"/>
      <c r="J752" s="718"/>
      <c r="L752" s="713"/>
      <c r="M752" s="713"/>
      <c r="N752" s="713"/>
    </row>
    <row r="753">
      <c r="C753" s="483"/>
      <c r="D753" s="355"/>
      <c r="E753" s="672"/>
      <c r="F753" s="255"/>
      <c r="G753" s="261"/>
      <c r="H753" s="264"/>
      <c r="I753" s="483"/>
      <c r="J753" s="718"/>
      <c r="L753" s="713"/>
      <c r="M753" s="713"/>
      <c r="N753" s="713"/>
    </row>
    <row r="754">
      <c r="C754" s="483"/>
      <c r="D754" s="355"/>
      <c r="E754" s="672"/>
      <c r="F754" s="255"/>
      <c r="G754" s="261"/>
      <c r="H754" s="264"/>
      <c r="I754" s="483"/>
      <c r="J754" s="718"/>
      <c r="L754" s="713"/>
      <c r="M754" s="713"/>
      <c r="N754" s="713"/>
    </row>
    <row r="755">
      <c r="C755" s="483"/>
      <c r="D755" s="355"/>
      <c r="E755" s="672"/>
      <c r="F755" s="255"/>
      <c r="G755" s="261"/>
      <c r="H755" s="264"/>
      <c r="I755" s="483"/>
      <c r="J755" s="718"/>
      <c r="L755" s="713"/>
      <c r="M755" s="713"/>
      <c r="N755" s="713"/>
    </row>
    <row r="756">
      <c r="C756" s="483"/>
      <c r="D756" s="355"/>
      <c r="E756" s="672"/>
      <c r="F756" s="255"/>
      <c r="G756" s="261"/>
      <c r="H756" s="264"/>
      <c r="I756" s="483"/>
      <c r="J756" s="718"/>
      <c r="L756" s="713"/>
      <c r="M756" s="713"/>
      <c r="N756" s="713"/>
    </row>
    <row r="757">
      <c r="C757" s="483"/>
      <c r="D757" s="355"/>
      <c r="E757" s="672"/>
      <c r="F757" s="255"/>
      <c r="G757" s="261"/>
      <c r="H757" s="264"/>
      <c r="I757" s="483"/>
      <c r="J757" s="718"/>
      <c r="L757" s="713"/>
      <c r="M757" s="713"/>
      <c r="N757" s="713"/>
    </row>
    <row r="758">
      <c r="C758" s="483"/>
      <c r="D758" s="355"/>
      <c r="E758" s="672"/>
      <c r="F758" s="255"/>
      <c r="G758" s="261"/>
      <c r="H758" s="264"/>
      <c r="I758" s="483"/>
      <c r="J758" s="718"/>
      <c r="L758" s="713"/>
      <c r="M758" s="713"/>
      <c r="N758" s="713"/>
    </row>
    <row r="759">
      <c r="C759" s="483"/>
      <c r="D759" s="355"/>
      <c r="E759" s="672"/>
      <c r="F759" s="255"/>
      <c r="G759" s="261"/>
      <c r="H759" s="264"/>
      <c r="I759" s="483"/>
      <c r="J759" s="718"/>
      <c r="L759" s="713"/>
      <c r="M759" s="713"/>
      <c r="N759" s="713"/>
    </row>
    <row r="760">
      <c r="C760" s="483"/>
      <c r="D760" s="355"/>
      <c r="E760" s="672"/>
      <c r="F760" s="255"/>
      <c r="G760" s="261"/>
      <c r="H760" s="264"/>
      <c r="I760" s="483"/>
      <c r="J760" s="718"/>
      <c r="L760" s="713"/>
      <c r="M760" s="713"/>
      <c r="N760" s="713"/>
    </row>
    <row r="761">
      <c r="C761" s="483"/>
      <c r="D761" s="355"/>
      <c r="E761" s="672"/>
      <c r="F761" s="255"/>
      <c r="G761" s="261"/>
      <c r="H761" s="264"/>
      <c r="I761" s="483"/>
      <c r="J761" s="718"/>
      <c r="L761" s="713"/>
      <c r="M761" s="713"/>
      <c r="N761" s="713"/>
    </row>
    <row r="762">
      <c r="C762" s="483"/>
      <c r="D762" s="355"/>
      <c r="E762" s="672"/>
      <c r="F762" s="255"/>
      <c r="G762" s="261"/>
      <c r="H762" s="264"/>
      <c r="I762" s="483"/>
      <c r="J762" s="718"/>
      <c r="L762" s="713"/>
      <c r="M762" s="713"/>
      <c r="N762" s="713"/>
    </row>
    <row r="763">
      <c r="C763" s="483"/>
      <c r="D763" s="355"/>
      <c r="E763" s="672"/>
      <c r="F763" s="255"/>
      <c r="G763" s="261"/>
      <c r="H763" s="264"/>
      <c r="I763" s="483"/>
      <c r="J763" s="718"/>
      <c r="L763" s="713"/>
      <c r="M763" s="713"/>
      <c r="N763" s="713"/>
    </row>
    <row r="764">
      <c r="C764" s="483"/>
      <c r="D764" s="355"/>
      <c r="E764" s="672"/>
      <c r="F764" s="255"/>
      <c r="G764" s="261"/>
      <c r="H764" s="264"/>
      <c r="I764" s="483"/>
      <c r="J764" s="718"/>
      <c r="L764" s="713"/>
      <c r="M764" s="713"/>
      <c r="N764" s="713"/>
    </row>
    <row r="765">
      <c r="C765" s="483"/>
      <c r="D765" s="355"/>
      <c r="E765" s="672"/>
      <c r="F765" s="255"/>
      <c r="G765" s="261"/>
      <c r="H765" s="264"/>
      <c r="I765" s="483"/>
      <c r="J765" s="718"/>
      <c r="L765" s="713"/>
      <c r="M765" s="713"/>
      <c r="N765" s="713"/>
    </row>
    <row r="766">
      <c r="C766" s="483"/>
      <c r="D766" s="355"/>
      <c r="E766" s="672"/>
      <c r="F766" s="255"/>
      <c r="G766" s="261"/>
      <c r="H766" s="264"/>
      <c r="I766" s="483"/>
      <c r="J766" s="718"/>
      <c r="L766" s="713"/>
      <c r="M766" s="713"/>
      <c r="N766" s="713"/>
    </row>
    <row r="767">
      <c r="C767" s="483"/>
      <c r="D767" s="355"/>
      <c r="E767" s="672"/>
      <c r="F767" s="255"/>
      <c r="G767" s="261"/>
      <c r="H767" s="264"/>
      <c r="I767" s="483"/>
      <c r="J767" s="718"/>
      <c r="L767" s="713"/>
      <c r="M767" s="713"/>
      <c r="N767" s="713"/>
    </row>
    <row r="768">
      <c r="C768" s="483"/>
      <c r="D768" s="355"/>
      <c r="E768" s="672"/>
      <c r="F768" s="255"/>
      <c r="G768" s="261"/>
      <c r="H768" s="264"/>
      <c r="I768" s="483"/>
      <c r="J768" s="718"/>
      <c r="L768" s="713"/>
      <c r="M768" s="713"/>
      <c r="N768" s="713"/>
    </row>
    <row r="769">
      <c r="C769" s="483"/>
      <c r="D769" s="355"/>
      <c r="E769" s="672"/>
      <c r="F769" s="255"/>
      <c r="G769" s="261"/>
      <c r="H769" s="264"/>
      <c r="I769" s="483"/>
      <c r="J769" s="718"/>
      <c r="L769" s="713"/>
      <c r="M769" s="713"/>
      <c r="N769" s="713"/>
    </row>
    <row r="770">
      <c r="C770" s="483"/>
      <c r="D770" s="355"/>
      <c r="E770" s="672"/>
      <c r="F770" s="255"/>
      <c r="G770" s="261"/>
      <c r="H770" s="264"/>
      <c r="I770" s="483"/>
      <c r="J770" s="718"/>
      <c r="L770" s="713"/>
      <c r="M770" s="713"/>
      <c r="N770" s="713"/>
    </row>
    <row r="771">
      <c r="C771" s="483"/>
      <c r="D771" s="355"/>
      <c r="E771" s="672"/>
      <c r="F771" s="255"/>
      <c r="G771" s="261"/>
      <c r="H771" s="264"/>
      <c r="I771" s="483"/>
      <c r="J771" s="718"/>
      <c r="L771" s="713"/>
      <c r="M771" s="713"/>
      <c r="N771" s="713"/>
    </row>
    <row r="772">
      <c r="C772" s="483"/>
      <c r="D772" s="355"/>
      <c r="E772" s="672"/>
      <c r="F772" s="255"/>
      <c r="G772" s="261"/>
      <c r="H772" s="264"/>
      <c r="I772" s="483"/>
      <c r="J772" s="718"/>
      <c r="L772" s="713"/>
      <c r="M772" s="713"/>
      <c r="N772" s="713"/>
    </row>
    <row r="773">
      <c r="C773" s="483"/>
      <c r="D773" s="355"/>
      <c r="E773" s="672"/>
      <c r="F773" s="255"/>
      <c r="G773" s="261"/>
      <c r="H773" s="264"/>
      <c r="I773" s="483"/>
      <c r="J773" s="718"/>
      <c r="L773" s="713"/>
      <c r="M773" s="713"/>
      <c r="N773" s="713"/>
    </row>
    <row r="774">
      <c r="C774" s="483"/>
      <c r="D774" s="355"/>
      <c r="E774" s="672"/>
      <c r="F774" s="255"/>
      <c r="G774" s="261"/>
      <c r="H774" s="264"/>
      <c r="I774" s="483"/>
      <c r="J774" s="718"/>
      <c r="L774" s="713"/>
      <c r="M774" s="713"/>
      <c r="N774" s="713"/>
    </row>
    <row r="775">
      <c r="C775" s="483"/>
      <c r="D775" s="355"/>
      <c r="E775" s="672"/>
      <c r="F775" s="255"/>
      <c r="G775" s="261"/>
      <c r="H775" s="264"/>
      <c r="I775" s="483"/>
      <c r="J775" s="718"/>
      <c r="L775" s="713"/>
      <c r="M775" s="713"/>
      <c r="N775" s="713"/>
    </row>
    <row r="776">
      <c r="C776" s="483"/>
      <c r="D776" s="355"/>
      <c r="E776" s="672"/>
      <c r="F776" s="255"/>
      <c r="G776" s="261"/>
      <c r="H776" s="264"/>
      <c r="I776" s="483"/>
      <c r="J776" s="718"/>
      <c r="L776" s="713"/>
      <c r="M776" s="713"/>
      <c r="N776" s="713"/>
    </row>
    <row r="777">
      <c r="C777" s="483"/>
      <c r="D777" s="355"/>
      <c r="E777" s="672"/>
      <c r="F777" s="255"/>
      <c r="G777" s="261"/>
      <c r="H777" s="264"/>
      <c r="I777" s="483"/>
      <c r="J777" s="718"/>
      <c r="L777" s="713"/>
      <c r="M777" s="713"/>
      <c r="N777" s="713"/>
    </row>
    <row r="778">
      <c r="C778" s="483"/>
      <c r="D778" s="355"/>
      <c r="E778" s="672"/>
      <c r="F778" s="255"/>
      <c r="G778" s="261"/>
      <c r="H778" s="264"/>
      <c r="I778" s="483"/>
      <c r="J778" s="718"/>
      <c r="L778" s="713"/>
      <c r="M778" s="713"/>
      <c r="N778" s="713"/>
    </row>
    <row r="779">
      <c r="C779" s="483"/>
      <c r="D779" s="355"/>
      <c r="E779" s="672"/>
      <c r="F779" s="255"/>
      <c r="G779" s="261"/>
      <c r="H779" s="264"/>
      <c r="I779" s="483"/>
      <c r="J779" s="718"/>
      <c r="L779" s="713"/>
      <c r="M779" s="713"/>
      <c r="N779" s="713"/>
    </row>
    <row r="780">
      <c r="C780" s="483"/>
      <c r="D780" s="355"/>
      <c r="E780" s="672"/>
      <c r="F780" s="255"/>
      <c r="G780" s="261"/>
      <c r="H780" s="264"/>
      <c r="I780" s="483"/>
      <c r="J780" s="718"/>
      <c r="L780" s="713"/>
      <c r="M780" s="713"/>
      <c r="N780" s="713"/>
    </row>
    <row r="781">
      <c r="C781" s="483"/>
      <c r="D781" s="355"/>
      <c r="E781" s="672"/>
      <c r="F781" s="255"/>
      <c r="G781" s="261"/>
      <c r="H781" s="264"/>
      <c r="I781" s="483"/>
      <c r="J781" s="718"/>
      <c r="L781" s="713"/>
      <c r="M781" s="713"/>
      <c r="N781" s="713"/>
    </row>
    <row r="782">
      <c r="C782" s="483"/>
      <c r="D782" s="355"/>
      <c r="E782" s="672"/>
      <c r="F782" s="255"/>
      <c r="G782" s="261"/>
      <c r="H782" s="264"/>
      <c r="I782" s="483"/>
      <c r="J782" s="718"/>
      <c r="L782" s="713"/>
      <c r="M782" s="713"/>
      <c r="N782" s="713"/>
    </row>
    <row r="783">
      <c r="C783" s="483"/>
      <c r="D783" s="355"/>
      <c r="E783" s="672"/>
      <c r="F783" s="255"/>
      <c r="G783" s="261"/>
      <c r="H783" s="264"/>
      <c r="I783" s="483"/>
      <c r="J783" s="718"/>
      <c r="L783" s="713"/>
      <c r="M783" s="713"/>
      <c r="N783" s="713"/>
    </row>
    <row r="784">
      <c r="C784" s="483"/>
      <c r="D784" s="355"/>
      <c r="E784" s="672"/>
      <c r="F784" s="255"/>
      <c r="G784" s="261"/>
      <c r="H784" s="264"/>
      <c r="I784" s="483"/>
      <c r="J784" s="718"/>
      <c r="L784" s="713"/>
      <c r="M784" s="713"/>
      <c r="N784" s="713"/>
    </row>
    <row r="785">
      <c r="C785" s="483"/>
      <c r="D785" s="355"/>
      <c r="E785" s="672"/>
      <c r="F785" s="255"/>
      <c r="G785" s="261"/>
      <c r="H785" s="264"/>
      <c r="I785" s="483"/>
      <c r="J785" s="718"/>
      <c r="L785" s="713"/>
      <c r="M785" s="713"/>
      <c r="N785" s="713"/>
    </row>
    <row r="786">
      <c r="C786" s="483"/>
      <c r="D786" s="355"/>
      <c r="E786" s="672"/>
      <c r="F786" s="255"/>
      <c r="G786" s="261"/>
      <c r="H786" s="264"/>
      <c r="I786" s="483"/>
      <c r="J786" s="718"/>
      <c r="L786" s="713"/>
      <c r="M786" s="713"/>
      <c r="N786" s="713"/>
    </row>
    <row r="787">
      <c r="C787" s="483"/>
      <c r="D787" s="355"/>
      <c r="E787" s="672"/>
      <c r="F787" s="255"/>
      <c r="G787" s="261"/>
      <c r="H787" s="264"/>
      <c r="I787" s="483"/>
      <c r="J787" s="718"/>
      <c r="L787" s="713"/>
      <c r="M787" s="713"/>
      <c r="N787" s="713"/>
    </row>
    <row r="788">
      <c r="C788" s="483"/>
      <c r="D788" s="355"/>
      <c r="E788" s="672"/>
      <c r="F788" s="255"/>
      <c r="G788" s="261"/>
      <c r="H788" s="264"/>
      <c r="I788" s="483"/>
      <c r="J788" s="718"/>
      <c r="L788" s="713"/>
      <c r="M788" s="713"/>
      <c r="N788" s="713"/>
    </row>
    <row r="789">
      <c r="C789" s="483"/>
      <c r="D789" s="355"/>
      <c r="E789" s="672"/>
      <c r="F789" s="255"/>
      <c r="G789" s="261"/>
      <c r="H789" s="264"/>
      <c r="I789" s="483"/>
      <c r="J789" s="718"/>
      <c r="L789" s="713"/>
      <c r="M789" s="713"/>
      <c r="N789" s="713"/>
    </row>
    <row r="790">
      <c r="C790" s="483"/>
      <c r="D790" s="355"/>
      <c r="E790" s="672"/>
      <c r="F790" s="255"/>
      <c r="G790" s="261"/>
      <c r="H790" s="264"/>
      <c r="I790" s="483"/>
      <c r="J790" s="718"/>
      <c r="L790" s="713"/>
      <c r="M790" s="713"/>
      <c r="N790" s="713"/>
    </row>
    <row r="791">
      <c r="C791" s="483"/>
      <c r="D791" s="355"/>
      <c r="E791" s="672"/>
      <c r="F791" s="255"/>
      <c r="G791" s="261"/>
      <c r="H791" s="264"/>
      <c r="I791" s="483"/>
      <c r="J791" s="718"/>
      <c r="L791" s="713"/>
      <c r="M791" s="713"/>
      <c r="N791" s="713"/>
    </row>
    <row r="792">
      <c r="C792" s="483"/>
      <c r="D792" s="355"/>
      <c r="E792" s="672"/>
      <c r="F792" s="255"/>
      <c r="G792" s="261"/>
      <c r="H792" s="264"/>
      <c r="I792" s="483"/>
      <c r="J792" s="718"/>
      <c r="L792" s="713"/>
      <c r="M792" s="713"/>
      <c r="N792" s="713"/>
    </row>
    <row r="793">
      <c r="C793" s="483"/>
      <c r="D793" s="355"/>
      <c r="E793" s="672"/>
      <c r="F793" s="255"/>
      <c r="G793" s="261"/>
      <c r="H793" s="264"/>
      <c r="I793" s="483"/>
      <c r="J793" s="718"/>
      <c r="L793" s="713"/>
      <c r="M793" s="713"/>
      <c r="N793" s="713"/>
    </row>
    <row r="794">
      <c r="C794" s="483"/>
      <c r="D794" s="355"/>
      <c r="E794" s="672"/>
      <c r="F794" s="255"/>
      <c r="G794" s="261"/>
      <c r="H794" s="264"/>
      <c r="I794" s="483"/>
      <c r="J794" s="718"/>
      <c r="L794" s="713"/>
      <c r="M794" s="713"/>
      <c r="N794" s="713"/>
    </row>
    <row r="795">
      <c r="C795" s="483"/>
      <c r="D795" s="355"/>
      <c r="E795" s="672"/>
      <c r="F795" s="255"/>
      <c r="G795" s="261"/>
      <c r="H795" s="264"/>
      <c r="I795" s="483"/>
      <c r="J795" s="718"/>
      <c r="L795" s="713"/>
      <c r="M795" s="713"/>
      <c r="N795" s="713"/>
    </row>
    <row r="796">
      <c r="C796" s="483"/>
      <c r="D796" s="355"/>
      <c r="E796" s="672"/>
      <c r="F796" s="255"/>
      <c r="G796" s="261"/>
      <c r="H796" s="264"/>
      <c r="I796" s="483"/>
      <c r="J796" s="718"/>
      <c r="L796" s="713"/>
      <c r="M796" s="713"/>
      <c r="N796" s="713"/>
    </row>
    <row r="797">
      <c r="C797" s="483"/>
      <c r="D797" s="355"/>
      <c r="E797" s="672"/>
      <c r="F797" s="255"/>
      <c r="G797" s="261"/>
      <c r="H797" s="264"/>
      <c r="I797" s="483"/>
      <c r="J797" s="718"/>
      <c r="L797" s="713"/>
      <c r="M797" s="713"/>
      <c r="N797" s="713"/>
    </row>
    <row r="798">
      <c r="C798" s="483"/>
      <c r="D798" s="355"/>
      <c r="E798" s="672"/>
      <c r="F798" s="255"/>
      <c r="G798" s="261"/>
      <c r="H798" s="264"/>
      <c r="I798" s="483"/>
      <c r="J798" s="718"/>
      <c r="L798" s="713"/>
      <c r="M798" s="713"/>
      <c r="N798" s="713"/>
    </row>
    <row r="799">
      <c r="C799" s="483"/>
      <c r="D799" s="355"/>
      <c r="E799" s="672"/>
      <c r="F799" s="255"/>
      <c r="G799" s="261"/>
      <c r="H799" s="264"/>
      <c r="I799" s="483"/>
      <c r="J799" s="718"/>
      <c r="L799" s="713"/>
      <c r="M799" s="713"/>
      <c r="N799" s="713"/>
    </row>
    <row r="800">
      <c r="C800" s="483"/>
      <c r="D800" s="355"/>
      <c r="E800" s="672"/>
      <c r="F800" s="255"/>
      <c r="G800" s="261"/>
      <c r="H800" s="264"/>
      <c r="I800" s="483"/>
      <c r="J800" s="718"/>
      <c r="L800" s="713"/>
      <c r="M800" s="713"/>
      <c r="N800" s="713"/>
    </row>
    <row r="801">
      <c r="C801" s="483"/>
      <c r="D801" s="355"/>
      <c r="E801" s="672"/>
      <c r="F801" s="255"/>
      <c r="G801" s="261"/>
      <c r="H801" s="264"/>
      <c r="I801" s="483"/>
      <c r="J801" s="718"/>
      <c r="L801" s="713"/>
      <c r="M801" s="713"/>
      <c r="N801" s="713"/>
    </row>
    <row r="802">
      <c r="C802" s="483"/>
      <c r="D802" s="355"/>
      <c r="E802" s="672"/>
      <c r="F802" s="255"/>
      <c r="G802" s="261"/>
      <c r="H802" s="264"/>
      <c r="I802" s="483"/>
      <c r="J802" s="718"/>
      <c r="L802" s="713"/>
      <c r="M802" s="713"/>
      <c r="N802" s="713"/>
    </row>
    <row r="803">
      <c r="C803" s="483"/>
      <c r="D803" s="355"/>
      <c r="E803" s="672"/>
      <c r="F803" s="255"/>
      <c r="G803" s="261"/>
      <c r="H803" s="264"/>
      <c r="I803" s="483"/>
      <c r="J803" s="718"/>
      <c r="L803" s="713"/>
      <c r="M803" s="713"/>
      <c r="N803" s="713"/>
    </row>
    <row r="804">
      <c r="C804" s="483"/>
      <c r="D804" s="355"/>
      <c r="E804" s="672"/>
      <c r="F804" s="255"/>
      <c r="G804" s="261"/>
      <c r="H804" s="264"/>
      <c r="I804" s="483"/>
      <c r="J804" s="718"/>
      <c r="L804" s="713"/>
      <c r="M804" s="713"/>
      <c r="N804" s="713"/>
    </row>
    <row r="805">
      <c r="C805" s="483"/>
      <c r="D805" s="355"/>
      <c r="E805" s="672"/>
      <c r="F805" s="255"/>
      <c r="G805" s="261"/>
      <c r="H805" s="264"/>
      <c r="I805" s="483"/>
      <c r="J805" s="718"/>
      <c r="L805" s="713"/>
      <c r="M805" s="713"/>
      <c r="N805" s="713"/>
    </row>
    <row r="806">
      <c r="C806" s="483"/>
      <c r="D806" s="355"/>
      <c r="E806" s="672"/>
      <c r="F806" s="255"/>
      <c r="G806" s="261"/>
      <c r="H806" s="264"/>
      <c r="I806" s="483"/>
      <c r="J806" s="718"/>
      <c r="L806" s="713"/>
      <c r="M806" s="713"/>
      <c r="N806" s="713"/>
    </row>
    <row r="807">
      <c r="C807" s="483"/>
      <c r="D807" s="355"/>
      <c r="E807" s="672"/>
      <c r="F807" s="255"/>
      <c r="G807" s="261"/>
      <c r="H807" s="264"/>
      <c r="I807" s="483"/>
      <c r="J807" s="718"/>
      <c r="L807" s="713"/>
      <c r="M807" s="713"/>
      <c r="N807" s="713"/>
    </row>
    <row r="808">
      <c r="C808" s="483"/>
      <c r="D808" s="355"/>
      <c r="E808" s="672"/>
      <c r="F808" s="255"/>
      <c r="G808" s="261"/>
      <c r="H808" s="264"/>
      <c r="I808" s="483"/>
      <c r="J808" s="718"/>
      <c r="L808" s="713"/>
      <c r="M808" s="713"/>
      <c r="N808" s="713"/>
    </row>
    <row r="809">
      <c r="C809" s="483"/>
      <c r="D809" s="355"/>
      <c r="E809" s="672"/>
      <c r="F809" s="255"/>
      <c r="G809" s="261"/>
      <c r="H809" s="264"/>
      <c r="I809" s="483"/>
      <c r="J809" s="718"/>
      <c r="L809" s="713"/>
      <c r="M809" s="713"/>
      <c r="N809" s="713"/>
    </row>
    <row r="810">
      <c r="C810" s="483"/>
      <c r="D810" s="355"/>
      <c r="E810" s="672"/>
      <c r="F810" s="255"/>
      <c r="G810" s="261"/>
      <c r="H810" s="264"/>
      <c r="I810" s="483"/>
      <c r="J810" s="718"/>
      <c r="L810" s="713"/>
      <c r="M810" s="713"/>
      <c r="N810" s="713"/>
    </row>
    <row r="811">
      <c r="C811" s="483"/>
      <c r="D811" s="355"/>
      <c r="E811" s="672"/>
      <c r="F811" s="255"/>
      <c r="G811" s="261"/>
      <c r="H811" s="264"/>
      <c r="I811" s="483"/>
      <c r="J811" s="718"/>
      <c r="L811" s="713"/>
      <c r="M811" s="713"/>
      <c r="N811" s="713"/>
    </row>
    <row r="812">
      <c r="C812" s="483"/>
      <c r="D812" s="355"/>
      <c r="E812" s="672"/>
      <c r="F812" s="255"/>
      <c r="G812" s="261"/>
      <c r="H812" s="264"/>
      <c r="I812" s="483"/>
      <c r="J812" s="718"/>
      <c r="L812" s="713"/>
      <c r="M812" s="713"/>
      <c r="N812" s="713"/>
    </row>
    <row r="813">
      <c r="C813" s="483"/>
      <c r="D813" s="355"/>
      <c r="E813" s="672"/>
      <c r="F813" s="255"/>
      <c r="G813" s="261"/>
      <c r="H813" s="264"/>
      <c r="I813" s="483"/>
      <c r="J813" s="718"/>
      <c r="L813" s="713"/>
      <c r="M813" s="713"/>
      <c r="N813" s="713"/>
    </row>
    <row r="814">
      <c r="C814" s="483"/>
      <c r="D814" s="355"/>
      <c r="E814" s="672"/>
      <c r="F814" s="255"/>
      <c r="G814" s="261"/>
      <c r="H814" s="264"/>
      <c r="I814" s="483"/>
      <c r="J814" s="718"/>
      <c r="L814" s="713"/>
      <c r="M814" s="713"/>
      <c r="N814" s="713"/>
    </row>
    <row r="815">
      <c r="C815" s="483"/>
      <c r="D815" s="355"/>
      <c r="E815" s="672"/>
      <c r="F815" s="255"/>
      <c r="G815" s="261"/>
      <c r="H815" s="264"/>
      <c r="I815" s="483"/>
      <c r="J815" s="718"/>
      <c r="L815" s="713"/>
      <c r="M815" s="713"/>
      <c r="N815" s="713"/>
    </row>
    <row r="816">
      <c r="C816" s="483"/>
      <c r="D816" s="355"/>
      <c r="E816" s="672"/>
      <c r="F816" s="255"/>
      <c r="G816" s="261"/>
      <c r="H816" s="264"/>
      <c r="I816" s="483"/>
      <c r="J816" s="718"/>
      <c r="L816" s="713"/>
      <c r="M816" s="713"/>
      <c r="N816" s="713"/>
    </row>
    <row r="817">
      <c r="C817" s="483"/>
      <c r="D817" s="355"/>
      <c r="E817" s="672"/>
      <c r="F817" s="255"/>
      <c r="G817" s="261"/>
      <c r="H817" s="264"/>
      <c r="I817" s="483"/>
      <c r="J817" s="718"/>
      <c r="L817" s="713"/>
      <c r="M817" s="713"/>
      <c r="N817" s="713"/>
    </row>
    <row r="818">
      <c r="C818" s="483"/>
      <c r="D818" s="355"/>
      <c r="E818" s="672"/>
      <c r="F818" s="255"/>
      <c r="G818" s="261"/>
      <c r="H818" s="264"/>
      <c r="I818" s="483"/>
      <c r="J818" s="718"/>
      <c r="L818" s="713"/>
      <c r="M818" s="713"/>
      <c r="N818" s="713"/>
    </row>
    <row r="819">
      <c r="C819" s="483"/>
      <c r="D819" s="355"/>
      <c r="E819" s="672"/>
      <c r="F819" s="255"/>
      <c r="G819" s="261"/>
      <c r="H819" s="264"/>
      <c r="I819" s="483"/>
      <c r="J819" s="718"/>
      <c r="L819" s="713"/>
      <c r="M819" s="713"/>
      <c r="N819" s="713"/>
    </row>
    <row r="820">
      <c r="C820" s="483"/>
      <c r="D820" s="355"/>
      <c r="E820" s="672"/>
      <c r="F820" s="255"/>
      <c r="G820" s="261"/>
      <c r="H820" s="264"/>
      <c r="I820" s="483"/>
      <c r="J820" s="718"/>
      <c r="L820" s="713"/>
      <c r="M820" s="713"/>
      <c r="N820" s="713"/>
    </row>
    <row r="821">
      <c r="C821" s="483"/>
      <c r="D821" s="355"/>
      <c r="E821" s="672"/>
      <c r="F821" s="255"/>
      <c r="G821" s="261"/>
      <c r="H821" s="264"/>
      <c r="I821" s="483"/>
      <c r="J821" s="718"/>
      <c r="L821" s="713"/>
      <c r="M821" s="713"/>
      <c r="N821" s="713"/>
    </row>
    <row r="822">
      <c r="C822" s="483"/>
      <c r="D822" s="355"/>
      <c r="E822" s="672"/>
      <c r="F822" s="255"/>
      <c r="G822" s="261"/>
      <c r="H822" s="264"/>
      <c r="I822" s="483"/>
      <c r="J822" s="718"/>
      <c r="L822" s="713"/>
      <c r="M822" s="713"/>
      <c r="N822" s="713"/>
    </row>
    <row r="823">
      <c r="C823" s="483"/>
      <c r="D823" s="355"/>
      <c r="E823" s="672"/>
      <c r="F823" s="255"/>
      <c r="G823" s="261"/>
      <c r="H823" s="264"/>
      <c r="I823" s="483"/>
      <c r="J823" s="718"/>
      <c r="L823" s="713"/>
      <c r="M823" s="713"/>
      <c r="N823" s="713"/>
    </row>
    <row r="824">
      <c r="C824" s="483"/>
      <c r="D824" s="355"/>
      <c r="E824" s="672"/>
      <c r="F824" s="255"/>
      <c r="G824" s="261"/>
      <c r="H824" s="264"/>
      <c r="I824" s="483"/>
      <c r="J824" s="718"/>
      <c r="L824" s="713"/>
      <c r="M824" s="713"/>
      <c r="N824" s="713"/>
    </row>
    <row r="825">
      <c r="C825" s="483"/>
      <c r="D825" s="355"/>
      <c r="E825" s="672"/>
      <c r="F825" s="255"/>
      <c r="G825" s="261"/>
      <c r="H825" s="264"/>
      <c r="I825" s="483"/>
      <c r="J825" s="718"/>
      <c r="L825" s="713"/>
      <c r="M825" s="713"/>
      <c r="N825" s="713"/>
    </row>
    <row r="826">
      <c r="C826" s="483"/>
      <c r="D826" s="355"/>
      <c r="E826" s="672"/>
      <c r="F826" s="255"/>
      <c r="G826" s="261"/>
      <c r="H826" s="264"/>
      <c r="I826" s="483"/>
      <c r="J826" s="718"/>
      <c r="L826" s="713"/>
      <c r="M826" s="713"/>
      <c r="N826" s="713"/>
    </row>
    <row r="827">
      <c r="C827" s="483"/>
      <c r="D827" s="355"/>
      <c r="E827" s="672"/>
      <c r="F827" s="255"/>
      <c r="G827" s="261"/>
      <c r="H827" s="264"/>
      <c r="I827" s="483"/>
      <c r="J827" s="718"/>
      <c r="L827" s="713"/>
      <c r="M827" s="713"/>
      <c r="N827" s="713"/>
    </row>
    <row r="828">
      <c r="C828" s="483"/>
      <c r="D828" s="355"/>
      <c r="E828" s="672"/>
      <c r="F828" s="255"/>
      <c r="G828" s="261"/>
      <c r="H828" s="264"/>
      <c r="I828" s="483"/>
      <c r="J828" s="718"/>
      <c r="L828" s="713"/>
      <c r="M828" s="713"/>
      <c r="N828" s="713"/>
    </row>
    <row r="829">
      <c r="C829" s="483"/>
      <c r="D829" s="355"/>
      <c r="E829" s="672"/>
      <c r="F829" s="255"/>
      <c r="G829" s="261"/>
      <c r="H829" s="264"/>
      <c r="I829" s="483"/>
      <c r="J829" s="718"/>
      <c r="L829" s="713"/>
      <c r="M829" s="713"/>
      <c r="N829" s="713"/>
    </row>
    <row r="830">
      <c r="C830" s="483"/>
      <c r="D830" s="355"/>
      <c r="E830" s="672"/>
      <c r="F830" s="255"/>
      <c r="G830" s="261"/>
      <c r="H830" s="264"/>
      <c r="I830" s="483"/>
      <c r="J830" s="718"/>
      <c r="L830" s="713"/>
      <c r="M830" s="713"/>
      <c r="N830" s="713"/>
    </row>
    <row r="831">
      <c r="C831" s="483"/>
      <c r="D831" s="355"/>
      <c r="E831" s="672"/>
      <c r="F831" s="255"/>
      <c r="G831" s="261"/>
      <c r="H831" s="264"/>
      <c r="I831" s="483"/>
      <c r="J831" s="718"/>
      <c r="L831" s="713"/>
      <c r="M831" s="713"/>
      <c r="N831" s="713"/>
    </row>
    <row r="832">
      <c r="C832" s="483"/>
      <c r="D832" s="355"/>
      <c r="E832" s="672"/>
      <c r="F832" s="255"/>
      <c r="G832" s="261"/>
      <c r="H832" s="264"/>
      <c r="I832" s="483"/>
      <c r="J832" s="718"/>
      <c r="L832" s="713"/>
      <c r="M832" s="713"/>
      <c r="N832" s="713"/>
    </row>
    <row r="833">
      <c r="C833" s="483"/>
      <c r="D833" s="355"/>
      <c r="E833" s="672"/>
      <c r="F833" s="255"/>
      <c r="G833" s="261"/>
      <c r="H833" s="264"/>
      <c r="I833" s="483"/>
      <c r="J833" s="718"/>
      <c r="L833" s="713"/>
      <c r="M833" s="713"/>
      <c r="N833" s="713"/>
    </row>
    <row r="834">
      <c r="C834" s="483"/>
      <c r="D834" s="355"/>
      <c r="E834" s="672"/>
      <c r="F834" s="255"/>
      <c r="G834" s="261"/>
      <c r="H834" s="264"/>
      <c r="I834" s="483"/>
      <c r="J834" s="718"/>
      <c r="L834" s="713"/>
      <c r="M834" s="713"/>
      <c r="N834" s="713"/>
    </row>
    <row r="835">
      <c r="C835" s="483"/>
      <c r="D835" s="355"/>
      <c r="E835" s="672"/>
      <c r="F835" s="255"/>
      <c r="G835" s="261"/>
      <c r="H835" s="264"/>
      <c r="I835" s="483"/>
      <c r="J835" s="718"/>
      <c r="L835" s="713"/>
      <c r="M835" s="713"/>
      <c r="N835" s="713"/>
    </row>
    <row r="836">
      <c r="C836" s="483"/>
      <c r="D836" s="355"/>
      <c r="E836" s="672"/>
      <c r="F836" s="255"/>
      <c r="G836" s="261"/>
      <c r="H836" s="264"/>
      <c r="I836" s="483"/>
      <c r="J836" s="718"/>
      <c r="L836" s="713"/>
      <c r="M836" s="713"/>
      <c r="N836" s="713"/>
    </row>
    <row r="837">
      <c r="C837" s="483"/>
      <c r="D837" s="355"/>
      <c r="E837" s="672"/>
      <c r="F837" s="255"/>
      <c r="G837" s="261"/>
      <c r="H837" s="264"/>
      <c r="I837" s="483"/>
      <c r="J837" s="718"/>
      <c r="L837" s="713"/>
      <c r="M837" s="713"/>
      <c r="N837" s="713"/>
    </row>
    <row r="838">
      <c r="C838" s="483"/>
      <c r="D838" s="355"/>
      <c r="E838" s="672"/>
      <c r="F838" s="255"/>
      <c r="G838" s="261"/>
      <c r="H838" s="264"/>
      <c r="I838" s="483"/>
      <c r="J838" s="718"/>
      <c r="L838" s="713"/>
      <c r="M838" s="713"/>
      <c r="N838" s="713"/>
    </row>
    <row r="839">
      <c r="C839" s="483"/>
      <c r="D839" s="355"/>
      <c r="E839" s="672"/>
      <c r="F839" s="255"/>
      <c r="G839" s="261"/>
      <c r="H839" s="264"/>
      <c r="I839" s="483"/>
      <c r="J839" s="718"/>
      <c r="L839" s="713"/>
      <c r="M839" s="713"/>
      <c r="N839" s="713"/>
    </row>
    <row r="840">
      <c r="C840" s="483"/>
      <c r="D840" s="355"/>
      <c r="E840" s="672"/>
      <c r="F840" s="255"/>
      <c r="G840" s="261"/>
      <c r="H840" s="264"/>
      <c r="I840" s="483"/>
      <c r="J840" s="718"/>
      <c r="L840" s="713"/>
      <c r="M840" s="713"/>
      <c r="N840" s="713"/>
    </row>
    <row r="841">
      <c r="C841" s="483"/>
      <c r="D841" s="355"/>
      <c r="E841" s="672"/>
      <c r="F841" s="255"/>
      <c r="G841" s="261"/>
      <c r="H841" s="264"/>
      <c r="I841" s="483"/>
      <c r="J841" s="718"/>
      <c r="L841" s="713"/>
      <c r="M841" s="713"/>
      <c r="N841" s="713"/>
    </row>
    <row r="842">
      <c r="C842" s="483"/>
      <c r="D842" s="355"/>
      <c r="E842" s="672"/>
      <c r="F842" s="255"/>
      <c r="G842" s="261"/>
      <c r="H842" s="264"/>
      <c r="I842" s="483"/>
      <c r="J842" s="718"/>
      <c r="L842" s="713"/>
      <c r="M842" s="713"/>
      <c r="N842" s="713"/>
    </row>
    <row r="843">
      <c r="C843" s="483"/>
      <c r="D843" s="355"/>
      <c r="E843" s="672"/>
      <c r="F843" s="255"/>
      <c r="G843" s="261"/>
      <c r="H843" s="264"/>
      <c r="I843" s="483"/>
      <c r="J843" s="718"/>
      <c r="L843" s="713"/>
      <c r="M843" s="713"/>
      <c r="N843" s="713"/>
    </row>
    <row r="844">
      <c r="C844" s="483"/>
      <c r="D844" s="355"/>
      <c r="E844" s="672"/>
      <c r="F844" s="255"/>
      <c r="G844" s="261"/>
      <c r="H844" s="264"/>
      <c r="I844" s="483"/>
      <c r="J844" s="718"/>
      <c r="L844" s="713"/>
      <c r="M844" s="713"/>
      <c r="N844" s="713"/>
    </row>
    <row r="845">
      <c r="C845" s="483"/>
      <c r="D845" s="355"/>
      <c r="E845" s="672"/>
      <c r="F845" s="255"/>
      <c r="G845" s="261"/>
      <c r="H845" s="264"/>
      <c r="I845" s="483"/>
      <c r="J845" s="718"/>
      <c r="L845" s="713"/>
      <c r="M845" s="713"/>
      <c r="N845" s="713"/>
    </row>
    <row r="846">
      <c r="C846" s="483"/>
      <c r="D846" s="355"/>
      <c r="E846" s="672"/>
      <c r="F846" s="255"/>
      <c r="G846" s="261"/>
      <c r="H846" s="264"/>
      <c r="I846" s="483"/>
      <c r="J846" s="718"/>
      <c r="L846" s="713"/>
      <c r="M846" s="713"/>
      <c r="N846" s="713"/>
    </row>
    <row r="847">
      <c r="C847" s="483"/>
      <c r="D847" s="355"/>
      <c r="E847" s="672"/>
      <c r="F847" s="255"/>
      <c r="G847" s="261"/>
      <c r="H847" s="264"/>
      <c r="I847" s="483"/>
      <c r="J847" s="718"/>
      <c r="L847" s="713"/>
      <c r="M847" s="713"/>
      <c r="N847" s="713"/>
    </row>
    <row r="848">
      <c r="C848" s="483"/>
      <c r="D848" s="355"/>
      <c r="E848" s="672"/>
      <c r="F848" s="255"/>
      <c r="G848" s="261"/>
      <c r="H848" s="264"/>
      <c r="I848" s="483"/>
      <c r="J848" s="718"/>
      <c r="L848" s="713"/>
      <c r="M848" s="713"/>
      <c r="N848" s="713"/>
    </row>
    <row r="849">
      <c r="C849" s="483"/>
      <c r="D849" s="355"/>
      <c r="E849" s="672"/>
      <c r="F849" s="255"/>
      <c r="G849" s="261"/>
      <c r="H849" s="264"/>
      <c r="I849" s="483"/>
      <c r="J849" s="718"/>
      <c r="L849" s="713"/>
      <c r="M849" s="713"/>
      <c r="N849" s="713"/>
    </row>
    <row r="850">
      <c r="C850" s="483"/>
      <c r="D850" s="355"/>
      <c r="E850" s="672"/>
      <c r="F850" s="255"/>
      <c r="G850" s="261"/>
      <c r="H850" s="264"/>
      <c r="I850" s="483"/>
      <c r="J850" s="718"/>
      <c r="L850" s="713"/>
      <c r="M850" s="713"/>
      <c r="N850" s="713"/>
    </row>
    <row r="851">
      <c r="C851" s="483"/>
      <c r="D851" s="355"/>
      <c r="E851" s="672"/>
      <c r="F851" s="255"/>
      <c r="G851" s="261"/>
      <c r="H851" s="264"/>
      <c r="I851" s="483"/>
      <c r="J851" s="718"/>
      <c r="L851" s="713"/>
      <c r="M851" s="713"/>
      <c r="N851" s="713"/>
    </row>
    <row r="852">
      <c r="C852" s="483"/>
      <c r="D852" s="355"/>
      <c r="E852" s="672"/>
      <c r="F852" s="255"/>
      <c r="G852" s="261"/>
      <c r="H852" s="264"/>
      <c r="I852" s="483"/>
      <c r="J852" s="718"/>
      <c r="L852" s="713"/>
      <c r="M852" s="713"/>
      <c r="N852" s="713"/>
    </row>
    <row r="853">
      <c r="C853" s="483"/>
      <c r="D853" s="355"/>
      <c r="E853" s="672"/>
      <c r="F853" s="255"/>
      <c r="G853" s="261"/>
      <c r="H853" s="264"/>
      <c r="I853" s="483"/>
      <c r="J853" s="718"/>
      <c r="L853" s="713"/>
      <c r="M853" s="713"/>
      <c r="N853" s="713"/>
    </row>
    <row r="854">
      <c r="C854" s="483"/>
      <c r="D854" s="355"/>
      <c r="E854" s="672"/>
      <c r="F854" s="255"/>
      <c r="G854" s="261"/>
      <c r="H854" s="264"/>
      <c r="I854" s="483"/>
      <c r="J854" s="718"/>
      <c r="L854" s="713"/>
      <c r="M854" s="713"/>
      <c r="N854" s="713"/>
    </row>
    <row r="855">
      <c r="C855" s="483"/>
      <c r="D855" s="355"/>
      <c r="E855" s="672"/>
      <c r="F855" s="255"/>
      <c r="G855" s="261"/>
      <c r="H855" s="264"/>
      <c r="I855" s="483"/>
      <c r="J855" s="718"/>
      <c r="L855" s="713"/>
      <c r="M855" s="713"/>
      <c r="N855" s="713"/>
    </row>
    <row r="856">
      <c r="C856" s="483"/>
      <c r="D856" s="355"/>
      <c r="E856" s="672"/>
      <c r="F856" s="255"/>
      <c r="G856" s="261"/>
      <c r="H856" s="264"/>
      <c r="I856" s="483"/>
      <c r="J856" s="718"/>
      <c r="L856" s="713"/>
      <c r="M856" s="713"/>
      <c r="N856" s="713"/>
    </row>
    <row r="857">
      <c r="C857" s="483"/>
      <c r="D857" s="355"/>
      <c r="E857" s="672"/>
      <c r="F857" s="255"/>
      <c r="G857" s="261"/>
      <c r="H857" s="264"/>
      <c r="I857" s="483"/>
      <c r="J857" s="718"/>
      <c r="L857" s="713"/>
      <c r="M857" s="713"/>
      <c r="N857" s="713"/>
    </row>
    <row r="858">
      <c r="C858" s="483"/>
      <c r="D858" s="355"/>
      <c r="E858" s="672"/>
      <c r="F858" s="255"/>
      <c r="G858" s="261"/>
      <c r="H858" s="264"/>
      <c r="I858" s="483"/>
      <c r="J858" s="718"/>
      <c r="L858" s="713"/>
      <c r="M858" s="713"/>
      <c r="N858" s="713"/>
    </row>
    <row r="859">
      <c r="C859" s="483"/>
      <c r="D859" s="355"/>
      <c r="E859" s="672"/>
      <c r="F859" s="255"/>
      <c r="G859" s="261"/>
      <c r="H859" s="264"/>
      <c r="I859" s="483"/>
      <c r="J859" s="718"/>
      <c r="L859" s="713"/>
      <c r="M859" s="713"/>
      <c r="N859" s="713"/>
    </row>
    <row r="860">
      <c r="C860" s="483"/>
      <c r="D860" s="355"/>
      <c r="E860" s="672"/>
      <c r="F860" s="255"/>
      <c r="G860" s="261"/>
      <c r="H860" s="264"/>
      <c r="I860" s="483"/>
      <c r="J860" s="718"/>
      <c r="L860" s="713"/>
      <c r="M860" s="713"/>
      <c r="N860" s="713"/>
    </row>
    <row r="861">
      <c r="C861" s="483"/>
      <c r="D861" s="355"/>
      <c r="E861" s="672"/>
      <c r="F861" s="255"/>
      <c r="G861" s="261"/>
      <c r="H861" s="264"/>
      <c r="I861" s="483"/>
      <c r="J861" s="718"/>
      <c r="L861" s="713"/>
      <c r="M861" s="713"/>
      <c r="N861" s="713"/>
    </row>
    <row r="862">
      <c r="C862" s="483"/>
      <c r="D862" s="355"/>
      <c r="E862" s="672"/>
      <c r="F862" s="255"/>
      <c r="G862" s="261"/>
      <c r="H862" s="264"/>
      <c r="I862" s="483"/>
      <c r="J862" s="718"/>
      <c r="L862" s="713"/>
      <c r="M862" s="713"/>
      <c r="N862" s="713"/>
    </row>
    <row r="863">
      <c r="C863" s="483"/>
      <c r="D863" s="355"/>
      <c r="E863" s="672"/>
      <c r="F863" s="255"/>
      <c r="G863" s="261"/>
      <c r="H863" s="264"/>
      <c r="I863" s="483"/>
      <c r="J863" s="718"/>
      <c r="L863" s="713"/>
      <c r="M863" s="713"/>
      <c r="N863" s="713"/>
    </row>
    <row r="864">
      <c r="C864" s="483"/>
      <c r="D864" s="355"/>
      <c r="E864" s="672"/>
      <c r="F864" s="255"/>
      <c r="G864" s="261"/>
      <c r="H864" s="264"/>
      <c r="I864" s="483"/>
      <c r="J864" s="718"/>
      <c r="L864" s="713"/>
      <c r="M864" s="713"/>
      <c r="N864" s="713"/>
    </row>
    <row r="865">
      <c r="C865" s="483"/>
      <c r="D865" s="355"/>
      <c r="E865" s="672"/>
      <c r="F865" s="255"/>
      <c r="G865" s="261"/>
      <c r="H865" s="264"/>
      <c r="I865" s="483"/>
      <c r="J865" s="718"/>
      <c r="L865" s="713"/>
      <c r="M865" s="713"/>
      <c r="N865" s="713"/>
    </row>
    <row r="866">
      <c r="C866" s="483"/>
      <c r="D866" s="355"/>
      <c r="E866" s="672"/>
      <c r="F866" s="255"/>
      <c r="G866" s="261"/>
      <c r="H866" s="264"/>
      <c r="I866" s="483"/>
      <c r="J866" s="718"/>
      <c r="L866" s="713"/>
      <c r="M866" s="713"/>
      <c r="N866" s="713"/>
    </row>
    <row r="867">
      <c r="C867" s="483"/>
      <c r="D867" s="355"/>
      <c r="E867" s="672"/>
      <c r="F867" s="255"/>
      <c r="G867" s="261"/>
      <c r="H867" s="264"/>
      <c r="I867" s="483"/>
      <c r="J867" s="718"/>
      <c r="L867" s="713"/>
      <c r="M867" s="713"/>
      <c r="N867" s="713"/>
    </row>
    <row r="868">
      <c r="C868" s="483"/>
      <c r="D868" s="355"/>
      <c r="E868" s="672"/>
      <c r="F868" s="255"/>
      <c r="G868" s="261"/>
      <c r="H868" s="264"/>
      <c r="I868" s="483"/>
      <c r="J868" s="718"/>
      <c r="L868" s="713"/>
      <c r="M868" s="713"/>
      <c r="N868" s="713"/>
    </row>
    <row r="869">
      <c r="C869" s="483"/>
      <c r="D869" s="355"/>
      <c r="E869" s="672"/>
      <c r="F869" s="255"/>
      <c r="G869" s="261"/>
      <c r="H869" s="264"/>
      <c r="I869" s="483"/>
      <c r="J869" s="718"/>
      <c r="L869" s="713"/>
      <c r="M869" s="713"/>
      <c r="N869" s="713"/>
    </row>
    <row r="870">
      <c r="C870" s="483"/>
      <c r="D870" s="355"/>
      <c r="E870" s="672"/>
      <c r="F870" s="255"/>
      <c r="G870" s="261"/>
      <c r="H870" s="264"/>
      <c r="I870" s="483"/>
      <c r="J870" s="718"/>
      <c r="L870" s="713"/>
      <c r="M870" s="713"/>
      <c r="N870" s="713"/>
    </row>
    <row r="871">
      <c r="C871" s="483"/>
      <c r="D871" s="355"/>
      <c r="E871" s="672"/>
      <c r="F871" s="255"/>
      <c r="G871" s="261"/>
      <c r="H871" s="264"/>
      <c r="I871" s="483"/>
      <c r="J871" s="718"/>
      <c r="L871" s="713"/>
      <c r="M871" s="713"/>
      <c r="N871" s="713"/>
    </row>
    <row r="872">
      <c r="C872" s="483"/>
      <c r="D872" s="355"/>
      <c r="E872" s="672"/>
      <c r="F872" s="255"/>
      <c r="G872" s="261"/>
      <c r="H872" s="264"/>
      <c r="I872" s="483"/>
      <c r="J872" s="718"/>
      <c r="L872" s="713"/>
      <c r="M872" s="713"/>
      <c r="N872" s="713"/>
    </row>
    <row r="873">
      <c r="C873" s="483"/>
      <c r="D873" s="355"/>
      <c r="E873" s="672"/>
      <c r="F873" s="255"/>
      <c r="G873" s="261"/>
      <c r="H873" s="264"/>
      <c r="I873" s="483"/>
      <c r="J873" s="718"/>
      <c r="L873" s="713"/>
      <c r="M873" s="713"/>
      <c r="N873" s="713"/>
    </row>
    <row r="874">
      <c r="C874" s="483"/>
      <c r="D874" s="355"/>
      <c r="E874" s="672"/>
      <c r="F874" s="255"/>
      <c r="G874" s="261"/>
      <c r="H874" s="264"/>
      <c r="I874" s="483"/>
      <c r="J874" s="718"/>
      <c r="L874" s="713"/>
      <c r="M874" s="713"/>
      <c r="N874" s="713"/>
    </row>
    <row r="875">
      <c r="C875" s="483"/>
      <c r="D875" s="355"/>
      <c r="E875" s="672"/>
      <c r="F875" s="255"/>
      <c r="G875" s="261"/>
      <c r="H875" s="264"/>
      <c r="I875" s="483"/>
      <c r="J875" s="718"/>
      <c r="L875" s="713"/>
      <c r="M875" s="713"/>
      <c r="N875" s="713"/>
    </row>
    <row r="876">
      <c r="C876" s="483"/>
      <c r="D876" s="355"/>
      <c r="E876" s="672"/>
      <c r="F876" s="255"/>
      <c r="G876" s="261"/>
      <c r="H876" s="264"/>
      <c r="I876" s="483"/>
      <c r="J876" s="718"/>
      <c r="L876" s="713"/>
      <c r="M876" s="713"/>
      <c r="N876" s="713"/>
    </row>
    <row r="877">
      <c r="C877" s="483"/>
      <c r="D877" s="355"/>
      <c r="E877" s="672"/>
      <c r="F877" s="255"/>
      <c r="G877" s="261"/>
      <c r="H877" s="264"/>
      <c r="I877" s="483"/>
      <c r="J877" s="718"/>
      <c r="L877" s="713"/>
      <c r="M877" s="713"/>
      <c r="N877" s="713"/>
    </row>
    <row r="878">
      <c r="C878" s="483"/>
      <c r="D878" s="355"/>
      <c r="E878" s="672"/>
      <c r="F878" s="255"/>
      <c r="G878" s="261"/>
      <c r="H878" s="264"/>
      <c r="I878" s="483"/>
      <c r="J878" s="718"/>
      <c r="L878" s="713"/>
      <c r="M878" s="713"/>
      <c r="N878" s="713"/>
    </row>
    <row r="879">
      <c r="C879" s="483"/>
      <c r="D879" s="355"/>
      <c r="E879" s="672"/>
      <c r="F879" s="255"/>
      <c r="G879" s="261"/>
      <c r="H879" s="264"/>
      <c r="I879" s="483"/>
      <c r="J879" s="718"/>
      <c r="L879" s="713"/>
      <c r="M879" s="713"/>
      <c r="N879" s="713"/>
    </row>
    <row r="880">
      <c r="C880" s="483"/>
      <c r="D880" s="355"/>
      <c r="E880" s="672"/>
      <c r="F880" s="255"/>
      <c r="G880" s="261"/>
      <c r="H880" s="264"/>
      <c r="I880" s="483"/>
      <c r="J880" s="718"/>
      <c r="L880" s="713"/>
      <c r="M880" s="713"/>
      <c r="N880" s="713"/>
    </row>
    <row r="881">
      <c r="C881" s="483"/>
      <c r="D881" s="355"/>
      <c r="E881" s="672"/>
      <c r="F881" s="255"/>
      <c r="G881" s="261"/>
      <c r="H881" s="264"/>
      <c r="I881" s="483"/>
      <c r="J881" s="718"/>
      <c r="L881" s="713"/>
      <c r="M881" s="713"/>
      <c r="N881" s="713"/>
    </row>
    <row r="882">
      <c r="C882" s="483"/>
      <c r="D882" s="355"/>
      <c r="E882" s="672"/>
      <c r="F882" s="255"/>
      <c r="G882" s="261"/>
      <c r="H882" s="264"/>
      <c r="I882" s="483"/>
      <c r="J882" s="718"/>
      <c r="L882" s="713"/>
      <c r="M882" s="713"/>
      <c r="N882" s="713"/>
    </row>
    <row r="883">
      <c r="C883" s="483"/>
      <c r="D883" s="355"/>
      <c r="E883" s="672"/>
      <c r="F883" s="255"/>
      <c r="G883" s="261"/>
      <c r="H883" s="264"/>
      <c r="I883" s="483"/>
      <c r="J883" s="718"/>
      <c r="L883" s="713"/>
      <c r="M883" s="713"/>
      <c r="N883" s="713"/>
    </row>
    <row r="884">
      <c r="C884" s="483"/>
      <c r="D884" s="355"/>
      <c r="E884" s="672"/>
      <c r="F884" s="255"/>
      <c r="G884" s="261"/>
      <c r="H884" s="264"/>
      <c r="I884" s="483"/>
      <c r="J884" s="718"/>
      <c r="L884" s="713"/>
      <c r="M884" s="713"/>
      <c r="N884" s="713"/>
    </row>
    <row r="885">
      <c r="C885" s="483"/>
      <c r="D885" s="355"/>
      <c r="E885" s="672"/>
      <c r="F885" s="255"/>
      <c r="G885" s="261"/>
      <c r="H885" s="264"/>
      <c r="I885" s="483"/>
      <c r="J885" s="718"/>
      <c r="L885" s="713"/>
      <c r="M885" s="713"/>
      <c r="N885" s="713"/>
    </row>
    <row r="886">
      <c r="C886" s="483"/>
      <c r="D886" s="355"/>
      <c r="E886" s="672"/>
      <c r="F886" s="255"/>
      <c r="G886" s="261"/>
      <c r="H886" s="264"/>
      <c r="I886" s="483"/>
      <c r="J886" s="718"/>
      <c r="L886" s="713"/>
      <c r="M886" s="713"/>
      <c r="N886" s="713"/>
    </row>
    <row r="887">
      <c r="C887" s="483"/>
      <c r="D887" s="355"/>
      <c r="E887" s="672"/>
      <c r="F887" s="255"/>
      <c r="G887" s="261"/>
      <c r="H887" s="264"/>
      <c r="I887" s="483"/>
      <c r="J887" s="718"/>
      <c r="L887" s="713"/>
      <c r="M887" s="713"/>
      <c r="N887" s="713"/>
    </row>
    <row r="888">
      <c r="C888" s="483"/>
      <c r="D888" s="355"/>
      <c r="E888" s="672"/>
      <c r="F888" s="255"/>
      <c r="G888" s="261"/>
      <c r="H888" s="264"/>
      <c r="I888" s="483"/>
      <c r="J888" s="718"/>
      <c r="L888" s="713"/>
      <c r="M888" s="713"/>
      <c r="N888" s="713"/>
    </row>
    <row r="889">
      <c r="C889" s="483"/>
      <c r="D889" s="355"/>
      <c r="E889" s="672"/>
      <c r="F889" s="255"/>
      <c r="G889" s="261"/>
      <c r="H889" s="264"/>
      <c r="I889" s="483"/>
      <c r="J889" s="718"/>
      <c r="L889" s="713"/>
      <c r="M889" s="713"/>
      <c r="N889" s="713"/>
    </row>
    <row r="890">
      <c r="C890" s="483"/>
      <c r="D890" s="355"/>
      <c r="E890" s="672"/>
      <c r="F890" s="255"/>
      <c r="G890" s="261"/>
      <c r="H890" s="264"/>
      <c r="I890" s="483"/>
      <c r="J890" s="718"/>
      <c r="L890" s="713"/>
      <c r="M890" s="713"/>
      <c r="N890" s="713"/>
    </row>
    <row r="891">
      <c r="C891" s="483"/>
      <c r="D891" s="355"/>
      <c r="E891" s="672"/>
      <c r="F891" s="255"/>
      <c r="G891" s="261"/>
      <c r="H891" s="264"/>
      <c r="I891" s="483"/>
      <c r="J891" s="718"/>
      <c r="L891" s="713"/>
      <c r="M891" s="713"/>
      <c r="N891" s="713"/>
    </row>
    <row r="892">
      <c r="C892" s="483"/>
      <c r="D892" s="355"/>
      <c r="E892" s="672"/>
      <c r="F892" s="255"/>
      <c r="G892" s="261"/>
      <c r="H892" s="264"/>
      <c r="I892" s="483"/>
      <c r="J892" s="718"/>
      <c r="L892" s="713"/>
      <c r="M892" s="713"/>
      <c r="N892" s="713"/>
    </row>
    <row r="893">
      <c r="C893" s="483"/>
      <c r="D893" s="355"/>
      <c r="E893" s="672"/>
      <c r="F893" s="255"/>
      <c r="G893" s="261"/>
      <c r="H893" s="264"/>
      <c r="I893" s="483"/>
      <c r="J893" s="718"/>
      <c r="L893" s="713"/>
      <c r="M893" s="713"/>
      <c r="N893" s="713"/>
    </row>
    <row r="894">
      <c r="C894" s="483"/>
      <c r="D894" s="355"/>
      <c r="E894" s="672"/>
      <c r="F894" s="255"/>
      <c r="G894" s="261"/>
      <c r="H894" s="264"/>
      <c r="I894" s="483"/>
      <c r="J894" s="718"/>
      <c r="L894" s="713"/>
      <c r="M894" s="713"/>
      <c r="N894" s="713"/>
    </row>
    <row r="895">
      <c r="C895" s="483"/>
      <c r="D895" s="355"/>
      <c r="E895" s="672"/>
      <c r="F895" s="255"/>
      <c r="G895" s="261"/>
      <c r="H895" s="264"/>
      <c r="I895" s="483"/>
      <c r="J895" s="718"/>
      <c r="L895" s="713"/>
      <c r="M895" s="713"/>
      <c r="N895" s="713"/>
    </row>
    <row r="896">
      <c r="C896" s="483"/>
      <c r="D896" s="355"/>
      <c r="E896" s="672"/>
      <c r="F896" s="255"/>
      <c r="G896" s="261"/>
      <c r="H896" s="264"/>
      <c r="I896" s="483"/>
      <c r="J896" s="718"/>
      <c r="L896" s="713"/>
      <c r="M896" s="713"/>
      <c r="N896" s="713"/>
    </row>
    <row r="897">
      <c r="C897" s="483"/>
      <c r="D897" s="355"/>
      <c r="E897" s="672"/>
      <c r="F897" s="255"/>
      <c r="G897" s="261"/>
      <c r="H897" s="264"/>
      <c r="I897" s="483"/>
      <c r="J897" s="718"/>
      <c r="L897" s="713"/>
      <c r="M897" s="713"/>
      <c r="N897" s="713"/>
    </row>
    <row r="898">
      <c r="C898" s="483"/>
      <c r="D898" s="355"/>
      <c r="E898" s="672"/>
      <c r="F898" s="255"/>
      <c r="G898" s="261"/>
      <c r="H898" s="264"/>
      <c r="I898" s="483"/>
      <c r="J898" s="718"/>
      <c r="L898" s="713"/>
      <c r="M898" s="713"/>
      <c r="N898" s="713"/>
    </row>
    <row r="899">
      <c r="C899" s="483"/>
      <c r="D899" s="355"/>
      <c r="E899" s="672"/>
      <c r="F899" s="255"/>
      <c r="G899" s="261"/>
      <c r="H899" s="264"/>
      <c r="I899" s="483"/>
      <c r="J899" s="718"/>
      <c r="L899" s="713"/>
      <c r="M899" s="713"/>
      <c r="N899" s="713"/>
    </row>
    <row r="900">
      <c r="C900" s="483"/>
      <c r="D900" s="355"/>
      <c r="E900" s="672"/>
      <c r="F900" s="255"/>
      <c r="G900" s="261"/>
      <c r="H900" s="264"/>
      <c r="I900" s="483"/>
      <c r="J900" s="718"/>
      <c r="L900" s="713"/>
      <c r="M900" s="713"/>
      <c r="N900" s="713"/>
    </row>
    <row r="901">
      <c r="C901" s="483"/>
      <c r="D901" s="355"/>
      <c r="E901" s="672"/>
      <c r="F901" s="255"/>
      <c r="G901" s="261"/>
      <c r="H901" s="264"/>
      <c r="I901" s="483"/>
      <c r="J901" s="718"/>
      <c r="L901" s="713"/>
      <c r="M901" s="713"/>
      <c r="N901" s="713"/>
    </row>
    <row r="902">
      <c r="C902" s="483"/>
      <c r="D902" s="355"/>
      <c r="E902" s="672"/>
      <c r="F902" s="255"/>
      <c r="G902" s="261"/>
      <c r="H902" s="264"/>
      <c r="I902" s="483"/>
      <c r="J902" s="718"/>
      <c r="L902" s="713"/>
      <c r="M902" s="713"/>
      <c r="N902" s="713"/>
    </row>
    <row r="903">
      <c r="C903" s="483"/>
      <c r="D903" s="355"/>
      <c r="E903" s="672"/>
      <c r="F903" s="255"/>
      <c r="G903" s="261"/>
      <c r="H903" s="264"/>
      <c r="I903" s="483"/>
      <c r="J903" s="718"/>
      <c r="L903" s="713"/>
      <c r="M903" s="713"/>
      <c r="N903" s="713"/>
    </row>
    <row r="904">
      <c r="C904" s="483"/>
      <c r="D904" s="355"/>
      <c r="E904" s="672"/>
      <c r="F904" s="255"/>
      <c r="G904" s="261"/>
      <c r="H904" s="264"/>
      <c r="I904" s="483"/>
      <c r="J904" s="718"/>
      <c r="L904" s="713"/>
      <c r="M904" s="713"/>
      <c r="N904" s="713"/>
    </row>
    <row r="905">
      <c r="C905" s="483"/>
      <c r="D905" s="355"/>
      <c r="E905" s="672"/>
      <c r="F905" s="255"/>
      <c r="G905" s="261"/>
      <c r="H905" s="264"/>
      <c r="I905" s="483"/>
      <c r="J905" s="718"/>
      <c r="L905" s="713"/>
      <c r="M905" s="713"/>
      <c r="N905" s="713"/>
    </row>
    <row r="906">
      <c r="C906" s="483"/>
      <c r="D906" s="355"/>
      <c r="E906" s="672"/>
      <c r="F906" s="255"/>
      <c r="G906" s="261"/>
      <c r="H906" s="264"/>
      <c r="I906" s="483"/>
      <c r="J906" s="718"/>
      <c r="L906" s="713"/>
      <c r="M906" s="713"/>
      <c r="N906" s="713"/>
    </row>
    <row r="907">
      <c r="C907" s="483"/>
      <c r="D907" s="355"/>
      <c r="E907" s="672"/>
      <c r="F907" s="255"/>
      <c r="G907" s="261"/>
      <c r="H907" s="264"/>
      <c r="I907" s="483"/>
      <c r="J907" s="718"/>
      <c r="L907" s="713"/>
      <c r="M907" s="713"/>
      <c r="N907" s="713"/>
    </row>
    <row r="908">
      <c r="C908" s="483"/>
      <c r="D908" s="355"/>
      <c r="E908" s="672"/>
      <c r="F908" s="255"/>
      <c r="G908" s="261"/>
      <c r="H908" s="264"/>
      <c r="I908" s="483"/>
      <c r="J908" s="718"/>
      <c r="L908" s="713"/>
      <c r="M908" s="713"/>
      <c r="N908" s="713"/>
    </row>
    <row r="909">
      <c r="C909" s="483"/>
      <c r="D909" s="355"/>
      <c r="E909" s="672"/>
      <c r="F909" s="255"/>
      <c r="G909" s="261"/>
      <c r="H909" s="264"/>
      <c r="I909" s="483"/>
      <c r="J909" s="718"/>
      <c r="L909" s="713"/>
      <c r="M909" s="713"/>
      <c r="N909" s="713"/>
    </row>
    <row r="910">
      <c r="C910" s="483"/>
      <c r="D910" s="355"/>
      <c r="E910" s="672"/>
      <c r="F910" s="255"/>
      <c r="G910" s="261"/>
      <c r="H910" s="264"/>
      <c r="I910" s="483"/>
      <c r="J910" s="718"/>
      <c r="L910" s="713"/>
      <c r="M910" s="713"/>
      <c r="N910" s="713"/>
    </row>
    <row r="911">
      <c r="C911" s="483"/>
      <c r="D911" s="355"/>
      <c r="E911" s="672"/>
      <c r="F911" s="255"/>
      <c r="G911" s="261"/>
      <c r="H911" s="264"/>
      <c r="I911" s="483"/>
      <c r="J911" s="718"/>
      <c r="L911" s="713"/>
      <c r="M911" s="713"/>
      <c r="N911" s="713"/>
    </row>
    <row r="912">
      <c r="C912" s="483"/>
      <c r="D912" s="355"/>
      <c r="E912" s="672"/>
      <c r="F912" s="255"/>
      <c r="G912" s="261"/>
      <c r="H912" s="264"/>
      <c r="I912" s="483"/>
      <c r="J912" s="718"/>
      <c r="L912" s="713"/>
      <c r="M912" s="713"/>
      <c r="N912" s="713"/>
    </row>
    <row r="913">
      <c r="C913" s="483"/>
      <c r="D913" s="355"/>
      <c r="E913" s="672"/>
      <c r="F913" s="255"/>
      <c r="G913" s="261"/>
      <c r="H913" s="264"/>
      <c r="I913" s="483"/>
      <c r="J913" s="718"/>
      <c r="L913" s="713"/>
      <c r="M913" s="713"/>
      <c r="N913" s="713"/>
    </row>
    <row r="914">
      <c r="C914" s="483"/>
      <c r="D914" s="355"/>
      <c r="E914" s="672"/>
      <c r="F914" s="255"/>
      <c r="G914" s="261"/>
      <c r="H914" s="264"/>
      <c r="I914" s="483"/>
      <c r="J914" s="718"/>
      <c r="L914" s="713"/>
      <c r="M914" s="713"/>
      <c r="N914" s="713"/>
    </row>
    <row r="915">
      <c r="C915" s="483"/>
      <c r="D915" s="355"/>
      <c r="E915" s="672"/>
      <c r="F915" s="255"/>
      <c r="G915" s="261"/>
      <c r="H915" s="264"/>
      <c r="I915" s="483"/>
      <c r="J915" s="718"/>
      <c r="L915" s="713"/>
      <c r="M915" s="713"/>
      <c r="N915" s="713"/>
    </row>
    <row r="916">
      <c r="C916" s="483"/>
      <c r="D916" s="355"/>
      <c r="E916" s="672"/>
      <c r="F916" s="255"/>
      <c r="G916" s="261"/>
      <c r="H916" s="264"/>
      <c r="I916" s="483"/>
      <c r="J916" s="718"/>
      <c r="L916" s="713"/>
      <c r="M916" s="713"/>
      <c r="N916" s="713"/>
    </row>
    <row r="917">
      <c r="C917" s="483"/>
      <c r="D917" s="355"/>
      <c r="E917" s="672"/>
      <c r="F917" s="255"/>
      <c r="G917" s="261"/>
      <c r="H917" s="264"/>
      <c r="I917" s="483"/>
      <c r="J917" s="718"/>
      <c r="L917" s="713"/>
      <c r="M917" s="713"/>
      <c r="N917" s="713"/>
    </row>
    <row r="918">
      <c r="C918" s="483"/>
      <c r="D918" s="355"/>
      <c r="E918" s="672"/>
      <c r="F918" s="255"/>
      <c r="G918" s="261"/>
      <c r="H918" s="264"/>
      <c r="I918" s="483"/>
      <c r="J918" s="718"/>
      <c r="L918" s="713"/>
      <c r="M918" s="713"/>
      <c r="N918" s="713"/>
    </row>
    <row r="919">
      <c r="C919" s="483"/>
      <c r="D919" s="355"/>
      <c r="E919" s="672"/>
      <c r="F919" s="255"/>
      <c r="G919" s="261"/>
      <c r="H919" s="264"/>
      <c r="I919" s="483"/>
      <c r="J919" s="718"/>
      <c r="L919" s="713"/>
      <c r="M919" s="713"/>
      <c r="N919" s="713"/>
    </row>
    <row r="920">
      <c r="C920" s="483"/>
      <c r="D920" s="355"/>
      <c r="E920" s="672"/>
      <c r="F920" s="255"/>
      <c r="G920" s="261"/>
      <c r="H920" s="264"/>
      <c r="I920" s="483"/>
      <c r="J920" s="718"/>
      <c r="L920" s="713"/>
      <c r="M920" s="713"/>
      <c r="N920" s="713"/>
    </row>
    <row r="921">
      <c r="C921" s="483"/>
      <c r="D921" s="355"/>
      <c r="E921" s="672"/>
      <c r="F921" s="255"/>
      <c r="G921" s="261"/>
      <c r="H921" s="264"/>
      <c r="I921" s="483"/>
      <c r="J921" s="718"/>
      <c r="L921" s="713"/>
      <c r="M921" s="713"/>
      <c r="N921" s="713"/>
    </row>
    <row r="922">
      <c r="C922" s="483"/>
      <c r="D922" s="355"/>
      <c r="E922" s="672"/>
      <c r="F922" s="255"/>
      <c r="G922" s="261"/>
      <c r="H922" s="264"/>
      <c r="I922" s="483"/>
      <c r="J922" s="718"/>
      <c r="L922" s="713"/>
      <c r="M922" s="713"/>
      <c r="N922" s="713"/>
    </row>
    <row r="923">
      <c r="C923" s="483"/>
      <c r="D923" s="355"/>
      <c r="E923" s="672"/>
      <c r="F923" s="255"/>
      <c r="G923" s="261"/>
      <c r="H923" s="264"/>
      <c r="I923" s="483"/>
      <c r="J923" s="718"/>
      <c r="L923" s="713"/>
      <c r="M923" s="713"/>
      <c r="N923" s="713"/>
    </row>
    <row r="924">
      <c r="C924" s="483"/>
      <c r="D924" s="355"/>
      <c r="E924" s="672"/>
      <c r="F924" s="255"/>
      <c r="G924" s="261"/>
      <c r="H924" s="264"/>
      <c r="I924" s="483"/>
      <c r="J924" s="718"/>
      <c r="L924" s="713"/>
      <c r="M924" s="713"/>
      <c r="N924" s="713"/>
    </row>
    <row r="925">
      <c r="C925" s="483"/>
      <c r="D925" s="355"/>
      <c r="E925" s="672"/>
      <c r="F925" s="255"/>
      <c r="G925" s="261"/>
      <c r="H925" s="264"/>
      <c r="I925" s="483"/>
      <c r="J925" s="718"/>
      <c r="L925" s="713"/>
      <c r="M925" s="713"/>
      <c r="N925" s="713"/>
    </row>
    <row r="926">
      <c r="C926" s="483"/>
      <c r="D926" s="355"/>
      <c r="E926" s="672"/>
      <c r="F926" s="255"/>
      <c r="G926" s="261"/>
      <c r="H926" s="264"/>
      <c r="I926" s="483"/>
      <c r="J926" s="718"/>
      <c r="L926" s="713"/>
      <c r="M926" s="713"/>
      <c r="N926" s="713"/>
    </row>
    <row r="927">
      <c r="C927" s="483"/>
      <c r="D927" s="355"/>
      <c r="E927" s="672"/>
      <c r="F927" s="255"/>
      <c r="G927" s="261"/>
      <c r="H927" s="264"/>
      <c r="I927" s="483"/>
      <c r="J927" s="718"/>
      <c r="L927" s="713"/>
      <c r="M927" s="713"/>
      <c r="N927" s="713"/>
    </row>
    <row r="928">
      <c r="C928" s="483"/>
      <c r="D928" s="355"/>
      <c r="E928" s="672"/>
      <c r="F928" s="255"/>
      <c r="G928" s="261"/>
      <c r="H928" s="264"/>
      <c r="I928" s="483"/>
      <c r="J928" s="718"/>
      <c r="L928" s="713"/>
      <c r="M928" s="713"/>
      <c r="N928" s="713"/>
    </row>
    <row r="929">
      <c r="C929" s="483"/>
      <c r="D929" s="355"/>
      <c r="E929" s="672"/>
      <c r="F929" s="255"/>
      <c r="G929" s="261"/>
      <c r="H929" s="264"/>
      <c r="I929" s="483"/>
      <c r="J929" s="718"/>
      <c r="L929" s="713"/>
      <c r="M929" s="713"/>
      <c r="N929" s="713"/>
    </row>
    <row r="930">
      <c r="C930" s="483"/>
      <c r="D930" s="355"/>
      <c r="E930" s="672"/>
      <c r="F930" s="255"/>
      <c r="G930" s="261"/>
      <c r="H930" s="264"/>
      <c r="I930" s="483"/>
      <c r="J930" s="718"/>
      <c r="L930" s="713"/>
      <c r="M930" s="713"/>
      <c r="N930" s="713"/>
    </row>
    <row r="931">
      <c r="C931" s="483"/>
      <c r="D931" s="355"/>
      <c r="E931" s="672"/>
      <c r="F931" s="255"/>
      <c r="G931" s="261"/>
      <c r="H931" s="264"/>
      <c r="I931" s="483"/>
      <c r="J931" s="718"/>
      <c r="L931" s="713"/>
      <c r="M931" s="713"/>
      <c r="N931" s="713"/>
    </row>
    <row r="932">
      <c r="C932" s="483"/>
      <c r="D932" s="355"/>
      <c r="E932" s="672"/>
      <c r="F932" s="255"/>
      <c r="G932" s="261"/>
      <c r="H932" s="264"/>
      <c r="I932" s="483"/>
      <c r="J932" s="718"/>
      <c r="L932" s="713"/>
      <c r="M932" s="713"/>
      <c r="N932" s="713"/>
    </row>
    <row r="933">
      <c r="C933" s="483"/>
      <c r="D933" s="355"/>
      <c r="E933" s="672"/>
      <c r="F933" s="255"/>
      <c r="G933" s="261"/>
      <c r="H933" s="264"/>
      <c r="I933" s="483"/>
      <c r="J933" s="718"/>
      <c r="L933" s="713"/>
      <c r="M933" s="713"/>
      <c r="N933" s="713"/>
    </row>
    <row r="934">
      <c r="C934" s="483"/>
      <c r="D934" s="355"/>
      <c r="E934" s="672"/>
      <c r="F934" s="255"/>
      <c r="G934" s="261"/>
      <c r="H934" s="264"/>
      <c r="I934" s="483"/>
      <c r="J934" s="718"/>
      <c r="L934" s="713"/>
      <c r="M934" s="713"/>
      <c r="N934" s="713"/>
    </row>
    <row r="935">
      <c r="C935" s="483"/>
      <c r="D935" s="355"/>
      <c r="E935" s="672"/>
      <c r="F935" s="255"/>
      <c r="G935" s="261"/>
      <c r="H935" s="264"/>
      <c r="I935" s="483"/>
      <c r="J935" s="718"/>
      <c r="L935" s="713"/>
      <c r="M935" s="713"/>
      <c r="N935" s="713"/>
    </row>
    <row r="936">
      <c r="C936" s="483"/>
      <c r="D936" s="355"/>
      <c r="E936" s="672"/>
      <c r="F936" s="255"/>
      <c r="G936" s="261"/>
      <c r="H936" s="264"/>
      <c r="I936" s="483"/>
      <c r="J936" s="718"/>
      <c r="L936" s="713"/>
      <c r="M936" s="713"/>
      <c r="N936" s="713"/>
    </row>
    <row r="937">
      <c r="C937" s="483"/>
      <c r="D937" s="355"/>
      <c r="E937" s="672"/>
      <c r="F937" s="255"/>
      <c r="G937" s="261"/>
      <c r="H937" s="264"/>
      <c r="I937" s="483"/>
      <c r="J937" s="718"/>
      <c r="L937" s="713"/>
      <c r="M937" s="713"/>
      <c r="N937" s="713"/>
    </row>
    <row r="938">
      <c r="C938" s="483"/>
      <c r="D938" s="355"/>
      <c r="E938" s="672"/>
      <c r="F938" s="255"/>
      <c r="G938" s="261"/>
      <c r="H938" s="264"/>
      <c r="I938" s="483"/>
      <c r="J938" s="718"/>
      <c r="L938" s="713"/>
      <c r="M938" s="713"/>
      <c r="N938" s="713"/>
    </row>
    <row r="939">
      <c r="C939" s="483"/>
      <c r="D939" s="355"/>
      <c r="E939" s="672"/>
      <c r="F939" s="255"/>
      <c r="G939" s="261"/>
      <c r="H939" s="264"/>
      <c r="I939" s="483"/>
      <c r="J939" s="718"/>
      <c r="L939" s="713"/>
      <c r="M939" s="713"/>
      <c r="N939" s="713"/>
    </row>
    <row r="940">
      <c r="C940" s="483"/>
      <c r="D940" s="355"/>
      <c r="E940" s="672"/>
      <c r="F940" s="255"/>
      <c r="G940" s="261"/>
      <c r="H940" s="264"/>
      <c r="I940" s="483"/>
      <c r="J940" s="718"/>
      <c r="L940" s="713"/>
      <c r="M940" s="713"/>
      <c r="N940" s="713"/>
    </row>
    <row r="941">
      <c r="C941" s="483"/>
      <c r="D941" s="355"/>
      <c r="E941" s="672"/>
      <c r="F941" s="255"/>
      <c r="G941" s="261"/>
      <c r="H941" s="264"/>
      <c r="I941" s="483"/>
      <c r="J941" s="718"/>
      <c r="L941" s="713"/>
      <c r="M941" s="713"/>
      <c r="N941" s="713"/>
    </row>
    <row r="942">
      <c r="C942" s="483"/>
      <c r="D942" s="355"/>
      <c r="E942" s="672"/>
      <c r="F942" s="255"/>
      <c r="G942" s="261"/>
      <c r="H942" s="264"/>
      <c r="I942" s="483"/>
      <c r="J942" s="718"/>
      <c r="L942" s="713"/>
      <c r="M942" s="713"/>
      <c r="N942" s="713"/>
    </row>
    <row r="943">
      <c r="C943" s="483"/>
      <c r="D943" s="355"/>
      <c r="E943" s="672"/>
      <c r="F943" s="255"/>
      <c r="G943" s="261"/>
      <c r="H943" s="264"/>
      <c r="I943" s="483"/>
      <c r="J943" s="718"/>
      <c r="L943" s="713"/>
      <c r="M943" s="713"/>
      <c r="N943" s="713"/>
    </row>
    <row r="944">
      <c r="C944" s="483"/>
      <c r="D944" s="355"/>
      <c r="E944" s="672"/>
      <c r="F944" s="255"/>
      <c r="G944" s="261"/>
      <c r="H944" s="264"/>
      <c r="I944" s="483"/>
      <c r="J944" s="718"/>
      <c r="L944" s="713"/>
      <c r="M944" s="713"/>
      <c r="N944" s="713"/>
    </row>
    <row r="945">
      <c r="C945" s="483"/>
      <c r="D945" s="355"/>
      <c r="E945" s="672"/>
      <c r="F945" s="255"/>
      <c r="G945" s="261"/>
      <c r="H945" s="264"/>
      <c r="I945" s="483"/>
      <c r="J945" s="718"/>
      <c r="L945" s="713"/>
      <c r="M945" s="713"/>
      <c r="N945" s="713"/>
    </row>
    <row r="946">
      <c r="C946" s="483"/>
      <c r="D946" s="355"/>
      <c r="E946" s="672"/>
      <c r="F946" s="255"/>
      <c r="G946" s="261"/>
      <c r="H946" s="264"/>
      <c r="I946" s="483"/>
      <c r="J946" s="718"/>
      <c r="L946" s="713"/>
      <c r="M946" s="713"/>
      <c r="N946" s="713"/>
    </row>
    <row r="947">
      <c r="C947" s="483"/>
      <c r="D947" s="355"/>
      <c r="E947" s="672"/>
      <c r="F947" s="255"/>
      <c r="G947" s="261"/>
      <c r="H947" s="264"/>
      <c r="I947" s="483"/>
      <c r="J947" s="718"/>
      <c r="L947" s="713"/>
      <c r="M947" s="713"/>
      <c r="N947" s="713"/>
    </row>
    <row r="948">
      <c r="C948" s="483"/>
      <c r="D948" s="355"/>
      <c r="E948" s="672"/>
      <c r="F948" s="255"/>
      <c r="G948" s="261"/>
      <c r="H948" s="264"/>
      <c r="I948" s="483"/>
      <c r="J948" s="718"/>
      <c r="L948" s="713"/>
      <c r="M948" s="713"/>
      <c r="N948" s="713"/>
    </row>
    <row r="949">
      <c r="C949" s="483"/>
      <c r="D949" s="355"/>
      <c r="E949" s="672"/>
      <c r="F949" s="255"/>
      <c r="G949" s="261"/>
      <c r="H949" s="264"/>
      <c r="I949" s="483"/>
      <c r="J949" s="718"/>
      <c r="L949" s="713"/>
      <c r="M949" s="713"/>
      <c r="N949" s="713"/>
    </row>
    <row r="950">
      <c r="C950" s="483"/>
      <c r="D950" s="355"/>
      <c r="E950" s="672"/>
      <c r="F950" s="255"/>
      <c r="G950" s="261"/>
      <c r="H950" s="264"/>
      <c r="I950" s="483"/>
      <c r="J950" s="718"/>
      <c r="L950" s="713"/>
      <c r="M950" s="713"/>
      <c r="N950" s="713"/>
    </row>
    <row r="951">
      <c r="C951" s="483"/>
      <c r="D951" s="355"/>
      <c r="E951" s="672"/>
      <c r="F951" s="255"/>
      <c r="G951" s="261"/>
      <c r="H951" s="264"/>
      <c r="I951" s="483"/>
      <c r="J951" s="718"/>
      <c r="L951" s="713"/>
      <c r="M951" s="713"/>
      <c r="N951" s="713"/>
    </row>
    <row r="952">
      <c r="C952" s="483"/>
      <c r="D952" s="355"/>
      <c r="E952" s="672"/>
      <c r="F952" s="255"/>
      <c r="G952" s="261"/>
      <c r="H952" s="264"/>
      <c r="I952" s="483"/>
      <c r="J952" s="718"/>
      <c r="L952" s="713"/>
      <c r="M952" s="713"/>
      <c r="N952" s="713"/>
    </row>
    <row r="953">
      <c r="C953" s="483"/>
      <c r="D953" s="355"/>
      <c r="E953" s="672"/>
      <c r="F953" s="255"/>
      <c r="G953" s="261"/>
      <c r="H953" s="264"/>
      <c r="I953" s="483"/>
      <c r="J953" s="718"/>
      <c r="L953" s="713"/>
      <c r="M953" s="713"/>
      <c r="N953" s="713"/>
    </row>
    <row r="954">
      <c r="C954" s="483"/>
      <c r="D954" s="355"/>
      <c r="E954" s="672"/>
      <c r="F954" s="255"/>
      <c r="G954" s="261"/>
      <c r="H954" s="264"/>
      <c r="I954" s="483"/>
      <c r="J954" s="718"/>
      <c r="L954" s="713"/>
      <c r="M954" s="713"/>
      <c r="N954" s="713"/>
    </row>
    <row r="955">
      <c r="C955" s="483"/>
      <c r="D955" s="355"/>
      <c r="E955" s="672"/>
      <c r="F955" s="255"/>
      <c r="G955" s="261"/>
      <c r="H955" s="264"/>
      <c r="I955" s="483"/>
      <c r="J955" s="718"/>
      <c r="L955" s="713"/>
      <c r="M955" s="713"/>
      <c r="N955" s="713"/>
    </row>
    <row r="956">
      <c r="C956" s="483"/>
      <c r="D956" s="355"/>
      <c r="E956" s="672"/>
      <c r="F956" s="255"/>
      <c r="G956" s="261"/>
      <c r="H956" s="264"/>
      <c r="I956" s="483"/>
      <c r="J956" s="718"/>
      <c r="L956" s="713"/>
      <c r="M956" s="713"/>
      <c r="N956" s="713"/>
    </row>
    <row r="957">
      <c r="C957" s="483"/>
      <c r="D957" s="355"/>
      <c r="E957" s="672"/>
      <c r="F957" s="255"/>
      <c r="G957" s="261"/>
      <c r="H957" s="264"/>
      <c r="I957" s="483"/>
      <c r="J957" s="718"/>
      <c r="L957" s="713"/>
      <c r="M957" s="713"/>
      <c r="N957" s="713"/>
    </row>
    <row r="958">
      <c r="C958" s="483"/>
      <c r="D958" s="355"/>
      <c r="E958" s="672"/>
      <c r="F958" s="255"/>
      <c r="G958" s="261"/>
      <c r="H958" s="264"/>
      <c r="I958" s="483"/>
      <c r="J958" s="718"/>
      <c r="L958" s="713"/>
      <c r="M958" s="713"/>
      <c r="N958" s="713"/>
    </row>
    <row r="959">
      <c r="C959" s="483"/>
      <c r="D959" s="355"/>
      <c r="E959" s="672"/>
      <c r="F959" s="255"/>
      <c r="G959" s="261"/>
      <c r="H959" s="264"/>
      <c r="I959" s="483"/>
      <c r="J959" s="718"/>
      <c r="L959" s="713"/>
      <c r="M959" s="713"/>
      <c r="N959" s="713"/>
    </row>
    <row r="960">
      <c r="C960" s="483"/>
      <c r="D960" s="355"/>
      <c r="E960" s="672"/>
      <c r="F960" s="255"/>
      <c r="G960" s="261"/>
      <c r="H960" s="264"/>
      <c r="I960" s="483"/>
      <c r="J960" s="718"/>
      <c r="L960" s="713"/>
      <c r="M960" s="713"/>
      <c r="N960" s="713"/>
    </row>
    <row r="961">
      <c r="C961" s="483"/>
      <c r="D961" s="355"/>
      <c r="E961" s="672"/>
      <c r="F961" s="255"/>
      <c r="G961" s="261"/>
      <c r="H961" s="264"/>
      <c r="I961" s="483"/>
      <c r="J961" s="718"/>
      <c r="L961" s="713"/>
      <c r="M961" s="713"/>
      <c r="N961" s="713"/>
    </row>
    <row r="962">
      <c r="C962" s="483"/>
      <c r="D962" s="355"/>
      <c r="E962" s="672"/>
      <c r="F962" s="255"/>
      <c r="G962" s="261"/>
      <c r="H962" s="264"/>
      <c r="I962" s="483"/>
      <c r="J962" s="718"/>
      <c r="L962" s="713"/>
      <c r="M962" s="713"/>
      <c r="N962" s="713"/>
    </row>
    <row r="963">
      <c r="C963" s="483"/>
      <c r="D963" s="355"/>
      <c r="E963" s="672"/>
      <c r="F963" s="255"/>
      <c r="G963" s="261"/>
      <c r="H963" s="264"/>
      <c r="I963" s="483"/>
      <c r="J963" s="718"/>
      <c r="L963" s="713"/>
      <c r="M963" s="713"/>
      <c r="N963" s="713"/>
    </row>
    <row r="964">
      <c r="C964" s="483"/>
      <c r="D964" s="355"/>
      <c r="E964" s="672"/>
      <c r="F964" s="255"/>
      <c r="G964" s="261"/>
      <c r="H964" s="264"/>
      <c r="I964" s="483"/>
      <c r="J964" s="718"/>
      <c r="L964" s="713"/>
      <c r="M964" s="713"/>
      <c r="N964" s="713"/>
    </row>
    <row r="965">
      <c r="C965" s="483"/>
      <c r="D965" s="355"/>
      <c r="E965" s="672"/>
      <c r="F965" s="255"/>
      <c r="G965" s="261"/>
      <c r="H965" s="264"/>
      <c r="I965" s="483"/>
      <c r="J965" s="718"/>
      <c r="L965" s="713"/>
      <c r="M965" s="713"/>
      <c r="N965" s="713"/>
    </row>
    <row r="966">
      <c r="C966" s="483"/>
      <c r="D966" s="355"/>
      <c r="E966" s="672"/>
      <c r="F966" s="255"/>
      <c r="G966" s="261"/>
      <c r="H966" s="264"/>
      <c r="I966" s="483"/>
      <c r="J966" s="718"/>
      <c r="L966" s="713"/>
      <c r="M966" s="713"/>
      <c r="N966" s="713"/>
    </row>
    <row r="967">
      <c r="C967" s="483"/>
      <c r="D967" s="355"/>
      <c r="E967" s="672"/>
      <c r="F967" s="255"/>
      <c r="G967" s="261"/>
      <c r="H967" s="264"/>
      <c r="I967" s="483"/>
      <c r="J967" s="718"/>
      <c r="L967" s="713"/>
      <c r="M967" s="713"/>
      <c r="N967" s="713"/>
    </row>
    <row r="968">
      <c r="C968" s="483"/>
      <c r="D968" s="355"/>
      <c r="E968" s="672"/>
      <c r="F968" s="255"/>
      <c r="G968" s="261"/>
      <c r="H968" s="264"/>
      <c r="I968" s="483"/>
      <c r="J968" s="718"/>
      <c r="L968" s="713"/>
      <c r="M968" s="713"/>
      <c r="N968" s="713"/>
    </row>
    <row r="969">
      <c r="C969" s="483"/>
      <c r="D969" s="355"/>
      <c r="E969" s="672"/>
      <c r="F969" s="255"/>
      <c r="G969" s="261"/>
      <c r="H969" s="264"/>
      <c r="I969" s="483"/>
      <c r="J969" s="718"/>
      <c r="L969" s="713"/>
      <c r="M969" s="713"/>
      <c r="N969" s="713"/>
    </row>
    <row r="970">
      <c r="C970" s="483"/>
      <c r="D970" s="355"/>
      <c r="E970" s="672"/>
      <c r="F970" s="255"/>
      <c r="G970" s="261"/>
      <c r="H970" s="264"/>
      <c r="I970" s="483"/>
      <c r="J970" s="718"/>
      <c r="L970" s="713"/>
      <c r="M970" s="713"/>
      <c r="N970" s="713"/>
    </row>
    <row r="971">
      <c r="C971" s="483"/>
      <c r="D971" s="355"/>
      <c r="E971" s="672"/>
      <c r="F971" s="255"/>
      <c r="G971" s="261"/>
      <c r="H971" s="264"/>
      <c r="I971" s="483"/>
      <c r="J971" s="718"/>
      <c r="L971" s="713"/>
      <c r="M971" s="713"/>
      <c r="N971" s="713"/>
    </row>
    <row r="972">
      <c r="C972" s="483"/>
      <c r="D972" s="355"/>
      <c r="E972" s="672"/>
      <c r="F972" s="255"/>
      <c r="G972" s="261"/>
      <c r="H972" s="264"/>
      <c r="I972" s="483"/>
      <c r="J972" s="718"/>
      <c r="L972" s="713"/>
      <c r="M972" s="713"/>
      <c r="N972" s="713"/>
    </row>
    <row r="973">
      <c r="C973" s="483"/>
      <c r="D973" s="355"/>
      <c r="E973" s="672"/>
      <c r="F973" s="255"/>
      <c r="G973" s="261"/>
      <c r="H973" s="264"/>
      <c r="I973" s="483"/>
      <c r="J973" s="718"/>
      <c r="L973" s="713"/>
      <c r="M973" s="713"/>
      <c r="N973" s="713"/>
    </row>
    <row r="974">
      <c r="C974" s="483"/>
      <c r="D974" s="355"/>
      <c r="E974" s="672"/>
      <c r="F974" s="255"/>
      <c r="G974" s="261"/>
      <c r="H974" s="264"/>
      <c r="I974" s="483"/>
      <c r="J974" s="718"/>
      <c r="L974" s="713"/>
      <c r="M974" s="713"/>
      <c r="N974" s="713"/>
    </row>
    <row r="975">
      <c r="C975" s="483"/>
      <c r="D975" s="355"/>
      <c r="E975" s="672"/>
      <c r="F975" s="255"/>
      <c r="G975" s="261"/>
      <c r="H975" s="264"/>
      <c r="I975" s="483"/>
      <c r="J975" s="718"/>
      <c r="L975" s="713"/>
      <c r="M975" s="713"/>
      <c r="N975" s="713"/>
    </row>
    <row r="976">
      <c r="C976" s="483"/>
      <c r="D976" s="355"/>
      <c r="E976" s="672"/>
      <c r="F976" s="255"/>
      <c r="G976" s="261"/>
      <c r="H976" s="264"/>
      <c r="I976" s="483"/>
      <c r="J976" s="718"/>
      <c r="L976" s="713"/>
      <c r="M976" s="713"/>
      <c r="N976" s="713"/>
    </row>
    <row r="977">
      <c r="C977" s="483"/>
      <c r="D977" s="355"/>
      <c r="E977" s="672"/>
      <c r="F977" s="255"/>
      <c r="G977" s="261"/>
      <c r="H977" s="264"/>
      <c r="I977" s="483"/>
      <c r="J977" s="718"/>
      <c r="L977" s="713"/>
      <c r="M977" s="713"/>
      <c r="N977" s="713"/>
    </row>
    <row r="978">
      <c r="C978" s="483"/>
      <c r="D978" s="355"/>
      <c r="E978" s="672"/>
      <c r="F978" s="255"/>
      <c r="G978" s="261"/>
      <c r="H978" s="264"/>
      <c r="I978" s="483"/>
      <c r="J978" s="718"/>
      <c r="L978" s="713"/>
      <c r="M978" s="713"/>
      <c r="N978" s="713"/>
    </row>
    <row r="979">
      <c r="C979" s="483"/>
      <c r="D979" s="355"/>
      <c r="E979" s="672"/>
      <c r="F979" s="255"/>
      <c r="G979" s="261"/>
      <c r="H979" s="264"/>
      <c r="I979" s="483"/>
      <c r="J979" s="718"/>
      <c r="L979" s="713"/>
      <c r="M979" s="713"/>
      <c r="N979" s="713"/>
    </row>
    <row r="980">
      <c r="C980" s="483"/>
      <c r="D980" s="355"/>
      <c r="E980" s="672"/>
      <c r="F980" s="255"/>
      <c r="G980" s="261"/>
      <c r="H980" s="264"/>
      <c r="I980" s="483"/>
      <c r="J980" s="718"/>
      <c r="L980" s="713"/>
      <c r="M980" s="713"/>
      <c r="N980" s="713"/>
    </row>
    <row r="981">
      <c r="C981" s="483"/>
      <c r="D981" s="355"/>
      <c r="E981" s="672"/>
      <c r="F981" s="255"/>
      <c r="G981" s="261"/>
      <c r="H981" s="264"/>
      <c r="I981" s="483"/>
      <c r="J981" s="718"/>
      <c r="L981" s="713"/>
      <c r="M981" s="713"/>
      <c r="N981" s="713"/>
    </row>
    <row r="982">
      <c r="C982" s="483"/>
      <c r="D982" s="355"/>
      <c r="E982" s="672"/>
      <c r="F982" s="255"/>
      <c r="G982" s="261"/>
      <c r="H982" s="264"/>
      <c r="I982" s="483"/>
      <c r="J982" s="718"/>
      <c r="L982" s="713"/>
      <c r="M982" s="713"/>
      <c r="N982" s="713"/>
    </row>
    <row r="983">
      <c r="C983" s="483"/>
      <c r="D983" s="355"/>
      <c r="E983" s="672"/>
      <c r="F983" s="255"/>
      <c r="G983" s="261"/>
      <c r="H983" s="264"/>
      <c r="I983" s="483"/>
      <c r="J983" s="718"/>
      <c r="L983" s="713"/>
      <c r="M983" s="713"/>
      <c r="N983" s="713"/>
    </row>
    <row r="984">
      <c r="C984" s="483"/>
      <c r="D984" s="355"/>
      <c r="E984" s="672"/>
      <c r="F984" s="255"/>
      <c r="G984" s="261"/>
      <c r="H984" s="264"/>
      <c r="I984" s="483"/>
      <c r="J984" s="718"/>
      <c r="L984" s="713"/>
      <c r="M984" s="713"/>
      <c r="N984" s="713"/>
    </row>
    <row r="985">
      <c r="C985" s="483"/>
      <c r="D985" s="355"/>
      <c r="E985" s="672"/>
      <c r="F985" s="255"/>
      <c r="G985" s="261"/>
      <c r="H985" s="264"/>
      <c r="I985" s="483"/>
      <c r="J985" s="718"/>
      <c r="L985" s="713"/>
      <c r="M985" s="713"/>
      <c r="N985" s="713"/>
    </row>
    <row r="986">
      <c r="C986" s="483"/>
      <c r="D986" s="355"/>
      <c r="E986" s="672"/>
      <c r="F986" s="255"/>
      <c r="G986" s="261"/>
      <c r="H986" s="264"/>
      <c r="I986" s="483"/>
      <c r="J986" s="718"/>
      <c r="L986" s="713"/>
      <c r="M986" s="713"/>
      <c r="N986" s="713"/>
    </row>
    <row r="987">
      <c r="C987" s="483"/>
      <c r="D987" s="355"/>
      <c r="E987" s="672"/>
      <c r="F987" s="255"/>
      <c r="G987" s="261"/>
      <c r="H987" s="264"/>
      <c r="I987" s="483"/>
      <c r="J987" s="718"/>
      <c r="L987" s="713"/>
      <c r="M987" s="713"/>
      <c r="N987" s="713"/>
    </row>
    <row r="988">
      <c r="C988" s="483"/>
      <c r="D988" s="355"/>
      <c r="E988" s="672"/>
      <c r="F988" s="255"/>
      <c r="G988" s="261"/>
      <c r="H988" s="264"/>
      <c r="I988" s="483"/>
      <c r="J988" s="718"/>
      <c r="L988" s="713"/>
      <c r="M988" s="713"/>
      <c r="N988" s="713"/>
    </row>
    <row r="989">
      <c r="C989" s="483"/>
      <c r="D989" s="355"/>
      <c r="E989" s="672"/>
      <c r="F989" s="255"/>
      <c r="G989" s="261"/>
      <c r="H989" s="264"/>
      <c r="I989" s="483"/>
      <c r="J989" s="718"/>
      <c r="L989" s="713"/>
      <c r="M989" s="713"/>
      <c r="N989" s="713"/>
    </row>
    <row r="990">
      <c r="C990" s="483"/>
      <c r="D990" s="355"/>
      <c r="E990" s="672"/>
      <c r="F990" s="255"/>
      <c r="G990" s="261"/>
      <c r="H990" s="264"/>
      <c r="I990" s="483"/>
      <c r="J990" s="718"/>
      <c r="L990" s="713"/>
      <c r="M990" s="713"/>
      <c r="N990" s="713"/>
    </row>
    <row r="991">
      <c r="C991" s="483"/>
      <c r="D991" s="355"/>
      <c r="E991" s="672"/>
      <c r="F991" s="255"/>
      <c r="G991" s="261"/>
      <c r="H991" s="264"/>
      <c r="I991" s="483"/>
      <c r="J991" s="718"/>
      <c r="L991" s="713"/>
      <c r="M991" s="713"/>
      <c r="N991" s="713"/>
    </row>
    <row r="992">
      <c r="C992" s="483"/>
      <c r="D992" s="355"/>
      <c r="E992" s="672"/>
      <c r="F992" s="255"/>
      <c r="G992" s="261"/>
      <c r="H992" s="264"/>
      <c r="I992" s="483"/>
      <c r="J992" s="718"/>
      <c r="L992" s="713"/>
      <c r="M992" s="713"/>
      <c r="N992" s="713"/>
    </row>
    <row r="993">
      <c r="C993" s="483"/>
      <c r="D993" s="355"/>
      <c r="E993" s="672"/>
      <c r="F993" s="255"/>
      <c r="G993" s="261"/>
      <c r="H993" s="264"/>
      <c r="I993" s="483"/>
      <c r="J993" s="718"/>
      <c r="L993" s="713"/>
      <c r="M993" s="713"/>
      <c r="N993" s="713"/>
    </row>
    <row r="994">
      <c r="C994" s="483"/>
      <c r="D994" s="355"/>
      <c r="E994" s="672"/>
      <c r="F994" s="255"/>
      <c r="G994" s="261"/>
      <c r="H994" s="264"/>
      <c r="I994" s="483"/>
      <c r="J994" s="718"/>
      <c r="L994" s="713"/>
      <c r="M994" s="713"/>
      <c r="N994" s="713"/>
    </row>
    <row r="995">
      <c r="C995" s="483"/>
      <c r="D995" s="355"/>
      <c r="E995" s="672"/>
      <c r="F995" s="255"/>
      <c r="G995" s="261"/>
      <c r="H995" s="264"/>
      <c r="I995" s="483"/>
      <c r="J995" s="718"/>
      <c r="L995" s="713"/>
      <c r="M995" s="713"/>
      <c r="N995" s="713"/>
    </row>
    <row r="996">
      <c r="C996" s="483"/>
      <c r="D996" s="355"/>
      <c r="E996" s="672"/>
      <c r="F996" s="255"/>
      <c r="G996" s="261"/>
      <c r="H996" s="264"/>
      <c r="I996" s="483"/>
      <c r="J996" s="718"/>
      <c r="L996" s="713"/>
      <c r="M996" s="713"/>
      <c r="N996" s="713"/>
    </row>
    <row r="997">
      <c r="C997" s="483"/>
      <c r="D997" s="355"/>
      <c r="E997" s="672"/>
      <c r="F997" s="255"/>
      <c r="G997" s="261"/>
      <c r="H997" s="264"/>
      <c r="I997" s="483"/>
      <c r="J997" s="718"/>
      <c r="L997" s="713"/>
      <c r="M997" s="713"/>
      <c r="N997" s="713"/>
    </row>
    <row r="998">
      <c r="C998" s="483"/>
      <c r="D998" s="355"/>
      <c r="E998" s="672"/>
      <c r="F998" s="255"/>
      <c r="G998" s="261"/>
      <c r="H998" s="264"/>
      <c r="I998" s="483"/>
      <c r="J998" s="718"/>
      <c r="L998" s="713"/>
      <c r="M998" s="713"/>
      <c r="N998" s="713"/>
    </row>
    <row r="999">
      <c r="C999" s="483"/>
      <c r="D999" s="355"/>
      <c r="E999" s="672"/>
      <c r="F999" s="255"/>
      <c r="G999" s="261"/>
      <c r="H999" s="264"/>
      <c r="I999" s="483"/>
      <c r="J999" s="718"/>
      <c r="L999" s="713"/>
      <c r="M999" s="713"/>
      <c r="N999" s="713"/>
    </row>
    <row r="1000">
      <c r="C1000" s="483"/>
      <c r="D1000" s="355"/>
      <c r="E1000" s="672"/>
      <c r="F1000" s="255"/>
      <c r="G1000" s="261"/>
      <c r="H1000" s="264"/>
      <c r="I1000" s="483"/>
      <c r="J1000" s="718"/>
      <c r="L1000" s="713"/>
      <c r="M1000" s="713"/>
      <c r="N1000" s="713"/>
    </row>
  </sheetData>
  <autoFilter ref="$A$1:$AE$55"/>
  <mergeCells count="2">
    <mergeCell ref="C57:D57"/>
    <mergeCell ref="C64:F64"/>
  </mergeCells>
  <conditionalFormatting sqref="A2:A55">
    <cfRule type="cellIs" dxfId="4" priority="1" operator="equal">
      <formula>"Not Found"</formula>
    </cfRule>
  </conditionalFormatting>
  <hyperlinks>
    <hyperlink r:id="rId1" location="slide=id.g2edd551b383_0_926" ref="C64"/>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6.25"/>
    <col customWidth="1" min="3" max="3" width="15.5"/>
    <col customWidth="1" min="4" max="4" width="59.38"/>
    <col customWidth="1" min="5" max="5" width="19.25"/>
    <col customWidth="1" min="6" max="6" width="15.63"/>
    <col customWidth="1" min="7" max="7" width="89.88"/>
  </cols>
  <sheetData>
    <row r="1">
      <c r="A1" s="729" t="s">
        <v>161</v>
      </c>
      <c r="B1" s="730" t="s">
        <v>729</v>
      </c>
      <c r="C1" s="731" t="s">
        <v>730</v>
      </c>
      <c r="D1" s="732" t="s">
        <v>731</v>
      </c>
      <c r="E1" s="733" t="s">
        <v>307</v>
      </c>
      <c r="F1" s="162" t="s">
        <v>732</v>
      </c>
      <c r="G1" s="162" t="s">
        <v>733</v>
      </c>
      <c r="H1" s="163"/>
      <c r="I1" s="163"/>
      <c r="J1" s="163"/>
      <c r="K1" s="163"/>
      <c r="L1" s="163"/>
      <c r="M1" s="163"/>
      <c r="N1" s="163"/>
      <c r="O1" s="163"/>
      <c r="P1" s="163"/>
      <c r="Q1" s="163"/>
      <c r="R1" s="163"/>
      <c r="S1" s="163"/>
    </row>
    <row r="2">
      <c r="A2" s="433" t="s">
        <v>207</v>
      </c>
      <c r="B2" s="734">
        <v>5570.0</v>
      </c>
      <c r="C2" s="483">
        <f t="shared" ref="C2:C18" si="1">0.128*B2^0.832</f>
        <v>167.4023275</v>
      </c>
      <c r="D2" s="385" t="str">
        <f t="shared" ref="D2:D18" si="2">IF(C2 &lt;100, "Low motorization rate", IF(C2 &lt;=200, "Medium motorization rate", "High motorization rate"))</f>
        <v>Medium motorization rate</v>
      </c>
      <c r="E2" s="520">
        <f t="shared" ref="E2:E18" si="3">IF(C2 &lt;100, (1/3), IF(C2 &lt;=200, (2/3), 1))</f>
        <v>0.6666666667</v>
      </c>
      <c r="F2" s="317" t="s">
        <v>387</v>
      </c>
      <c r="G2" s="16" t="s">
        <v>734</v>
      </c>
    </row>
    <row r="3">
      <c r="A3" s="433" t="s">
        <v>240</v>
      </c>
      <c r="B3" s="734">
        <v>2401.0</v>
      </c>
      <c r="C3" s="483">
        <f t="shared" si="1"/>
        <v>83.11822243</v>
      </c>
      <c r="D3" s="385" t="str">
        <f t="shared" si="2"/>
        <v>Low motorization rate</v>
      </c>
      <c r="E3" s="735">
        <f t="shared" si="3"/>
        <v>0.3333333333</v>
      </c>
    </row>
    <row r="4">
      <c r="A4" s="433" t="s">
        <v>268</v>
      </c>
      <c r="B4" s="734">
        <v>3824.0</v>
      </c>
      <c r="C4" s="483">
        <f t="shared" si="1"/>
        <v>122.4235162</v>
      </c>
      <c r="D4" s="385" t="str">
        <f t="shared" si="2"/>
        <v>Medium motorization rate</v>
      </c>
      <c r="E4" s="520">
        <f t="shared" si="3"/>
        <v>0.6666666667</v>
      </c>
    </row>
    <row r="5">
      <c r="A5" s="433" t="s">
        <v>329</v>
      </c>
      <c r="B5" s="734">
        <v>15843.0</v>
      </c>
      <c r="C5" s="483">
        <f t="shared" si="1"/>
        <v>399.4612944</v>
      </c>
      <c r="D5" s="385" t="str">
        <f t="shared" si="2"/>
        <v>High motorization rate</v>
      </c>
      <c r="E5" s="735">
        <f t="shared" si="3"/>
        <v>1</v>
      </c>
    </row>
    <row r="6">
      <c r="A6" s="433" t="s">
        <v>331</v>
      </c>
      <c r="B6" s="734">
        <v>1872.0</v>
      </c>
      <c r="C6" s="483">
        <f t="shared" si="1"/>
        <v>67.57225809</v>
      </c>
      <c r="D6" s="385" t="str">
        <f t="shared" si="2"/>
        <v>Low motorization rate</v>
      </c>
      <c r="E6" s="520">
        <f t="shared" si="3"/>
        <v>0.3333333333</v>
      </c>
    </row>
    <row r="7">
      <c r="A7" s="433" t="s">
        <v>333</v>
      </c>
      <c r="B7" s="734">
        <v>510.0</v>
      </c>
      <c r="C7" s="483">
        <f t="shared" si="1"/>
        <v>22.9038429</v>
      </c>
      <c r="D7" s="385" t="str">
        <f t="shared" si="2"/>
        <v>Low motorization rate</v>
      </c>
      <c r="E7" s="735">
        <f t="shared" si="3"/>
        <v>0.3333333333</v>
      </c>
    </row>
    <row r="8">
      <c r="A8" s="433" t="s">
        <v>225</v>
      </c>
      <c r="B8" s="734">
        <v>11169.0</v>
      </c>
      <c r="C8" s="483">
        <f t="shared" si="1"/>
        <v>298.6467959</v>
      </c>
      <c r="D8" s="385" t="str">
        <f t="shared" si="2"/>
        <v>High motorization rate</v>
      </c>
      <c r="E8" s="735">
        <f t="shared" si="3"/>
        <v>1</v>
      </c>
    </row>
    <row r="9">
      <c r="A9" s="433" t="s">
        <v>338</v>
      </c>
      <c r="B9" s="734">
        <v>3094.0</v>
      </c>
      <c r="C9" s="483">
        <f t="shared" si="1"/>
        <v>102.6414709</v>
      </c>
      <c r="D9" s="385" t="str">
        <f t="shared" si="2"/>
        <v>Medium motorization rate</v>
      </c>
      <c r="E9" s="520">
        <f t="shared" si="3"/>
        <v>0.6666666667</v>
      </c>
    </row>
    <row r="10">
      <c r="A10" s="433" t="s">
        <v>340</v>
      </c>
      <c r="B10" s="734">
        <v>449.0</v>
      </c>
      <c r="C10" s="483">
        <f t="shared" si="1"/>
        <v>20.60055521</v>
      </c>
      <c r="D10" s="385" t="str">
        <f t="shared" si="2"/>
        <v>Low motorization rate</v>
      </c>
      <c r="E10" s="520">
        <f t="shared" si="3"/>
        <v>0.3333333333</v>
      </c>
    </row>
    <row r="11">
      <c r="A11" s="433" t="s">
        <v>342</v>
      </c>
      <c r="B11" s="734">
        <v>725.0</v>
      </c>
      <c r="C11" s="483">
        <f t="shared" si="1"/>
        <v>30.69101073</v>
      </c>
      <c r="D11" s="385" t="str">
        <f t="shared" si="2"/>
        <v>Low motorization rate</v>
      </c>
      <c r="E11" s="735">
        <f t="shared" si="3"/>
        <v>0.3333333333</v>
      </c>
    </row>
    <row r="12">
      <c r="A12" s="433" t="s">
        <v>346</v>
      </c>
      <c r="B12" s="734">
        <v>3109.0</v>
      </c>
      <c r="C12" s="483">
        <f t="shared" si="1"/>
        <v>103.0553186</v>
      </c>
      <c r="D12" s="385" t="str">
        <f t="shared" si="2"/>
        <v>Medium motorization rate</v>
      </c>
      <c r="E12" s="520">
        <f t="shared" si="3"/>
        <v>0.6666666667</v>
      </c>
    </row>
    <row r="13">
      <c r="A13" s="433" t="s">
        <v>351</v>
      </c>
      <c r="B13" s="734">
        <v>3954.0</v>
      </c>
      <c r="C13" s="483">
        <f t="shared" si="1"/>
        <v>125.8764467</v>
      </c>
      <c r="D13" s="385" t="str">
        <f t="shared" si="2"/>
        <v>Medium motorization rate</v>
      </c>
      <c r="E13" s="735">
        <f t="shared" si="3"/>
        <v>0.6666666667</v>
      </c>
    </row>
    <row r="14">
      <c r="A14" s="433" t="s">
        <v>356</v>
      </c>
      <c r="B14" s="734">
        <v>7499.0</v>
      </c>
      <c r="C14" s="483">
        <f t="shared" si="1"/>
        <v>214.3940655</v>
      </c>
      <c r="D14" s="385" t="str">
        <f t="shared" si="2"/>
        <v>High motorization rate</v>
      </c>
      <c r="E14" s="735">
        <f t="shared" si="3"/>
        <v>1</v>
      </c>
    </row>
    <row r="15">
      <c r="A15" s="433" t="s">
        <v>357</v>
      </c>
      <c r="B15" s="734">
        <v>11403.0</v>
      </c>
      <c r="C15" s="483">
        <f t="shared" si="1"/>
        <v>303.8434517</v>
      </c>
      <c r="D15" s="385" t="str">
        <f t="shared" si="2"/>
        <v>High motorization rate</v>
      </c>
      <c r="E15" s="520">
        <f t="shared" si="3"/>
        <v>1</v>
      </c>
    </row>
    <row r="16">
      <c r="A16" s="433" t="s">
        <v>276</v>
      </c>
      <c r="B16" s="734">
        <v>927.0</v>
      </c>
      <c r="C16" s="483">
        <f t="shared" si="1"/>
        <v>37.65479681</v>
      </c>
      <c r="D16" s="385" t="str">
        <f t="shared" si="2"/>
        <v>Low motorization rate</v>
      </c>
      <c r="E16" s="520">
        <f t="shared" si="3"/>
        <v>0.3333333333</v>
      </c>
    </row>
    <row r="17">
      <c r="A17" s="433" t="s">
        <v>285</v>
      </c>
      <c r="B17" s="734">
        <v>12321.0</v>
      </c>
      <c r="C17" s="483">
        <f t="shared" si="1"/>
        <v>324.0614764</v>
      </c>
      <c r="D17" s="385" t="str">
        <f t="shared" si="2"/>
        <v>High motorization rate</v>
      </c>
      <c r="E17" s="735">
        <f t="shared" si="3"/>
        <v>1</v>
      </c>
    </row>
    <row r="18">
      <c r="A18" s="433" t="s">
        <v>360</v>
      </c>
      <c r="B18" s="734">
        <v>5319.0</v>
      </c>
      <c r="C18" s="483">
        <f t="shared" si="1"/>
        <v>161.1018478</v>
      </c>
      <c r="D18" s="385" t="str">
        <f t="shared" si="2"/>
        <v>Medium motorization rate</v>
      </c>
      <c r="E18" s="520">
        <f t="shared" si="3"/>
        <v>0.6666666667</v>
      </c>
    </row>
    <row r="19">
      <c r="A19" s="433" t="s">
        <v>362</v>
      </c>
      <c r="B19" s="472" t="s">
        <v>382</v>
      </c>
      <c r="C19" s="472" t="s">
        <v>382</v>
      </c>
      <c r="D19" s="472" t="s">
        <v>382</v>
      </c>
      <c r="E19" s="473" t="s">
        <v>382</v>
      </c>
    </row>
    <row r="20">
      <c r="A20" s="433" t="s">
        <v>363</v>
      </c>
      <c r="B20" s="734">
        <v>6085.0</v>
      </c>
      <c r="C20" s="483">
        <f t="shared" ref="C20:C47" si="4">0.128*B20^0.832</f>
        <v>180.1833986</v>
      </c>
      <c r="D20" s="385" t="str">
        <f t="shared" ref="D20:D47" si="5">IF(C20 &lt;100, "Low motorization rate", IF(C20 &lt;=200, "Medium motorization rate", "High motorization rate"))</f>
        <v>Medium motorization rate</v>
      </c>
      <c r="E20" s="520">
        <f t="shared" ref="E20:E47" si="6">IF(C20 &lt;100, (1/3), IF(C20 &lt;=200, (2/3), 1))</f>
        <v>0.6666666667</v>
      </c>
    </row>
    <row r="21">
      <c r="A21" s="433" t="s">
        <v>255</v>
      </c>
      <c r="B21" s="734">
        <v>3883.0</v>
      </c>
      <c r="C21" s="483">
        <f t="shared" si="4"/>
        <v>123.9930202</v>
      </c>
      <c r="D21" s="385" t="str">
        <f t="shared" si="5"/>
        <v>Medium motorization rate</v>
      </c>
      <c r="E21" s="735">
        <f t="shared" si="6"/>
        <v>0.6666666667</v>
      </c>
    </row>
    <row r="22">
      <c r="A22" s="433" t="s">
        <v>374</v>
      </c>
      <c r="B22" s="734">
        <v>9952.0</v>
      </c>
      <c r="C22" s="483">
        <f t="shared" si="4"/>
        <v>271.3134946</v>
      </c>
      <c r="D22" s="385" t="str">
        <f t="shared" si="5"/>
        <v>High motorization rate</v>
      </c>
      <c r="E22" s="520">
        <f t="shared" si="6"/>
        <v>1</v>
      </c>
    </row>
    <row r="23">
      <c r="A23" s="433" t="s">
        <v>263</v>
      </c>
      <c r="B23" s="734">
        <v>1876.0</v>
      </c>
      <c r="C23" s="483">
        <f t="shared" si="4"/>
        <v>67.69236501</v>
      </c>
      <c r="D23" s="385" t="str">
        <f t="shared" si="5"/>
        <v>Low motorization rate</v>
      </c>
      <c r="E23" s="735">
        <f t="shared" si="6"/>
        <v>0.3333333333</v>
      </c>
    </row>
    <row r="24">
      <c r="A24" s="433" t="s">
        <v>266</v>
      </c>
      <c r="B24" s="734">
        <v>5696.0</v>
      </c>
      <c r="C24" s="483">
        <f t="shared" si="4"/>
        <v>170.5470429</v>
      </c>
      <c r="D24" s="385" t="str">
        <f t="shared" si="5"/>
        <v>Medium motorization rate</v>
      </c>
      <c r="E24" s="520">
        <f t="shared" si="6"/>
        <v>0.6666666667</v>
      </c>
    </row>
    <row r="25">
      <c r="A25" s="433" t="s">
        <v>385</v>
      </c>
      <c r="B25" s="734">
        <v>3212.0</v>
      </c>
      <c r="C25" s="483">
        <f t="shared" si="4"/>
        <v>105.8881147</v>
      </c>
      <c r="D25" s="385" t="str">
        <f t="shared" si="5"/>
        <v>Medium motorization rate</v>
      </c>
      <c r="E25" s="735">
        <f t="shared" si="6"/>
        <v>0.6666666667</v>
      </c>
    </row>
    <row r="26">
      <c r="A26" s="433" t="s">
        <v>386</v>
      </c>
      <c r="B26" s="734">
        <v>1748.0</v>
      </c>
      <c r="C26" s="483">
        <f t="shared" si="4"/>
        <v>63.82700085</v>
      </c>
      <c r="D26" s="385" t="str">
        <f t="shared" si="5"/>
        <v>Low motorization rate</v>
      </c>
      <c r="E26" s="520">
        <f t="shared" si="6"/>
        <v>0.3333333333</v>
      </c>
    </row>
    <row r="27">
      <c r="A27" s="433" t="s">
        <v>280</v>
      </c>
      <c r="B27" s="734">
        <v>5830.0</v>
      </c>
      <c r="C27" s="483">
        <f t="shared" si="4"/>
        <v>173.878629</v>
      </c>
      <c r="D27" s="385" t="str">
        <f t="shared" si="5"/>
        <v>Medium motorization rate</v>
      </c>
      <c r="E27" s="735">
        <f t="shared" si="6"/>
        <v>0.6666666667</v>
      </c>
    </row>
    <row r="28">
      <c r="A28" s="433" t="s">
        <v>392</v>
      </c>
      <c r="B28" s="734">
        <v>1758.0</v>
      </c>
      <c r="C28" s="483">
        <f t="shared" si="4"/>
        <v>64.13065419</v>
      </c>
      <c r="D28" s="385" t="str">
        <f t="shared" si="5"/>
        <v>Low motorization rate</v>
      </c>
      <c r="E28" s="520">
        <f t="shared" si="6"/>
        <v>0.3333333333</v>
      </c>
    </row>
    <row r="29">
      <c r="A29" s="433" t="s">
        <v>394</v>
      </c>
      <c r="B29" s="734">
        <v>2140.0</v>
      </c>
      <c r="C29" s="483">
        <f t="shared" si="4"/>
        <v>75.52908598</v>
      </c>
      <c r="D29" s="385" t="str">
        <f t="shared" si="5"/>
        <v>Low motorization rate</v>
      </c>
      <c r="E29" s="735">
        <f t="shared" si="6"/>
        <v>0.3333333333</v>
      </c>
    </row>
    <row r="30">
      <c r="A30" s="433" t="s">
        <v>396</v>
      </c>
      <c r="B30" s="734">
        <v>13186.0</v>
      </c>
      <c r="C30" s="483">
        <f t="shared" si="4"/>
        <v>342.8814933</v>
      </c>
      <c r="D30" s="385" t="str">
        <f t="shared" si="5"/>
        <v>High motorization rate</v>
      </c>
      <c r="E30" s="520">
        <f t="shared" si="6"/>
        <v>1</v>
      </c>
    </row>
    <row r="31">
      <c r="A31" s="433" t="s">
        <v>336</v>
      </c>
      <c r="B31" s="734">
        <v>1013.0</v>
      </c>
      <c r="C31" s="483">
        <f t="shared" si="4"/>
        <v>40.53937307</v>
      </c>
      <c r="D31" s="385" t="str">
        <f t="shared" si="5"/>
        <v>Low motorization rate</v>
      </c>
      <c r="E31" s="735">
        <f t="shared" si="6"/>
        <v>0.3333333333</v>
      </c>
    </row>
    <row r="32">
      <c r="A32" s="433" t="s">
        <v>343</v>
      </c>
      <c r="B32" s="734">
        <v>1190.0</v>
      </c>
      <c r="C32" s="483">
        <f t="shared" si="4"/>
        <v>46.35163324</v>
      </c>
      <c r="D32" s="385" t="str">
        <f t="shared" si="5"/>
        <v>Low motorization rate</v>
      </c>
      <c r="E32" s="520">
        <f t="shared" si="6"/>
        <v>0.3333333333</v>
      </c>
    </row>
    <row r="33">
      <c r="A33" s="433" t="s">
        <v>399</v>
      </c>
      <c r="B33" s="734">
        <v>1537.0</v>
      </c>
      <c r="C33" s="483">
        <f t="shared" si="4"/>
        <v>57.34857453</v>
      </c>
      <c r="D33" s="385" t="str">
        <f t="shared" si="5"/>
        <v>Low motorization rate</v>
      </c>
      <c r="E33" s="735">
        <f t="shared" si="6"/>
        <v>0.3333333333</v>
      </c>
    </row>
    <row r="34">
      <c r="A34" s="433" t="s">
        <v>401</v>
      </c>
      <c r="B34" s="734">
        <v>2386.0</v>
      </c>
      <c r="C34" s="483">
        <f t="shared" si="4"/>
        <v>82.68596041</v>
      </c>
      <c r="D34" s="385" t="str">
        <f t="shared" si="5"/>
        <v>Low motorization rate</v>
      </c>
      <c r="E34" s="520">
        <f t="shared" si="6"/>
        <v>0.3333333333</v>
      </c>
    </row>
    <row r="35">
      <c r="A35" s="433" t="s">
        <v>354</v>
      </c>
      <c r="B35" s="734">
        <v>28057.0</v>
      </c>
      <c r="C35" s="483">
        <f t="shared" si="4"/>
        <v>642.6585278</v>
      </c>
      <c r="D35" s="385" t="str">
        <f t="shared" si="5"/>
        <v>High motorization rate</v>
      </c>
      <c r="E35" s="735">
        <f t="shared" si="6"/>
        <v>1</v>
      </c>
    </row>
    <row r="36">
      <c r="A36" s="433" t="s">
        <v>290</v>
      </c>
      <c r="B36" s="734">
        <v>7873.0</v>
      </c>
      <c r="C36" s="483">
        <f t="shared" si="4"/>
        <v>223.2536967</v>
      </c>
      <c r="D36" s="385" t="str">
        <f t="shared" si="5"/>
        <v>High motorization rate</v>
      </c>
      <c r="E36" s="520">
        <f t="shared" si="6"/>
        <v>1</v>
      </c>
    </row>
    <row r="37">
      <c r="A37" s="433" t="s">
        <v>291</v>
      </c>
      <c r="B37" s="734">
        <v>2119.0</v>
      </c>
      <c r="C37" s="483">
        <f t="shared" si="4"/>
        <v>74.91191955</v>
      </c>
      <c r="D37" s="385" t="str">
        <f t="shared" si="5"/>
        <v>Low motorization rate</v>
      </c>
      <c r="E37" s="735">
        <f t="shared" si="6"/>
        <v>0.3333333333</v>
      </c>
    </row>
    <row r="38">
      <c r="A38" s="433" t="s">
        <v>296</v>
      </c>
      <c r="B38" s="734">
        <v>7119.0</v>
      </c>
      <c r="C38" s="483">
        <f t="shared" si="4"/>
        <v>205.3158946</v>
      </c>
      <c r="D38" s="385" t="str">
        <f t="shared" si="5"/>
        <v>High motorization rate</v>
      </c>
      <c r="E38" s="520">
        <f t="shared" si="6"/>
        <v>1</v>
      </c>
    </row>
    <row r="39">
      <c r="A39" s="433" t="s">
        <v>407</v>
      </c>
      <c r="B39" s="734">
        <v>1158.0</v>
      </c>
      <c r="C39" s="483">
        <f t="shared" si="4"/>
        <v>45.31223573</v>
      </c>
      <c r="D39" s="385" t="str">
        <f t="shared" si="5"/>
        <v>Low motorization rate</v>
      </c>
      <c r="E39" s="735">
        <f t="shared" si="6"/>
        <v>0.3333333333</v>
      </c>
    </row>
    <row r="40">
      <c r="A40" s="433" t="s">
        <v>299</v>
      </c>
      <c r="B40" s="734">
        <v>3102.0</v>
      </c>
      <c r="C40" s="483">
        <f t="shared" si="4"/>
        <v>102.8622315</v>
      </c>
      <c r="D40" s="385" t="str">
        <f t="shared" si="5"/>
        <v>Medium motorization rate</v>
      </c>
      <c r="E40" s="520">
        <f t="shared" si="6"/>
        <v>0.6666666667</v>
      </c>
    </row>
    <row r="41">
      <c r="A41" s="433" t="s">
        <v>302</v>
      </c>
      <c r="B41" s="734">
        <v>3974.0</v>
      </c>
      <c r="C41" s="483">
        <f t="shared" si="4"/>
        <v>126.4059601</v>
      </c>
      <c r="D41" s="385" t="str">
        <f t="shared" si="5"/>
        <v>Medium motorization rate</v>
      </c>
      <c r="E41" s="735">
        <f t="shared" si="6"/>
        <v>0.6666666667</v>
      </c>
    </row>
    <row r="42">
      <c r="A42" s="433" t="s">
        <v>410</v>
      </c>
      <c r="B42" s="734">
        <v>3592.0</v>
      </c>
      <c r="C42" s="483">
        <f t="shared" si="4"/>
        <v>116.211684</v>
      </c>
      <c r="D42" s="385" t="str">
        <f t="shared" si="5"/>
        <v>Medium motorization rate</v>
      </c>
      <c r="E42" s="520">
        <f t="shared" si="6"/>
        <v>0.6666666667</v>
      </c>
    </row>
    <row r="43">
      <c r="A43" s="433" t="s">
        <v>411</v>
      </c>
      <c r="B43" s="734">
        <v>3002.0</v>
      </c>
      <c r="C43" s="483">
        <f t="shared" si="4"/>
        <v>100.0957555</v>
      </c>
      <c r="D43" s="385" t="str">
        <f t="shared" si="5"/>
        <v>Medium motorization rate</v>
      </c>
      <c r="E43" s="735">
        <f t="shared" si="6"/>
        <v>0.6666666667</v>
      </c>
    </row>
    <row r="44">
      <c r="A44" s="433" t="s">
        <v>309</v>
      </c>
      <c r="B44" s="734">
        <v>33202.0</v>
      </c>
      <c r="C44" s="483">
        <f t="shared" si="4"/>
        <v>739.2964515</v>
      </c>
      <c r="D44" s="385" t="str">
        <f t="shared" si="5"/>
        <v>High motorization rate</v>
      </c>
      <c r="E44" s="520">
        <f t="shared" si="6"/>
        <v>1</v>
      </c>
    </row>
    <row r="45">
      <c r="A45" s="433" t="s">
        <v>412</v>
      </c>
      <c r="B45" s="734">
        <v>1309.0</v>
      </c>
      <c r="C45" s="483">
        <f t="shared" si="4"/>
        <v>50.17689181</v>
      </c>
      <c r="D45" s="385" t="str">
        <f t="shared" si="5"/>
        <v>Low motorization rate</v>
      </c>
      <c r="E45" s="735">
        <f t="shared" si="6"/>
        <v>0.3333333333</v>
      </c>
    </row>
    <row r="46">
      <c r="A46" s="433" t="s">
        <v>415</v>
      </c>
      <c r="B46" s="734">
        <v>958.0</v>
      </c>
      <c r="C46" s="483">
        <f t="shared" si="4"/>
        <v>38.69956409</v>
      </c>
      <c r="D46" s="385" t="str">
        <f t="shared" si="5"/>
        <v>Low motorization rate</v>
      </c>
      <c r="E46" s="520">
        <f t="shared" si="6"/>
        <v>0.3333333333</v>
      </c>
    </row>
    <row r="47">
      <c r="A47" s="433" t="s">
        <v>313</v>
      </c>
      <c r="B47" s="734">
        <v>8044.0</v>
      </c>
      <c r="C47" s="483">
        <f t="shared" si="4"/>
        <v>227.2807873</v>
      </c>
      <c r="D47" s="385" t="str">
        <f t="shared" si="5"/>
        <v>High motorization rate</v>
      </c>
      <c r="E47" s="735">
        <f t="shared" si="6"/>
        <v>1</v>
      </c>
    </row>
    <row r="48">
      <c r="A48" s="433" t="s">
        <v>416</v>
      </c>
      <c r="B48" s="472" t="s">
        <v>382</v>
      </c>
      <c r="C48" s="472" t="s">
        <v>382</v>
      </c>
      <c r="D48" s="472" t="s">
        <v>382</v>
      </c>
      <c r="E48" s="473" t="s">
        <v>382</v>
      </c>
    </row>
    <row r="49">
      <c r="A49" s="433" t="s">
        <v>417</v>
      </c>
      <c r="B49" s="734">
        <v>1121.0</v>
      </c>
      <c r="C49" s="483">
        <f t="shared" ref="C49:C55" si="7">0.128*B49^0.832</f>
        <v>44.10439198</v>
      </c>
      <c r="D49" s="385" t="str">
        <f t="shared" ref="D49:D55" si="8">IF(C49 &lt;100, "Low motorization rate", IF(C49 &lt;=200, "Medium motorization rate", "High motorization rate"))</f>
        <v>Low motorization rate</v>
      </c>
      <c r="E49" s="735">
        <f t="shared" ref="E49:E55" si="9">IF(C49 &lt;100, (1/3), IF(C49 &lt;=200, (2/3), 1))</f>
        <v>0.3333333333</v>
      </c>
    </row>
    <row r="50">
      <c r="A50" s="433" t="s">
        <v>418</v>
      </c>
      <c r="B50" s="734">
        <v>3342.0</v>
      </c>
      <c r="C50" s="483">
        <f t="shared" si="7"/>
        <v>109.4418265</v>
      </c>
      <c r="D50" s="385" t="str">
        <f t="shared" si="8"/>
        <v>Medium motorization rate</v>
      </c>
      <c r="E50" s="520">
        <f t="shared" si="9"/>
        <v>0.6666666667</v>
      </c>
    </row>
    <row r="51">
      <c r="A51" s="433" t="s">
        <v>398</v>
      </c>
      <c r="B51" s="734">
        <v>2598.0</v>
      </c>
      <c r="C51" s="483">
        <f t="shared" si="7"/>
        <v>88.7543688</v>
      </c>
      <c r="D51" s="385" t="str">
        <f t="shared" si="8"/>
        <v>Low motorization rate</v>
      </c>
      <c r="E51" s="735">
        <f t="shared" si="9"/>
        <v>0.3333333333</v>
      </c>
    </row>
    <row r="52">
      <c r="A52" s="433" t="s">
        <v>318</v>
      </c>
      <c r="B52" s="734">
        <v>4711.0</v>
      </c>
      <c r="C52" s="483">
        <f t="shared" si="7"/>
        <v>145.6263862</v>
      </c>
      <c r="D52" s="385" t="str">
        <f t="shared" si="8"/>
        <v>Medium motorization rate</v>
      </c>
      <c r="E52" s="520">
        <f t="shared" si="9"/>
        <v>0.6666666667</v>
      </c>
    </row>
    <row r="53">
      <c r="A53" s="433" t="s">
        <v>405</v>
      </c>
      <c r="B53" s="734">
        <v>3220.0</v>
      </c>
      <c r="C53" s="483">
        <f t="shared" si="7"/>
        <v>106.1074933</v>
      </c>
      <c r="D53" s="385" t="str">
        <f t="shared" si="8"/>
        <v>Medium motorization rate</v>
      </c>
      <c r="E53" s="735">
        <f t="shared" si="9"/>
        <v>0.6666666667</v>
      </c>
    </row>
    <row r="54">
      <c r="A54" s="433" t="s">
        <v>408</v>
      </c>
      <c r="B54" s="734">
        <v>2550.0</v>
      </c>
      <c r="C54" s="483">
        <f t="shared" si="7"/>
        <v>87.38791946</v>
      </c>
      <c r="D54" s="385" t="str">
        <f t="shared" si="8"/>
        <v>Low motorization rate</v>
      </c>
      <c r="E54" s="520">
        <f t="shared" si="9"/>
        <v>0.3333333333</v>
      </c>
    </row>
    <row r="55">
      <c r="A55" s="444" t="s">
        <v>320</v>
      </c>
      <c r="B55" s="736">
        <v>2502.0</v>
      </c>
      <c r="C55" s="643">
        <f t="shared" si="7"/>
        <v>86.01714182</v>
      </c>
      <c r="D55" s="248" t="str">
        <f t="shared" si="8"/>
        <v>Low motorization rate</v>
      </c>
      <c r="E55" s="737">
        <f t="shared" si="9"/>
        <v>0.3333333333</v>
      </c>
    </row>
    <row r="56">
      <c r="C56" s="483"/>
    </row>
    <row r="57">
      <c r="C57" s="357" t="s">
        <v>735</v>
      </c>
      <c r="D57" s="62"/>
      <c r="E57" s="418" t="s">
        <v>421</v>
      </c>
    </row>
    <row r="58">
      <c r="C58" s="360" t="s">
        <v>422</v>
      </c>
      <c r="D58" s="644">
        <f>max(C2:C55)</f>
        <v>739.2964515</v>
      </c>
      <c r="E58" s="645" t="s">
        <v>309</v>
      </c>
    </row>
    <row r="59">
      <c r="C59" s="360" t="s">
        <v>423</v>
      </c>
      <c r="D59" s="644">
        <f>MIN(C2:C55)</f>
        <v>20.60055521</v>
      </c>
      <c r="E59" s="450" t="s">
        <v>340</v>
      </c>
    </row>
    <row r="60">
      <c r="C60" s="360" t="s">
        <v>424</v>
      </c>
      <c r="D60" s="644">
        <f>average(C2:C55)</f>
        <v>150.2338397</v>
      </c>
    </row>
    <row r="61">
      <c r="C61" s="360" t="s">
        <v>425</v>
      </c>
      <c r="D61" s="644">
        <f>median(C2:C55)</f>
        <v>104.4717167</v>
      </c>
    </row>
    <row r="62">
      <c r="C62" s="367" t="s">
        <v>446</v>
      </c>
      <c r="D62" s="647">
        <f>STDEV(C2:C55)</f>
        <v>141.1013699</v>
      </c>
    </row>
    <row r="64">
      <c r="C64" s="484" t="s">
        <v>325</v>
      </c>
    </row>
    <row r="65">
      <c r="C65" s="721" t="str">
        <f t="array" ref="C65:C80">{"INDICATOR INFORMATION";
  "Index Category: "&amp;CHAR(10)&amp;
  "EV Impact Index - Measures broader benefits of EV adoption";
  "";
  "Sub-Category: "&amp;CHAR(10)&amp;
  "Market Potential";
  "";
  "Indicator Name: "&amp;CHAR(10)&amp;
  "Projected Rate of Motorization 2050";
  "";
  "Description: "&amp;CHAR(10)&amp;
  "Projects the number of passenger vehicles per 1,000 inhabitants by 2050, indicating potential scale of EV market impacts";
  "";
  "Summary Statistics: "&amp;CHAR(10)&amp;
  "• Maximum: 739.30 vehicles/1000 people (Seychelles)"&amp;CHAR(10)&amp;
  "• Minimum: 20.60 vehicles/1000 people (Central African Republic)"&amp;CHAR(10)&amp;
  "• Average: 150.23 vehicles/1000 people"&amp;CHAR(10)&amp;
  "• Median: 104.47 vehicles/1000 people"&amp;CHAR(10)&amp;
  "• Standard Deviation: 141.10";
  "";
  "Scoring Categories: "&amp;CHAR(10)&amp;
  "• Low (&lt;100 vehicles/1000 people) = Low Impact (1/3)"&amp;CHAR(10)&amp;
  "• Medium (100-200 vehicles/1000 people) = Medium Impact (2/3)"&amp;CHAR(10)&amp;
  "• High (&gt;200 vehicles/1000 people) = High Impact (3/3)";
  "";
  "Reference Points: "&amp;CHAR(10)&amp;
  "• EU Average: 560 vehicles/1000 people"&amp;CHAR(10)&amp;
  "• India: 159 vehicles/1000 people"&amp;CHAR(10)&amp;
  "• China: 210 vehicles/1000 people"&amp;CHAR(10)&amp;
  "• Vietnam: 544 vehicles/1000 people";
  "";
  "Methodology Note: "&amp;CHAR(10)&amp;
  "• Based on projected GNI per capita for 2050"&amp;CHAR(10)&amp;
  "• Considers current motorization trends"&amp;CHAR(10)&amp;
  "• Accounts for economic development patterns"}</f>
        <v>INDICATOR INFORMATION</v>
      </c>
      <c r="D65" s="659"/>
      <c r="E65" s="659"/>
      <c r="F65" s="275"/>
    </row>
    <row r="66">
      <c r="C66" s="487" t="s">
        <v>631</v>
      </c>
      <c r="F66" s="275"/>
    </row>
    <row r="67">
      <c r="C67" s="487" t="s">
        <v>126</v>
      </c>
      <c r="F67" s="275"/>
    </row>
    <row r="68">
      <c r="C68" s="487" t="s">
        <v>744</v>
      </c>
      <c r="F68" s="275"/>
    </row>
    <row r="69">
      <c r="C69" s="487" t="s">
        <v>126</v>
      </c>
      <c r="F69" s="275"/>
    </row>
    <row r="70">
      <c r="C70" s="487" t="s">
        <v>746</v>
      </c>
      <c r="F70" s="275"/>
    </row>
    <row r="71">
      <c r="C71" s="487" t="s">
        <v>126</v>
      </c>
      <c r="F71" s="275"/>
    </row>
    <row r="72">
      <c r="C72" s="487" t="s">
        <v>748</v>
      </c>
      <c r="F72" s="275"/>
    </row>
    <row r="73">
      <c r="C73" s="487" t="s">
        <v>126</v>
      </c>
      <c r="F73" s="275"/>
    </row>
    <row r="74">
      <c r="C74" s="487" t="s">
        <v>749</v>
      </c>
      <c r="F74" s="275"/>
    </row>
    <row r="75">
      <c r="C75" s="487" t="s">
        <v>126</v>
      </c>
      <c r="F75" s="275"/>
    </row>
    <row r="76">
      <c r="C76" s="487" t="s">
        <v>751</v>
      </c>
      <c r="F76" s="275"/>
    </row>
    <row r="77">
      <c r="C77" s="487" t="s">
        <v>126</v>
      </c>
      <c r="F77" s="275"/>
    </row>
    <row r="78">
      <c r="C78" s="487" t="s">
        <v>752</v>
      </c>
      <c r="F78" s="275"/>
    </row>
    <row r="79">
      <c r="C79" s="487" t="s">
        <v>126</v>
      </c>
      <c r="F79" s="275"/>
    </row>
    <row r="80">
      <c r="C80" s="487" t="s">
        <v>754</v>
      </c>
      <c r="F80" s="275"/>
    </row>
    <row r="81">
      <c r="C81" s="488"/>
      <c r="D81" s="283"/>
      <c r="E81" s="374"/>
    </row>
    <row r="82">
      <c r="C82" s="483"/>
    </row>
    <row r="83">
      <c r="C83" s="483"/>
    </row>
    <row r="84">
      <c r="C84" s="483"/>
    </row>
    <row r="85">
      <c r="C85" s="483"/>
    </row>
    <row r="86">
      <c r="C86" s="483"/>
    </row>
    <row r="87">
      <c r="C87" s="483"/>
    </row>
    <row r="88">
      <c r="C88" s="483"/>
    </row>
    <row r="89">
      <c r="C89" s="483"/>
    </row>
    <row r="90">
      <c r="C90" s="483"/>
    </row>
    <row r="91">
      <c r="C91" s="483"/>
    </row>
    <row r="92">
      <c r="C92" s="483"/>
    </row>
    <row r="93">
      <c r="C93" s="483"/>
    </row>
    <row r="94">
      <c r="C94" s="483"/>
    </row>
    <row r="95">
      <c r="C95" s="483"/>
    </row>
    <row r="96">
      <c r="C96" s="483"/>
    </row>
    <row r="97">
      <c r="C97" s="483"/>
    </row>
    <row r="98">
      <c r="C98" s="483"/>
    </row>
    <row r="99">
      <c r="C99" s="483"/>
    </row>
    <row r="100">
      <c r="C100" s="483"/>
    </row>
    <row r="101">
      <c r="C101" s="483"/>
    </row>
    <row r="102">
      <c r="C102" s="483"/>
    </row>
    <row r="103">
      <c r="C103" s="483"/>
    </row>
    <row r="104">
      <c r="C104" s="483"/>
    </row>
    <row r="105">
      <c r="C105" s="483"/>
    </row>
    <row r="106">
      <c r="C106" s="483"/>
    </row>
    <row r="107">
      <c r="C107" s="483"/>
    </row>
    <row r="108">
      <c r="C108" s="483"/>
    </row>
    <row r="109">
      <c r="C109" s="483"/>
    </row>
    <row r="110">
      <c r="C110" s="483"/>
    </row>
    <row r="111">
      <c r="C111" s="483"/>
    </row>
    <row r="112">
      <c r="C112" s="483"/>
    </row>
    <row r="113">
      <c r="C113" s="483"/>
    </row>
    <row r="114">
      <c r="C114" s="483"/>
    </row>
    <row r="115">
      <c r="C115" s="483"/>
    </row>
    <row r="116">
      <c r="C116" s="483"/>
    </row>
    <row r="117">
      <c r="C117" s="483"/>
    </row>
    <row r="118">
      <c r="C118" s="483"/>
    </row>
    <row r="119">
      <c r="C119" s="483"/>
    </row>
    <row r="120">
      <c r="C120" s="483"/>
    </row>
    <row r="121">
      <c r="C121" s="483"/>
    </row>
    <row r="122">
      <c r="C122" s="483"/>
    </row>
    <row r="123">
      <c r="C123" s="483"/>
    </row>
    <row r="124">
      <c r="C124" s="483"/>
    </row>
    <row r="125">
      <c r="C125" s="483"/>
    </row>
    <row r="126">
      <c r="C126" s="483"/>
    </row>
    <row r="127">
      <c r="C127" s="483"/>
    </row>
    <row r="128">
      <c r="C128" s="483"/>
    </row>
    <row r="129">
      <c r="C129" s="483"/>
    </row>
    <row r="130">
      <c r="C130" s="483"/>
    </row>
    <row r="131">
      <c r="C131" s="483"/>
    </row>
    <row r="132">
      <c r="C132" s="483"/>
    </row>
    <row r="133">
      <c r="C133" s="483"/>
    </row>
    <row r="134">
      <c r="C134" s="483"/>
    </row>
    <row r="135">
      <c r="C135" s="483"/>
    </row>
    <row r="136">
      <c r="C136" s="483"/>
    </row>
    <row r="137">
      <c r="C137" s="483"/>
    </row>
    <row r="138">
      <c r="C138" s="483"/>
    </row>
    <row r="139">
      <c r="C139" s="483"/>
    </row>
    <row r="140">
      <c r="C140" s="483"/>
    </row>
    <row r="141">
      <c r="C141" s="483"/>
    </row>
    <row r="142">
      <c r="C142" s="483"/>
    </row>
    <row r="143">
      <c r="C143" s="483"/>
    </row>
    <row r="144">
      <c r="C144" s="483"/>
    </row>
    <row r="145">
      <c r="C145" s="483"/>
    </row>
    <row r="146">
      <c r="C146" s="483"/>
    </row>
    <row r="147">
      <c r="C147" s="483"/>
    </row>
    <row r="148">
      <c r="C148" s="483"/>
    </row>
    <row r="149">
      <c r="C149" s="483"/>
    </row>
    <row r="150">
      <c r="C150" s="483"/>
    </row>
    <row r="151">
      <c r="C151" s="483"/>
    </row>
    <row r="152">
      <c r="C152" s="483"/>
    </row>
    <row r="153">
      <c r="C153" s="483"/>
    </row>
    <row r="154">
      <c r="C154" s="483"/>
    </row>
    <row r="155">
      <c r="C155" s="483"/>
    </row>
    <row r="156">
      <c r="C156" s="483"/>
    </row>
    <row r="157">
      <c r="C157" s="483"/>
    </row>
    <row r="158">
      <c r="C158" s="483"/>
    </row>
    <row r="159">
      <c r="C159" s="483"/>
    </row>
    <row r="160">
      <c r="C160" s="483"/>
    </row>
    <row r="161">
      <c r="C161" s="483"/>
    </row>
    <row r="162">
      <c r="C162" s="483"/>
    </row>
    <row r="163">
      <c r="C163" s="483"/>
    </row>
    <row r="164">
      <c r="C164" s="483"/>
    </row>
    <row r="165">
      <c r="C165" s="483"/>
    </row>
    <row r="166">
      <c r="C166" s="483"/>
    </row>
    <row r="167">
      <c r="C167" s="483"/>
    </row>
    <row r="168">
      <c r="C168" s="483"/>
    </row>
    <row r="169">
      <c r="C169" s="483"/>
    </row>
    <row r="170">
      <c r="C170" s="483"/>
    </row>
    <row r="171">
      <c r="C171" s="483"/>
    </row>
    <row r="172">
      <c r="C172" s="483"/>
    </row>
    <row r="173">
      <c r="C173" s="483"/>
    </row>
    <row r="174">
      <c r="C174" s="483"/>
    </row>
    <row r="175">
      <c r="C175" s="483"/>
    </row>
    <row r="176">
      <c r="C176" s="483"/>
    </row>
    <row r="177">
      <c r="C177" s="483"/>
    </row>
    <row r="178">
      <c r="C178" s="483"/>
    </row>
    <row r="179">
      <c r="C179" s="483"/>
    </row>
    <row r="180">
      <c r="C180" s="483"/>
    </row>
    <row r="181">
      <c r="C181" s="483"/>
    </row>
    <row r="182">
      <c r="C182" s="483"/>
    </row>
    <row r="183">
      <c r="C183" s="483"/>
    </row>
    <row r="184">
      <c r="C184" s="483"/>
    </row>
    <row r="185">
      <c r="C185" s="483"/>
    </row>
    <row r="186">
      <c r="C186" s="483"/>
    </row>
    <row r="187">
      <c r="C187" s="483"/>
    </row>
    <row r="188">
      <c r="C188" s="483"/>
    </row>
    <row r="189">
      <c r="C189" s="483"/>
    </row>
    <row r="190">
      <c r="C190" s="483"/>
    </row>
    <row r="191">
      <c r="C191" s="483"/>
    </row>
    <row r="192">
      <c r="C192" s="483"/>
    </row>
    <row r="193">
      <c r="C193" s="483"/>
    </row>
    <row r="194">
      <c r="C194" s="483"/>
    </row>
    <row r="195">
      <c r="C195" s="483"/>
    </row>
    <row r="196">
      <c r="C196" s="483"/>
    </row>
    <row r="197">
      <c r="C197" s="483"/>
    </row>
    <row r="198">
      <c r="C198" s="483"/>
    </row>
    <row r="199">
      <c r="C199" s="483"/>
    </row>
    <row r="200">
      <c r="C200" s="483"/>
    </row>
    <row r="201">
      <c r="C201" s="483"/>
    </row>
    <row r="202">
      <c r="C202" s="483"/>
    </row>
    <row r="203">
      <c r="C203" s="483"/>
    </row>
    <row r="204">
      <c r="C204" s="483"/>
    </row>
    <row r="205">
      <c r="C205" s="483"/>
    </row>
    <row r="206">
      <c r="C206" s="483"/>
    </row>
    <row r="207">
      <c r="C207" s="483"/>
    </row>
    <row r="208">
      <c r="C208" s="483"/>
    </row>
    <row r="209">
      <c r="C209" s="483"/>
    </row>
    <row r="210">
      <c r="C210" s="483"/>
    </row>
    <row r="211">
      <c r="C211" s="483"/>
    </row>
    <row r="212">
      <c r="C212" s="483"/>
    </row>
    <row r="213">
      <c r="C213" s="483"/>
    </row>
    <row r="214">
      <c r="C214" s="483"/>
    </row>
    <row r="215">
      <c r="C215" s="483"/>
    </row>
    <row r="216">
      <c r="C216" s="483"/>
    </row>
    <row r="217">
      <c r="C217" s="483"/>
    </row>
    <row r="218">
      <c r="C218" s="483"/>
    </row>
    <row r="219">
      <c r="C219" s="483"/>
    </row>
    <row r="220">
      <c r="C220" s="483"/>
    </row>
    <row r="221">
      <c r="C221" s="483"/>
    </row>
    <row r="222">
      <c r="C222" s="483"/>
    </row>
    <row r="223">
      <c r="C223" s="483"/>
    </row>
    <row r="224">
      <c r="C224" s="483"/>
    </row>
    <row r="225">
      <c r="C225" s="483"/>
    </row>
    <row r="226">
      <c r="C226" s="483"/>
    </row>
    <row r="227">
      <c r="C227" s="483"/>
    </row>
    <row r="228">
      <c r="C228" s="483"/>
    </row>
    <row r="229">
      <c r="C229" s="483"/>
    </row>
    <row r="230">
      <c r="C230" s="483"/>
    </row>
    <row r="231">
      <c r="C231" s="483"/>
    </row>
    <row r="232">
      <c r="C232" s="483"/>
    </row>
    <row r="233">
      <c r="C233" s="483"/>
    </row>
    <row r="234">
      <c r="C234" s="483"/>
    </row>
    <row r="235">
      <c r="C235" s="483"/>
    </row>
    <row r="236">
      <c r="C236" s="483"/>
    </row>
    <row r="237">
      <c r="C237" s="483"/>
    </row>
    <row r="238">
      <c r="C238" s="483"/>
    </row>
    <row r="239">
      <c r="C239" s="483"/>
    </row>
    <row r="240">
      <c r="C240" s="483"/>
    </row>
    <row r="241">
      <c r="C241" s="483"/>
    </row>
    <row r="242">
      <c r="C242" s="483"/>
    </row>
    <row r="243">
      <c r="C243" s="483"/>
    </row>
    <row r="244">
      <c r="C244" s="483"/>
    </row>
    <row r="245">
      <c r="C245" s="483"/>
    </row>
    <row r="246">
      <c r="C246" s="483"/>
    </row>
    <row r="247">
      <c r="C247" s="483"/>
    </row>
    <row r="248">
      <c r="C248" s="483"/>
    </row>
    <row r="249">
      <c r="C249" s="483"/>
    </row>
    <row r="250">
      <c r="C250" s="483"/>
    </row>
    <row r="251">
      <c r="C251" s="483"/>
    </row>
    <row r="252">
      <c r="C252" s="483"/>
    </row>
    <row r="253">
      <c r="C253" s="483"/>
    </row>
    <row r="254">
      <c r="C254" s="483"/>
    </row>
    <row r="255">
      <c r="C255" s="483"/>
    </row>
    <row r="256">
      <c r="C256" s="483"/>
    </row>
    <row r="257">
      <c r="C257" s="483"/>
    </row>
    <row r="258">
      <c r="C258" s="483"/>
    </row>
    <row r="259">
      <c r="C259" s="483"/>
    </row>
    <row r="260">
      <c r="C260" s="483"/>
    </row>
    <row r="261">
      <c r="C261" s="483"/>
    </row>
    <row r="262">
      <c r="C262" s="483"/>
    </row>
    <row r="263">
      <c r="C263" s="483"/>
    </row>
    <row r="264">
      <c r="C264" s="483"/>
    </row>
    <row r="265">
      <c r="C265" s="483"/>
    </row>
    <row r="266">
      <c r="C266" s="483"/>
    </row>
    <row r="267">
      <c r="C267" s="483"/>
    </row>
    <row r="268">
      <c r="C268" s="483"/>
    </row>
    <row r="269">
      <c r="C269" s="483"/>
    </row>
    <row r="270">
      <c r="C270" s="483"/>
    </row>
    <row r="271">
      <c r="C271" s="483"/>
    </row>
    <row r="272">
      <c r="C272" s="483"/>
    </row>
    <row r="273">
      <c r="C273" s="483"/>
    </row>
    <row r="274">
      <c r="C274" s="483"/>
    </row>
    <row r="275">
      <c r="C275" s="483"/>
    </row>
    <row r="276">
      <c r="C276" s="483"/>
    </row>
    <row r="277">
      <c r="C277" s="483"/>
    </row>
    <row r="278">
      <c r="C278" s="483"/>
    </row>
    <row r="279">
      <c r="C279" s="483"/>
    </row>
    <row r="280">
      <c r="C280" s="483"/>
    </row>
    <row r="281">
      <c r="C281" s="483"/>
    </row>
    <row r="282">
      <c r="C282" s="483"/>
    </row>
    <row r="283">
      <c r="C283" s="483"/>
    </row>
    <row r="284">
      <c r="C284" s="483"/>
    </row>
    <row r="285">
      <c r="C285" s="483"/>
    </row>
    <row r="286">
      <c r="C286" s="483"/>
    </row>
    <row r="287">
      <c r="C287" s="483"/>
    </row>
    <row r="288">
      <c r="C288" s="483"/>
    </row>
    <row r="289">
      <c r="C289" s="483"/>
    </row>
    <row r="290">
      <c r="C290" s="483"/>
    </row>
    <row r="291">
      <c r="C291" s="483"/>
    </row>
    <row r="292">
      <c r="C292" s="483"/>
    </row>
    <row r="293">
      <c r="C293" s="483"/>
    </row>
    <row r="294">
      <c r="C294" s="483"/>
    </row>
    <row r="295">
      <c r="C295" s="483"/>
    </row>
    <row r="296">
      <c r="C296" s="483"/>
    </row>
    <row r="297">
      <c r="C297" s="483"/>
    </row>
    <row r="298">
      <c r="C298" s="483"/>
    </row>
    <row r="299">
      <c r="C299" s="483"/>
    </row>
    <row r="300">
      <c r="C300" s="483"/>
    </row>
    <row r="301">
      <c r="C301" s="483"/>
    </row>
    <row r="302">
      <c r="C302" s="483"/>
    </row>
    <row r="303">
      <c r="C303" s="483"/>
    </row>
    <row r="304">
      <c r="C304" s="483"/>
    </row>
    <row r="305">
      <c r="C305" s="483"/>
    </row>
    <row r="306">
      <c r="C306" s="483"/>
    </row>
    <row r="307">
      <c r="C307" s="483"/>
    </row>
    <row r="308">
      <c r="C308" s="483"/>
    </row>
    <row r="309">
      <c r="C309" s="483"/>
    </row>
    <row r="310">
      <c r="C310" s="483"/>
    </row>
    <row r="311">
      <c r="C311" s="483"/>
    </row>
    <row r="312">
      <c r="C312" s="483"/>
    </row>
    <row r="313">
      <c r="C313" s="483"/>
    </row>
    <row r="314">
      <c r="C314" s="483"/>
    </row>
    <row r="315">
      <c r="C315" s="483"/>
    </row>
    <row r="316">
      <c r="C316" s="483"/>
    </row>
    <row r="317">
      <c r="C317" s="483"/>
    </row>
    <row r="318">
      <c r="C318" s="483"/>
    </row>
    <row r="319">
      <c r="C319" s="483"/>
    </row>
    <row r="320">
      <c r="C320" s="483"/>
    </row>
    <row r="321">
      <c r="C321" s="483"/>
    </row>
    <row r="322">
      <c r="C322" s="483"/>
    </row>
    <row r="323">
      <c r="C323" s="483"/>
    </row>
    <row r="324">
      <c r="C324" s="483"/>
    </row>
    <row r="325">
      <c r="C325" s="483"/>
    </row>
    <row r="326">
      <c r="C326" s="483"/>
    </row>
    <row r="327">
      <c r="C327" s="483"/>
    </row>
    <row r="328">
      <c r="C328" s="483"/>
    </row>
    <row r="329">
      <c r="C329" s="483"/>
    </row>
    <row r="330">
      <c r="C330" s="483"/>
    </row>
    <row r="331">
      <c r="C331" s="483"/>
    </row>
    <row r="332">
      <c r="C332" s="483"/>
    </row>
    <row r="333">
      <c r="C333" s="483"/>
    </row>
    <row r="334">
      <c r="C334" s="483"/>
    </row>
    <row r="335">
      <c r="C335" s="483"/>
    </row>
    <row r="336">
      <c r="C336" s="483"/>
    </row>
    <row r="337">
      <c r="C337" s="483"/>
    </row>
    <row r="338">
      <c r="C338" s="483"/>
    </row>
    <row r="339">
      <c r="C339" s="483"/>
    </row>
    <row r="340">
      <c r="C340" s="483"/>
    </row>
    <row r="341">
      <c r="C341" s="483"/>
    </row>
    <row r="342">
      <c r="C342" s="483"/>
    </row>
    <row r="343">
      <c r="C343" s="483"/>
    </row>
    <row r="344">
      <c r="C344" s="483"/>
    </row>
    <row r="345">
      <c r="C345" s="483"/>
    </row>
    <row r="346">
      <c r="C346" s="483"/>
    </row>
    <row r="347">
      <c r="C347" s="483"/>
    </row>
    <row r="348">
      <c r="C348" s="483"/>
    </row>
    <row r="349">
      <c r="C349" s="483"/>
    </row>
    <row r="350">
      <c r="C350" s="483"/>
    </row>
    <row r="351">
      <c r="C351" s="483"/>
    </row>
    <row r="352">
      <c r="C352" s="483"/>
    </row>
    <row r="353">
      <c r="C353" s="483"/>
    </row>
    <row r="354">
      <c r="C354" s="483"/>
    </row>
    <row r="355">
      <c r="C355" s="483"/>
    </row>
    <row r="356">
      <c r="C356" s="483"/>
    </row>
    <row r="357">
      <c r="C357" s="483"/>
    </row>
    <row r="358">
      <c r="C358" s="483"/>
    </row>
    <row r="359">
      <c r="C359" s="483"/>
    </row>
    <row r="360">
      <c r="C360" s="483"/>
    </row>
    <row r="361">
      <c r="C361" s="483"/>
    </row>
    <row r="362">
      <c r="C362" s="483"/>
    </row>
    <row r="363">
      <c r="C363" s="483"/>
    </row>
    <row r="364">
      <c r="C364" s="483"/>
    </row>
    <row r="365">
      <c r="C365" s="483"/>
    </row>
    <row r="366">
      <c r="C366" s="483"/>
    </row>
    <row r="367">
      <c r="C367" s="483"/>
    </row>
    <row r="368">
      <c r="C368" s="483"/>
    </row>
    <row r="369">
      <c r="C369" s="483"/>
    </row>
    <row r="370">
      <c r="C370" s="483"/>
    </row>
    <row r="371">
      <c r="C371" s="483"/>
    </row>
    <row r="372">
      <c r="C372" s="483"/>
    </row>
    <row r="373">
      <c r="C373" s="483"/>
    </row>
    <row r="374">
      <c r="C374" s="483"/>
    </row>
    <row r="375">
      <c r="C375" s="483"/>
    </row>
    <row r="376">
      <c r="C376" s="483"/>
    </row>
    <row r="377">
      <c r="C377" s="483"/>
    </row>
    <row r="378">
      <c r="C378" s="483"/>
    </row>
    <row r="379">
      <c r="C379" s="483"/>
    </row>
    <row r="380">
      <c r="C380" s="483"/>
    </row>
    <row r="381">
      <c r="C381" s="483"/>
    </row>
    <row r="382">
      <c r="C382" s="483"/>
    </row>
    <row r="383">
      <c r="C383" s="483"/>
    </row>
    <row r="384">
      <c r="C384" s="483"/>
    </row>
    <row r="385">
      <c r="C385" s="483"/>
    </row>
    <row r="386">
      <c r="C386" s="483"/>
    </row>
    <row r="387">
      <c r="C387" s="483"/>
    </row>
    <row r="388">
      <c r="C388" s="483"/>
    </row>
    <row r="389">
      <c r="C389" s="483"/>
    </row>
    <row r="390">
      <c r="C390" s="483"/>
    </row>
    <row r="391">
      <c r="C391" s="483"/>
    </row>
    <row r="392">
      <c r="C392" s="483"/>
    </row>
    <row r="393">
      <c r="C393" s="483"/>
    </row>
    <row r="394">
      <c r="C394" s="483"/>
    </row>
    <row r="395">
      <c r="C395" s="483"/>
    </row>
    <row r="396">
      <c r="C396" s="483"/>
    </row>
    <row r="397">
      <c r="C397" s="483"/>
    </row>
    <row r="398">
      <c r="C398" s="483"/>
    </row>
    <row r="399">
      <c r="C399" s="483"/>
    </row>
    <row r="400">
      <c r="C400" s="483"/>
    </row>
    <row r="401">
      <c r="C401" s="483"/>
    </row>
    <row r="402">
      <c r="C402" s="483"/>
    </row>
    <row r="403">
      <c r="C403" s="483"/>
    </row>
    <row r="404">
      <c r="C404" s="483"/>
    </row>
    <row r="405">
      <c r="C405" s="483"/>
    </row>
    <row r="406">
      <c r="C406" s="483"/>
    </row>
    <row r="407">
      <c r="C407" s="483"/>
    </row>
    <row r="408">
      <c r="C408" s="483"/>
    </row>
    <row r="409">
      <c r="C409" s="483"/>
    </row>
    <row r="410">
      <c r="C410" s="483"/>
    </row>
    <row r="411">
      <c r="C411" s="483"/>
    </row>
    <row r="412">
      <c r="C412" s="483"/>
    </row>
    <row r="413">
      <c r="C413" s="483"/>
    </row>
    <row r="414">
      <c r="C414" s="483"/>
    </row>
    <row r="415">
      <c r="C415" s="483"/>
    </row>
    <row r="416">
      <c r="C416" s="483"/>
    </row>
    <row r="417">
      <c r="C417" s="483"/>
    </row>
    <row r="418">
      <c r="C418" s="483"/>
    </row>
    <row r="419">
      <c r="C419" s="483"/>
    </row>
    <row r="420">
      <c r="C420" s="483"/>
    </row>
    <row r="421">
      <c r="C421" s="483"/>
    </row>
    <row r="422">
      <c r="C422" s="483"/>
    </row>
    <row r="423">
      <c r="C423" s="483"/>
    </row>
    <row r="424">
      <c r="C424" s="483"/>
    </row>
    <row r="425">
      <c r="C425" s="483"/>
    </row>
    <row r="426">
      <c r="C426" s="483"/>
    </row>
    <row r="427">
      <c r="C427" s="483"/>
    </row>
    <row r="428">
      <c r="C428" s="483"/>
    </row>
    <row r="429">
      <c r="C429" s="483"/>
    </row>
    <row r="430">
      <c r="C430" s="483"/>
    </row>
    <row r="431">
      <c r="C431" s="483"/>
    </row>
    <row r="432">
      <c r="C432" s="483"/>
    </row>
    <row r="433">
      <c r="C433" s="483"/>
    </row>
    <row r="434">
      <c r="C434" s="483"/>
    </row>
    <row r="435">
      <c r="C435" s="483"/>
    </row>
    <row r="436">
      <c r="C436" s="483"/>
    </row>
    <row r="437">
      <c r="C437" s="483"/>
    </row>
    <row r="438">
      <c r="C438" s="483"/>
    </row>
    <row r="439">
      <c r="C439" s="483"/>
    </row>
    <row r="440">
      <c r="C440" s="483"/>
    </row>
    <row r="441">
      <c r="C441" s="483"/>
    </row>
    <row r="442">
      <c r="C442" s="483"/>
    </row>
    <row r="443">
      <c r="C443" s="483"/>
    </row>
    <row r="444">
      <c r="C444" s="483"/>
    </row>
    <row r="445">
      <c r="C445" s="483"/>
    </row>
    <row r="446">
      <c r="C446" s="483"/>
    </row>
    <row r="447">
      <c r="C447" s="483"/>
    </row>
    <row r="448">
      <c r="C448" s="483"/>
    </row>
    <row r="449">
      <c r="C449" s="483"/>
    </row>
    <row r="450">
      <c r="C450" s="483"/>
    </row>
    <row r="451">
      <c r="C451" s="483"/>
    </row>
    <row r="452">
      <c r="C452" s="483"/>
    </row>
    <row r="453">
      <c r="C453" s="483"/>
    </row>
    <row r="454">
      <c r="C454" s="483"/>
    </row>
    <row r="455">
      <c r="C455" s="483"/>
    </row>
    <row r="456">
      <c r="C456" s="483"/>
    </row>
    <row r="457">
      <c r="C457" s="483"/>
    </row>
    <row r="458">
      <c r="C458" s="483"/>
    </row>
    <row r="459">
      <c r="C459" s="483"/>
    </row>
    <row r="460">
      <c r="C460" s="483"/>
    </row>
    <row r="461">
      <c r="C461" s="483"/>
    </row>
    <row r="462">
      <c r="C462" s="483"/>
    </row>
    <row r="463">
      <c r="C463" s="483"/>
    </row>
    <row r="464">
      <c r="C464" s="483"/>
    </row>
    <row r="465">
      <c r="C465" s="483"/>
    </row>
    <row r="466">
      <c r="C466" s="483"/>
    </row>
    <row r="467">
      <c r="C467" s="483"/>
    </row>
    <row r="468">
      <c r="C468" s="483"/>
    </row>
    <row r="469">
      <c r="C469" s="483"/>
    </row>
    <row r="470">
      <c r="C470" s="483"/>
    </row>
    <row r="471">
      <c r="C471" s="483"/>
    </row>
    <row r="472">
      <c r="C472" s="483"/>
    </row>
    <row r="473">
      <c r="C473" s="483"/>
    </row>
    <row r="474">
      <c r="C474" s="483"/>
    </row>
    <row r="475">
      <c r="C475" s="483"/>
    </row>
    <row r="476">
      <c r="C476" s="483"/>
    </row>
    <row r="477">
      <c r="C477" s="483"/>
    </row>
    <row r="478">
      <c r="C478" s="483"/>
    </row>
    <row r="479">
      <c r="C479" s="483"/>
    </row>
    <row r="480">
      <c r="C480" s="483"/>
    </row>
    <row r="481">
      <c r="C481" s="483"/>
    </row>
    <row r="482">
      <c r="C482" s="483"/>
    </row>
    <row r="483">
      <c r="C483" s="483"/>
    </row>
    <row r="484">
      <c r="C484" s="483"/>
    </row>
    <row r="485">
      <c r="C485" s="483"/>
    </row>
    <row r="486">
      <c r="C486" s="483"/>
    </row>
    <row r="487">
      <c r="C487" s="483"/>
    </row>
    <row r="488">
      <c r="C488" s="483"/>
    </row>
    <row r="489">
      <c r="C489" s="483"/>
    </row>
    <row r="490">
      <c r="C490" s="483"/>
    </row>
    <row r="491">
      <c r="C491" s="483"/>
    </row>
    <row r="492">
      <c r="C492" s="483"/>
    </row>
    <row r="493">
      <c r="C493" s="483"/>
    </row>
    <row r="494">
      <c r="C494" s="483"/>
    </row>
    <row r="495">
      <c r="C495" s="483"/>
    </row>
    <row r="496">
      <c r="C496" s="483"/>
    </row>
    <row r="497">
      <c r="C497" s="483"/>
    </row>
    <row r="498">
      <c r="C498" s="483"/>
    </row>
    <row r="499">
      <c r="C499" s="483"/>
    </row>
    <row r="500">
      <c r="C500" s="483"/>
    </row>
    <row r="501">
      <c r="C501" s="483"/>
    </row>
    <row r="502">
      <c r="C502" s="483"/>
    </row>
    <row r="503">
      <c r="C503" s="483"/>
    </row>
    <row r="504">
      <c r="C504" s="483"/>
    </row>
    <row r="505">
      <c r="C505" s="483"/>
    </row>
    <row r="506">
      <c r="C506" s="483"/>
    </row>
    <row r="507">
      <c r="C507" s="483"/>
    </row>
    <row r="508">
      <c r="C508" s="483"/>
    </row>
    <row r="509">
      <c r="C509" s="483"/>
    </row>
    <row r="510">
      <c r="C510" s="483"/>
    </row>
    <row r="511">
      <c r="C511" s="483"/>
    </row>
    <row r="512">
      <c r="C512" s="483"/>
    </row>
    <row r="513">
      <c r="C513" s="483"/>
    </row>
    <row r="514">
      <c r="C514" s="483"/>
    </row>
    <row r="515">
      <c r="C515" s="483"/>
    </row>
    <row r="516">
      <c r="C516" s="483"/>
    </row>
    <row r="517">
      <c r="C517" s="483"/>
    </row>
    <row r="518">
      <c r="C518" s="483"/>
    </row>
    <row r="519">
      <c r="C519" s="483"/>
    </row>
    <row r="520">
      <c r="C520" s="483"/>
    </row>
    <row r="521">
      <c r="C521" s="483"/>
    </row>
    <row r="522">
      <c r="C522" s="483"/>
    </row>
    <row r="523">
      <c r="C523" s="483"/>
    </row>
    <row r="524">
      <c r="C524" s="483"/>
    </row>
    <row r="525">
      <c r="C525" s="483"/>
    </row>
    <row r="526">
      <c r="C526" s="483"/>
    </row>
    <row r="527">
      <c r="C527" s="483"/>
    </row>
    <row r="528">
      <c r="C528" s="483"/>
    </row>
    <row r="529">
      <c r="C529" s="483"/>
    </row>
    <row r="530">
      <c r="C530" s="483"/>
    </row>
    <row r="531">
      <c r="C531" s="483"/>
    </row>
    <row r="532">
      <c r="C532" s="483"/>
    </row>
    <row r="533">
      <c r="C533" s="483"/>
    </row>
    <row r="534">
      <c r="C534" s="483"/>
    </row>
    <row r="535">
      <c r="C535" s="483"/>
    </row>
    <row r="536">
      <c r="C536" s="483"/>
    </row>
    <row r="537">
      <c r="C537" s="483"/>
    </row>
    <row r="538">
      <c r="C538" s="483"/>
    </row>
    <row r="539">
      <c r="C539" s="483"/>
    </row>
    <row r="540">
      <c r="C540" s="483"/>
    </row>
    <row r="541">
      <c r="C541" s="483"/>
    </row>
    <row r="542">
      <c r="C542" s="483"/>
    </row>
    <row r="543">
      <c r="C543" s="483"/>
    </row>
    <row r="544">
      <c r="C544" s="483"/>
    </row>
    <row r="545">
      <c r="C545" s="483"/>
    </row>
    <row r="546">
      <c r="C546" s="483"/>
    </row>
    <row r="547">
      <c r="C547" s="483"/>
    </row>
    <row r="548">
      <c r="C548" s="483"/>
    </row>
    <row r="549">
      <c r="C549" s="483"/>
    </row>
    <row r="550">
      <c r="C550" s="483"/>
    </row>
    <row r="551">
      <c r="C551" s="483"/>
    </row>
    <row r="552">
      <c r="C552" s="483"/>
    </row>
    <row r="553">
      <c r="C553" s="483"/>
    </row>
    <row r="554">
      <c r="C554" s="483"/>
    </row>
    <row r="555">
      <c r="C555" s="483"/>
    </row>
    <row r="556">
      <c r="C556" s="483"/>
    </row>
    <row r="557">
      <c r="C557" s="483"/>
    </row>
    <row r="558">
      <c r="C558" s="483"/>
    </row>
    <row r="559">
      <c r="C559" s="483"/>
    </row>
    <row r="560">
      <c r="C560" s="483"/>
    </row>
    <row r="561">
      <c r="C561" s="483"/>
    </row>
    <row r="562">
      <c r="C562" s="483"/>
    </row>
    <row r="563">
      <c r="C563" s="483"/>
    </row>
    <row r="564">
      <c r="C564" s="483"/>
    </row>
    <row r="565">
      <c r="C565" s="483"/>
    </row>
    <row r="566">
      <c r="C566" s="483"/>
    </row>
    <row r="567">
      <c r="C567" s="483"/>
    </row>
    <row r="568">
      <c r="C568" s="483"/>
    </row>
    <row r="569">
      <c r="C569" s="483"/>
    </row>
    <row r="570">
      <c r="C570" s="483"/>
    </row>
    <row r="571">
      <c r="C571" s="483"/>
    </row>
    <row r="572">
      <c r="C572" s="483"/>
    </row>
    <row r="573">
      <c r="C573" s="483"/>
    </row>
    <row r="574">
      <c r="C574" s="483"/>
    </row>
    <row r="575">
      <c r="C575" s="483"/>
    </row>
    <row r="576">
      <c r="C576" s="483"/>
    </row>
    <row r="577">
      <c r="C577" s="483"/>
    </row>
    <row r="578">
      <c r="C578" s="483"/>
    </row>
    <row r="579">
      <c r="C579" s="483"/>
    </row>
    <row r="580">
      <c r="C580" s="483"/>
    </row>
    <row r="581">
      <c r="C581" s="483"/>
    </row>
    <row r="582">
      <c r="C582" s="483"/>
    </row>
    <row r="583">
      <c r="C583" s="483"/>
    </row>
    <row r="584">
      <c r="C584" s="483"/>
    </row>
    <row r="585">
      <c r="C585" s="483"/>
    </row>
    <row r="586">
      <c r="C586" s="483"/>
    </row>
    <row r="587">
      <c r="C587" s="483"/>
    </row>
    <row r="588">
      <c r="C588" s="483"/>
    </row>
    <row r="589">
      <c r="C589" s="483"/>
    </row>
    <row r="590">
      <c r="C590" s="483"/>
    </row>
    <row r="591">
      <c r="C591" s="483"/>
    </row>
    <row r="592">
      <c r="C592" s="483"/>
    </row>
    <row r="593">
      <c r="C593" s="483"/>
    </row>
    <row r="594">
      <c r="C594" s="483"/>
    </row>
    <row r="595">
      <c r="C595" s="483"/>
    </row>
    <row r="596">
      <c r="C596" s="483"/>
    </row>
    <row r="597">
      <c r="C597" s="483"/>
    </row>
    <row r="598">
      <c r="C598" s="483"/>
    </row>
    <row r="599">
      <c r="C599" s="483"/>
    </row>
    <row r="600">
      <c r="C600" s="483"/>
    </row>
    <row r="601">
      <c r="C601" s="483"/>
    </row>
    <row r="602">
      <c r="C602" s="483"/>
    </row>
    <row r="603">
      <c r="C603" s="483"/>
    </row>
    <row r="604">
      <c r="C604" s="483"/>
    </row>
    <row r="605">
      <c r="C605" s="483"/>
    </row>
    <row r="606">
      <c r="C606" s="483"/>
    </row>
    <row r="607">
      <c r="C607" s="483"/>
    </row>
    <row r="608">
      <c r="C608" s="483"/>
    </row>
    <row r="609">
      <c r="C609" s="483"/>
    </row>
    <row r="610">
      <c r="C610" s="483"/>
    </row>
    <row r="611">
      <c r="C611" s="483"/>
    </row>
    <row r="612">
      <c r="C612" s="483"/>
    </row>
    <row r="613">
      <c r="C613" s="483"/>
    </row>
    <row r="614">
      <c r="C614" s="483"/>
    </row>
    <row r="615">
      <c r="C615" s="483"/>
    </row>
    <row r="616">
      <c r="C616" s="483"/>
    </row>
    <row r="617">
      <c r="C617" s="483"/>
    </row>
    <row r="618">
      <c r="C618" s="483"/>
    </row>
    <row r="619">
      <c r="C619" s="483"/>
    </row>
    <row r="620">
      <c r="C620" s="483"/>
    </row>
    <row r="621">
      <c r="C621" s="483"/>
    </row>
    <row r="622">
      <c r="C622" s="483"/>
    </row>
    <row r="623">
      <c r="C623" s="483"/>
    </row>
    <row r="624">
      <c r="C624" s="483"/>
    </row>
    <row r="625">
      <c r="C625" s="483"/>
    </row>
    <row r="626">
      <c r="C626" s="483"/>
    </row>
    <row r="627">
      <c r="C627" s="483"/>
    </row>
    <row r="628">
      <c r="C628" s="483"/>
    </row>
    <row r="629">
      <c r="C629" s="483"/>
    </row>
    <row r="630">
      <c r="C630" s="483"/>
    </row>
    <row r="631">
      <c r="C631" s="483"/>
    </row>
    <row r="632">
      <c r="C632" s="483"/>
    </row>
    <row r="633">
      <c r="C633" s="483"/>
    </row>
    <row r="634">
      <c r="C634" s="483"/>
    </row>
    <row r="635">
      <c r="C635" s="483"/>
    </row>
    <row r="636">
      <c r="C636" s="483"/>
    </row>
    <row r="637">
      <c r="C637" s="483"/>
    </row>
    <row r="638">
      <c r="C638" s="483"/>
    </row>
    <row r="639">
      <c r="C639" s="483"/>
    </row>
    <row r="640">
      <c r="C640" s="483"/>
    </row>
    <row r="641">
      <c r="C641" s="483"/>
    </row>
    <row r="642">
      <c r="C642" s="483"/>
    </row>
    <row r="643">
      <c r="C643" s="483"/>
    </row>
    <row r="644">
      <c r="C644" s="483"/>
    </row>
    <row r="645">
      <c r="C645" s="483"/>
    </row>
    <row r="646">
      <c r="C646" s="483"/>
    </row>
    <row r="647">
      <c r="C647" s="483"/>
    </row>
    <row r="648">
      <c r="C648" s="483"/>
    </row>
    <row r="649">
      <c r="C649" s="483"/>
    </row>
    <row r="650">
      <c r="C650" s="483"/>
    </row>
    <row r="651">
      <c r="C651" s="483"/>
    </row>
    <row r="652">
      <c r="C652" s="483"/>
    </row>
    <row r="653">
      <c r="C653" s="483"/>
    </row>
    <row r="654">
      <c r="C654" s="483"/>
    </row>
    <row r="655">
      <c r="C655" s="483"/>
    </row>
    <row r="656">
      <c r="C656" s="483"/>
    </row>
    <row r="657">
      <c r="C657" s="483"/>
    </row>
    <row r="658">
      <c r="C658" s="483"/>
    </row>
    <row r="659">
      <c r="C659" s="483"/>
    </row>
    <row r="660">
      <c r="C660" s="483"/>
    </row>
    <row r="661">
      <c r="C661" s="483"/>
    </row>
    <row r="662">
      <c r="C662" s="483"/>
    </row>
    <row r="663">
      <c r="C663" s="483"/>
    </row>
    <row r="664">
      <c r="C664" s="483"/>
    </row>
    <row r="665">
      <c r="C665" s="483"/>
    </row>
    <row r="666">
      <c r="C666" s="483"/>
    </row>
    <row r="667">
      <c r="C667" s="483"/>
    </row>
    <row r="668">
      <c r="C668" s="483"/>
    </row>
    <row r="669">
      <c r="C669" s="483"/>
    </row>
    <row r="670">
      <c r="C670" s="483"/>
    </row>
    <row r="671">
      <c r="C671" s="483"/>
    </row>
    <row r="672">
      <c r="C672" s="483"/>
    </row>
    <row r="673">
      <c r="C673" s="483"/>
    </row>
    <row r="674">
      <c r="C674" s="483"/>
    </row>
    <row r="675">
      <c r="C675" s="483"/>
    </row>
    <row r="676">
      <c r="C676" s="483"/>
    </row>
    <row r="677">
      <c r="C677" s="483"/>
    </row>
    <row r="678">
      <c r="C678" s="483"/>
    </row>
    <row r="679">
      <c r="C679" s="483"/>
    </row>
    <row r="680">
      <c r="C680" s="483"/>
    </row>
    <row r="681">
      <c r="C681" s="483"/>
    </row>
    <row r="682">
      <c r="C682" s="483"/>
    </row>
    <row r="683">
      <c r="C683" s="483"/>
    </row>
    <row r="684">
      <c r="C684" s="483"/>
    </row>
    <row r="685">
      <c r="C685" s="483"/>
    </row>
    <row r="686">
      <c r="C686" s="483"/>
    </row>
    <row r="687">
      <c r="C687" s="483"/>
    </row>
    <row r="688">
      <c r="C688" s="483"/>
    </row>
    <row r="689">
      <c r="C689" s="483"/>
    </row>
    <row r="690">
      <c r="C690" s="483"/>
    </row>
    <row r="691">
      <c r="C691" s="483"/>
    </row>
    <row r="692">
      <c r="C692" s="483"/>
    </row>
    <row r="693">
      <c r="C693" s="483"/>
    </row>
    <row r="694">
      <c r="C694" s="483"/>
    </row>
    <row r="695">
      <c r="C695" s="483"/>
    </row>
    <row r="696">
      <c r="C696" s="483"/>
    </row>
    <row r="697">
      <c r="C697" s="483"/>
    </row>
    <row r="698">
      <c r="C698" s="483"/>
    </row>
    <row r="699">
      <c r="C699" s="483"/>
    </row>
    <row r="700">
      <c r="C700" s="483"/>
    </row>
    <row r="701">
      <c r="C701" s="483"/>
    </row>
    <row r="702">
      <c r="C702" s="483"/>
    </row>
    <row r="703">
      <c r="C703" s="483"/>
    </row>
    <row r="704">
      <c r="C704" s="483"/>
    </row>
    <row r="705">
      <c r="C705" s="483"/>
    </row>
    <row r="706">
      <c r="C706" s="483"/>
    </row>
    <row r="707">
      <c r="C707" s="483"/>
    </row>
    <row r="708">
      <c r="C708" s="483"/>
    </row>
    <row r="709">
      <c r="C709" s="483"/>
    </row>
    <row r="710">
      <c r="C710" s="483"/>
    </row>
    <row r="711">
      <c r="C711" s="483"/>
    </row>
    <row r="712">
      <c r="C712" s="483"/>
    </row>
    <row r="713">
      <c r="C713" s="483"/>
    </row>
    <row r="714">
      <c r="C714" s="483"/>
    </row>
    <row r="715">
      <c r="C715" s="483"/>
    </row>
    <row r="716">
      <c r="C716" s="483"/>
    </row>
    <row r="717">
      <c r="C717" s="483"/>
    </row>
    <row r="718">
      <c r="C718" s="483"/>
    </row>
    <row r="719">
      <c r="C719" s="483"/>
    </row>
    <row r="720">
      <c r="C720" s="483"/>
    </row>
    <row r="721">
      <c r="C721" s="483"/>
    </row>
    <row r="722">
      <c r="C722" s="483"/>
    </row>
    <row r="723">
      <c r="C723" s="483"/>
    </row>
    <row r="724">
      <c r="C724" s="483"/>
    </row>
    <row r="725">
      <c r="C725" s="483"/>
    </row>
    <row r="726">
      <c r="C726" s="483"/>
    </row>
    <row r="727">
      <c r="C727" s="483"/>
    </row>
    <row r="728">
      <c r="C728" s="483"/>
    </row>
    <row r="729">
      <c r="C729" s="483"/>
    </row>
    <row r="730">
      <c r="C730" s="483"/>
    </row>
    <row r="731">
      <c r="C731" s="483"/>
    </row>
    <row r="732">
      <c r="C732" s="483"/>
    </row>
    <row r="733">
      <c r="C733" s="483"/>
    </row>
    <row r="734">
      <c r="C734" s="483"/>
    </row>
    <row r="735">
      <c r="C735" s="483"/>
    </row>
    <row r="736">
      <c r="C736" s="483"/>
    </row>
    <row r="737">
      <c r="C737" s="483"/>
    </row>
    <row r="738">
      <c r="C738" s="483"/>
    </row>
    <row r="739">
      <c r="C739" s="483"/>
    </row>
    <row r="740">
      <c r="C740" s="483"/>
    </row>
    <row r="741">
      <c r="C741" s="483"/>
    </row>
    <row r="742">
      <c r="C742" s="483"/>
    </row>
    <row r="743">
      <c r="C743" s="483"/>
    </row>
    <row r="744">
      <c r="C744" s="483"/>
    </row>
    <row r="745">
      <c r="C745" s="483"/>
    </row>
    <row r="746">
      <c r="C746" s="483"/>
    </row>
    <row r="747">
      <c r="C747" s="483"/>
    </row>
    <row r="748">
      <c r="C748" s="483"/>
    </row>
    <row r="749">
      <c r="C749" s="483"/>
    </row>
    <row r="750">
      <c r="C750" s="483"/>
    </row>
    <row r="751">
      <c r="C751" s="483"/>
    </row>
    <row r="752">
      <c r="C752" s="483"/>
    </row>
    <row r="753">
      <c r="C753" s="483"/>
    </row>
    <row r="754">
      <c r="C754" s="483"/>
    </row>
    <row r="755">
      <c r="C755" s="483"/>
    </row>
    <row r="756">
      <c r="C756" s="483"/>
    </row>
    <row r="757">
      <c r="C757" s="483"/>
    </row>
    <row r="758">
      <c r="C758" s="483"/>
    </row>
    <row r="759">
      <c r="C759" s="483"/>
    </row>
    <row r="760">
      <c r="C760" s="483"/>
    </row>
    <row r="761">
      <c r="C761" s="483"/>
    </row>
    <row r="762">
      <c r="C762" s="483"/>
    </row>
    <row r="763">
      <c r="C763" s="483"/>
    </row>
    <row r="764">
      <c r="C764" s="483"/>
    </row>
    <row r="765">
      <c r="C765" s="483"/>
    </row>
    <row r="766">
      <c r="C766" s="483"/>
    </row>
    <row r="767">
      <c r="C767" s="483"/>
    </row>
    <row r="768">
      <c r="C768" s="483"/>
    </row>
    <row r="769">
      <c r="C769" s="483"/>
    </row>
    <row r="770">
      <c r="C770" s="483"/>
    </row>
    <row r="771">
      <c r="C771" s="483"/>
    </row>
    <row r="772">
      <c r="C772" s="483"/>
    </row>
    <row r="773">
      <c r="C773" s="483"/>
    </row>
    <row r="774">
      <c r="C774" s="483"/>
    </row>
    <row r="775">
      <c r="C775" s="483"/>
    </row>
    <row r="776">
      <c r="C776" s="483"/>
    </row>
    <row r="777">
      <c r="C777" s="483"/>
    </row>
    <row r="778">
      <c r="C778" s="483"/>
    </row>
    <row r="779">
      <c r="C779" s="483"/>
    </row>
    <row r="780">
      <c r="C780" s="483"/>
    </row>
    <row r="781">
      <c r="C781" s="483"/>
    </row>
    <row r="782">
      <c r="C782" s="483"/>
    </row>
    <row r="783">
      <c r="C783" s="483"/>
    </row>
    <row r="784">
      <c r="C784" s="483"/>
    </row>
    <row r="785">
      <c r="C785" s="483"/>
    </row>
    <row r="786">
      <c r="C786" s="483"/>
    </row>
    <row r="787">
      <c r="C787" s="483"/>
    </row>
    <row r="788">
      <c r="C788" s="483"/>
    </row>
    <row r="789">
      <c r="C789" s="483"/>
    </row>
    <row r="790">
      <c r="C790" s="483"/>
    </row>
    <row r="791">
      <c r="C791" s="483"/>
    </row>
    <row r="792">
      <c r="C792" s="483"/>
    </row>
    <row r="793">
      <c r="C793" s="483"/>
    </row>
    <row r="794">
      <c r="C794" s="483"/>
    </row>
    <row r="795">
      <c r="C795" s="483"/>
    </row>
    <row r="796">
      <c r="C796" s="483"/>
    </row>
    <row r="797">
      <c r="C797" s="483"/>
    </row>
    <row r="798">
      <c r="C798" s="483"/>
    </row>
    <row r="799">
      <c r="C799" s="483"/>
    </row>
    <row r="800">
      <c r="C800" s="483"/>
    </row>
    <row r="801">
      <c r="C801" s="483"/>
    </row>
    <row r="802">
      <c r="C802" s="483"/>
    </row>
    <row r="803">
      <c r="C803" s="483"/>
    </row>
    <row r="804">
      <c r="C804" s="483"/>
    </row>
    <row r="805">
      <c r="C805" s="483"/>
    </row>
    <row r="806">
      <c r="C806" s="483"/>
    </row>
    <row r="807">
      <c r="C807" s="483"/>
    </row>
    <row r="808">
      <c r="C808" s="483"/>
    </row>
    <row r="809">
      <c r="C809" s="483"/>
    </row>
    <row r="810">
      <c r="C810" s="483"/>
    </row>
    <row r="811">
      <c r="C811" s="483"/>
    </row>
    <row r="812">
      <c r="C812" s="483"/>
    </row>
    <row r="813">
      <c r="C813" s="483"/>
    </row>
    <row r="814">
      <c r="C814" s="483"/>
    </row>
    <row r="815">
      <c r="C815" s="483"/>
    </row>
    <row r="816">
      <c r="C816" s="483"/>
    </row>
    <row r="817">
      <c r="C817" s="483"/>
    </row>
    <row r="818">
      <c r="C818" s="483"/>
    </row>
    <row r="819">
      <c r="C819" s="483"/>
    </row>
    <row r="820">
      <c r="C820" s="483"/>
    </row>
    <row r="821">
      <c r="C821" s="483"/>
    </row>
    <row r="822">
      <c r="C822" s="483"/>
    </row>
    <row r="823">
      <c r="C823" s="483"/>
    </row>
    <row r="824">
      <c r="C824" s="483"/>
    </row>
    <row r="825">
      <c r="C825" s="483"/>
    </row>
    <row r="826">
      <c r="C826" s="483"/>
    </row>
    <row r="827">
      <c r="C827" s="483"/>
    </row>
    <row r="828">
      <c r="C828" s="483"/>
    </row>
    <row r="829">
      <c r="C829" s="483"/>
    </row>
    <row r="830">
      <c r="C830" s="483"/>
    </row>
    <row r="831">
      <c r="C831" s="483"/>
    </row>
    <row r="832">
      <c r="C832" s="483"/>
    </row>
    <row r="833">
      <c r="C833" s="483"/>
    </row>
    <row r="834">
      <c r="C834" s="483"/>
    </row>
    <row r="835">
      <c r="C835" s="483"/>
    </row>
    <row r="836">
      <c r="C836" s="483"/>
    </row>
    <row r="837">
      <c r="C837" s="483"/>
    </row>
    <row r="838">
      <c r="C838" s="483"/>
    </row>
    <row r="839">
      <c r="C839" s="483"/>
    </row>
    <row r="840">
      <c r="C840" s="483"/>
    </row>
    <row r="841">
      <c r="C841" s="483"/>
    </row>
    <row r="842">
      <c r="C842" s="483"/>
    </row>
    <row r="843">
      <c r="C843" s="483"/>
    </row>
    <row r="844">
      <c r="C844" s="483"/>
    </row>
    <row r="845">
      <c r="C845" s="483"/>
    </row>
    <row r="846">
      <c r="C846" s="483"/>
    </row>
    <row r="847">
      <c r="C847" s="483"/>
    </row>
    <row r="848">
      <c r="C848" s="483"/>
    </row>
    <row r="849">
      <c r="C849" s="483"/>
    </row>
    <row r="850">
      <c r="C850" s="483"/>
    </row>
    <row r="851">
      <c r="C851" s="483"/>
    </row>
    <row r="852">
      <c r="C852" s="483"/>
    </row>
    <row r="853">
      <c r="C853" s="483"/>
    </row>
    <row r="854">
      <c r="C854" s="483"/>
    </row>
    <row r="855">
      <c r="C855" s="483"/>
    </row>
    <row r="856">
      <c r="C856" s="483"/>
    </row>
    <row r="857">
      <c r="C857" s="483"/>
    </row>
    <row r="858">
      <c r="C858" s="483"/>
    </row>
    <row r="859">
      <c r="C859" s="483"/>
    </row>
    <row r="860">
      <c r="C860" s="483"/>
    </row>
    <row r="861">
      <c r="C861" s="483"/>
    </row>
    <row r="862">
      <c r="C862" s="483"/>
    </row>
    <row r="863">
      <c r="C863" s="483"/>
    </row>
    <row r="864">
      <c r="C864" s="483"/>
    </row>
    <row r="865">
      <c r="C865" s="483"/>
    </row>
    <row r="866">
      <c r="C866" s="483"/>
    </row>
    <row r="867">
      <c r="C867" s="483"/>
    </row>
    <row r="868">
      <c r="C868" s="483"/>
    </row>
    <row r="869">
      <c r="C869" s="483"/>
    </row>
    <row r="870">
      <c r="C870" s="483"/>
    </row>
    <row r="871">
      <c r="C871" s="483"/>
    </row>
    <row r="872">
      <c r="C872" s="483"/>
    </row>
    <row r="873">
      <c r="C873" s="483"/>
    </row>
    <row r="874">
      <c r="C874" s="483"/>
    </row>
    <row r="875">
      <c r="C875" s="483"/>
    </row>
    <row r="876">
      <c r="C876" s="483"/>
    </row>
    <row r="877">
      <c r="C877" s="483"/>
    </row>
    <row r="878">
      <c r="C878" s="483"/>
    </row>
    <row r="879">
      <c r="C879" s="483"/>
    </row>
    <row r="880">
      <c r="C880" s="483"/>
    </row>
    <row r="881">
      <c r="C881" s="483"/>
    </row>
    <row r="882">
      <c r="C882" s="483"/>
    </row>
    <row r="883">
      <c r="C883" s="483"/>
    </row>
    <row r="884">
      <c r="C884" s="483"/>
    </row>
    <row r="885">
      <c r="C885" s="483"/>
    </row>
    <row r="886">
      <c r="C886" s="483"/>
    </row>
    <row r="887">
      <c r="C887" s="483"/>
    </row>
    <row r="888">
      <c r="C888" s="483"/>
    </row>
    <row r="889">
      <c r="C889" s="483"/>
    </row>
    <row r="890">
      <c r="C890" s="483"/>
    </row>
    <row r="891">
      <c r="C891" s="483"/>
    </row>
    <row r="892">
      <c r="C892" s="483"/>
    </row>
    <row r="893">
      <c r="C893" s="483"/>
    </row>
    <row r="894">
      <c r="C894" s="483"/>
    </row>
    <row r="895">
      <c r="C895" s="483"/>
    </row>
    <row r="896">
      <c r="C896" s="483"/>
    </row>
    <row r="897">
      <c r="C897" s="483"/>
    </row>
    <row r="898">
      <c r="C898" s="483"/>
    </row>
    <row r="899">
      <c r="C899" s="483"/>
    </row>
    <row r="900">
      <c r="C900" s="483"/>
    </row>
    <row r="901">
      <c r="C901" s="483"/>
    </row>
    <row r="902">
      <c r="C902" s="483"/>
    </row>
    <row r="903">
      <c r="C903" s="483"/>
    </row>
    <row r="904">
      <c r="C904" s="483"/>
    </row>
    <row r="905">
      <c r="C905" s="483"/>
    </row>
    <row r="906">
      <c r="C906" s="483"/>
    </row>
    <row r="907">
      <c r="C907" s="483"/>
    </row>
    <row r="908">
      <c r="C908" s="483"/>
    </row>
    <row r="909">
      <c r="C909" s="483"/>
    </row>
    <row r="910">
      <c r="C910" s="483"/>
    </row>
    <row r="911">
      <c r="C911" s="483"/>
    </row>
    <row r="912">
      <c r="C912" s="483"/>
    </row>
    <row r="913">
      <c r="C913" s="483"/>
    </row>
    <row r="914">
      <c r="C914" s="483"/>
    </row>
    <row r="915">
      <c r="C915" s="483"/>
    </row>
    <row r="916">
      <c r="C916" s="483"/>
    </row>
    <row r="917">
      <c r="C917" s="483"/>
    </row>
    <row r="918">
      <c r="C918" s="483"/>
    </row>
    <row r="919">
      <c r="C919" s="483"/>
    </row>
    <row r="920">
      <c r="C920" s="483"/>
    </row>
    <row r="921">
      <c r="C921" s="483"/>
    </row>
    <row r="922">
      <c r="C922" s="483"/>
    </row>
    <row r="923">
      <c r="C923" s="483"/>
    </row>
    <row r="924">
      <c r="C924" s="483"/>
    </row>
    <row r="925">
      <c r="C925" s="483"/>
    </row>
    <row r="926">
      <c r="C926" s="483"/>
    </row>
    <row r="927">
      <c r="C927" s="483"/>
    </row>
    <row r="928">
      <c r="C928" s="483"/>
    </row>
    <row r="929">
      <c r="C929" s="483"/>
    </row>
    <row r="930">
      <c r="C930" s="483"/>
    </row>
    <row r="931">
      <c r="C931" s="483"/>
    </row>
    <row r="932">
      <c r="C932" s="483"/>
    </row>
    <row r="933">
      <c r="C933" s="483"/>
    </row>
    <row r="934">
      <c r="C934" s="483"/>
    </row>
    <row r="935">
      <c r="C935" s="483"/>
    </row>
    <row r="936">
      <c r="C936" s="483"/>
    </row>
    <row r="937">
      <c r="C937" s="483"/>
    </row>
    <row r="938">
      <c r="C938" s="483"/>
    </row>
    <row r="939">
      <c r="C939" s="483"/>
    </row>
    <row r="940">
      <c r="C940" s="483"/>
    </row>
    <row r="941">
      <c r="C941" s="483"/>
    </row>
    <row r="942">
      <c r="C942" s="483"/>
    </row>
    <row r="943">
      <c r="C943" s="483"/>
    </row>
    <row r="944">
      <c r="C944" s="483"/>
    </row>
    <row r="945">
      <c r="C945" s="483"/>
    </row>
    <row r="946">
      <c r="C946" s="483"/>
    </row>
    <row r="947">
      <c r="C947" s="483"/>
    </row>
    <row r="948">
      <c r="C948" s="483"/>
    </row>
    <row r="949">
      <c r="C949" s="483"/>
    </row>
    <row r="950">
      <c r="C950" s="483"/>
    </row>
    <row r="951">
      <c r="C951" s="483"/>
    </row>
    <row r="952">
      <c r="C952" s="483"/>
    </row>
    <row r="953">
      <c r="C953" s="483"/>
    </row>
    <row r="954">
      <c r="C954" s="483"/>
    </row>
    <row r="955">
      <c r="C955" s="483"/>
    </row>
    <row r="956">
      <c r="C956" s="483"/>
    </row>
    <row r="957">
      <c r="C957" s="483"/>
    </row>
    <row r="958">
      <c r="C958" s="483"/>
    </row>
    <row r="959">
      <c r="C959" s="483"/>
    </row>
    <row r="960">
      <c r="C960" s="483"/>
    </row>
    <row r="961">
      <c r="C961" s="483"/>
    </row>
    <row r="962">
      <c r="C962" s="483"/>
    </row>
    <row r="963">
      <c r="C963" s="483"/>
    </row>
    <row r="964">
      <c r="C964" s="483"/>
    </row>
    <row r="965">
      <c r="C965" s="483"/>
    </row>
    <row r="966">
      <c r="C966" s="483"/>
    </row>
    <row r="967">
      <c r="C967" s="483"/>
    </row>
    <row r="968">
      <c r="C968" s="483"/>
    </row>
    <row r="969">
      <c r="C969" s="483"/>
    </row>
    <row r="970">
      <c r="C970" s="483"/>
    </row>
    <row r="971">
      <c r="C971" s="483"/>
    </row>
    <row r="972">
      <c r="C972" s="483"/>
    </row>
    <row r="973">
      <c r="C973" s="483"/>
    </row>
    <row r="974">
      <c r="C974" s="483"/>
    </row>
    <row r="975">
      <c r="C975" s="483"/>
    </row>
    <row r="976">
      <c r="C976" s="483"/>
    </row>
    <row r="977">
      <c r="C977" s="483"/>
    </row>
    <row r="978">
      <c r="C978" s="483"/>
    </row>
    <row r="979">
      <c r="C979" s="483"/>
    </row>
    <row r="980">
      <c r="C980" s="483"/>
    </row>
    <row r="981">
      <c r="C981" s="483"/>
    </row>
    <row r="982">
      <c r="C982" s="483"/>
    </row>
    <row r="983">
      <c r="C983" s="483"/>
    </row>
    <row r="984">
      <c r="C984" s="483"/>
    </row>
    <row r="985">
      <c r="C985" s="483"/>
    </row>
    <row r="986">
      <c r="C986" s="483"/>
    </row>
    <row r="987">
      <c r="C987" s="483"/>
    </row>
    <row r="988">
      <c r="C988" s="483"/>
    </row>
    <row r="989">
      <c r="C989" s="483"/>
    </row>
    <row r="990">
      <c r="C990" s="483"/>
    </row>
    <row r="991">
      <c r="C991" s="483"/>
    </row>
    <row r="992">
      <c r="C992" s="483"/>
    </row>
    <row r="993">
      <c r="C993" s="483"/>
    </row>
    <row r="994">
      <c r="C994" s="483"/>
    </row>
    <row r="995">
      <c r="C995" s="483"/>
    </row>
    <row r="996">
      <c r="C996" s="483"/>
    </row>
    <row r="997">
      <c r="C997" s="483"/>
    </row>
    <row r="998">
      <c r="C998" s="483"/>
    </row>
    <row r="999">
      <c r="C999" s="483"/>
    </row>
    <row r="1000">
      <c r="C1000" s="483"/>
    </row>
  </sheetData>
  <autoFilter ref="$A$1:$Z$55">
    <sortState ref="A1:Z55">
      <sortCondition ref="A1:A55"/>
    </sortState>
  </autoFilter>
  <mergeCells count="2">
    <mergeCell ref="C57:D57"/>
    <mergeCell ref="C64:E64"/>
  </mergeCells>
  <conditionalFormatting sqref="B1:E1">
    <cfRule type="containsText" dxfId="5" priority="1" operator="containsText" text="No">
      <formula>NOT(ISERROR(SEARCH(("No"),(B1))))</formula>
    </cfRule>
  </conditionalFormatting>
  <conditionalFormatting sqref="B1:E1">
    <cfRule type="cellIs" dxfId="4" priority="2" operator="equal">
      <formula>"Not Found"</formula>
    </cfRule>
  </conditionalFormatting>
  <hyperlinks>
    <hyperlink r:id="rId1" ref="F2"/>
    <hyperlink r:id="rId2" location="slide=id.g2edd551b383_0_934" ref="C64"/>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2" width="18.88"/>
    <col customWidth="1" min="3" max="3" width="20.5"/>
    <col customWidth="1" min="4" max="4" width="22.25"/>
    <col customWidth="1" min="5" max="5" width="20.25"/>
    <col customWidth="1" min="6" max="6" width="18.88"/>
    <col customWidth="1" min="7" max="7" width="15.13"/>
    <col customWidth="1" min="8" max="8" width="18.88"/>
    <col customWidth="1" min="9" max="9" width="18.63"/>
    <col customWidth="1" min="10" max="11" width="18.88"/>
    <col customWidth="1" min="12" max="13" width="18.25"/>
    <col customWidth="1" min="14" max="14" width="37.13"/>
  </cols>
  <sheetData>
    <row r="1" ht="23.25" customHeight="1">
      <c r="A1" s="139" t="s">
        <v>161</v>
      </c>
      <c r="B1" s="738"/>
      <c r="C1" s="738"/>
      <c r="D1" s="739" t="s">
        <v>736</v>
      </c>
      <c r="L1" s="740" t="s">
        <v>737</v>
      </c>
      <c r="M1" s="741"/>
      <c r="N1" s="741"/>
      <c r="O1" s="458"/>
    </row>
    <row r="2">
      <c r="B2" s="742" t="s">
        <v>28</v>
      </c>
      <c r="D2" s="743" t="s">
        <v>738</v>
      </c>
      <c r="F2" s="744" t="s">
        <v>78</v>
      </c>
      <c r="H2" s="745" t="s">
        <v>104</v>
      </c>
      <c r="J2" s="746" t="s">
        <v>739</v>
      </c>
      <c r="M2" s="741"/>
      <c r="N2" s="741"/>
      <c r="O2" s="458"/>
    </row>
    <row r="3">
      <c r="B3" s="747" t="s">
        <v>740</v>
      </c>
      <c r="C3" s="747" t="s">
        <v>741</v>
      </c>
      <c r="D3" s="748" t="s">
        <v>742</v>
      </c>
      <c r="E3" s="749" t="s">
        <v>743</v>
      </c>
      <c r="F3" s="750" t="s">
        <v>745</v>
      </c>
      <c r="G3" s="751" t="s">
        <v>747</v>
      </c>
      <c r="H3" s="752" t="s">
        <v>750</v>
      </c>
      <c r="I3" s="753" t="s">
        <v>753</v>
      </c>
      <c r="J3" s="754" t="s">
        <v>755</v>
      </c>
      <c r="K3" s="755" t="s">
        <v>756</v>
      </c>
      <c r="M3" s="162" t="s">
        <v>757</v>
      </c>
      <c r="N3" s="756" t="s">
        <v>758</v>
      </c>
      <c r="O3" s="458"/>
    </row>
    <row r="4">
      <c r="A4" s="22" t="s">
        <v>207</v>
      </c>
      <c r="B4" s="672">
        <f>IF(countif('EV National Targets'!A:A,A4)&gt;0, 1, (1/3))</f>
        <v>1</v>
      </c>
      <c r="C4" s="672">
        <f>IF(countif('EV Incentives'!A:A,A4)&gt;0, 1, (1/3))</f>
        <v>0.3333333333</v>
      </c>
      <c r="D4" s="672">
        <f t="array" ref="D4">'Additional Generation For 30% E'!F2</f>
        <v>0.6666666667</v>
      </c>
      <c r="E4" s="757">
        <f t="array" ref="E4">'Grid Reliability'!L2</f>
        <v>1</v>
      </c>
      <c r="F4" s="268">
        <f t="array" ref="F4">'Current Rate of Motorization'!D2</f>
        <v>0.6666666667</v>
      </c>
      <c r="G4" s="153">
        <f t="array" ref="G4">'EV Charging Infrastructure'!D2</f>
        <v>0.33</v>
      </c>
      <c r="H4" s="483">
        <f t="array" ref="H4">'Electricity Regulatory Index'!E2</f>
        <v>0.6666666667</v>
      </c>
      <c r="I4" s="758" t="str">
        <f t="array" ref="I4">' Utility Cost Recovery'!G2</f>
        <v>Not Found</v>
      </c>
      <c r="J4" s="268">
        <f t="array" ref="J4">'Relative Affordability'!H2</f>
        <v>1</v>
      </c>
      <c r="K4" s="483">
        <f t="array" ref="K4">'Access to Finance'!E2</f>
        <v>0.3333333333</v>
      </c>
      <c r="L4" s="262">
        <f>AVERAGE(D4:K4)</f>
        <v>0.6661904762</v>
      </c>
      <c r="M4" s="672">
        <f t="shared" ref="M4:M57" si="1">AVERAGE(B4:K4)</f>
        <v>0.6662962963</v>
      </c>
      <c r="N4" s="759" t="str">
        <f t="shared" ref="N4:N57" si="2">IF(M4&lt;0.495, "Low", IF(M4 &lt;0.695, "Medium", "High"))</f>
        <v>Medium</v>
      </c>
      <c r="O4" s="458"/>
    </row>
    <row r="5">
      <c r="A5" s="22" t="s">
        <v>240</v>
      </c>
      <c r="B5" s="672">
        <f>IF(countif('EV National Targets'!A:A,A5)&gt;0, 1, (1/3))</f>
        <v>0.3333333333</v>
      </c>
      <c r="C5" s="672">
        <f>IF(countif('EV Incentives'!A:A,A5)&gt;0, 1, (1/3))</f>
        <v>1</v>
      </c>
      <c r="D5" s="672">
        <f t="array" ref="D5">'Additional Generation For 30% E'!F3</f>
        <v>0.6666666667</v>
      </c>
      <c r="E5" s="757">
        <f t="array" ref="E5">'Grid Reliability'!L3</f>
        <v>0.6666666667</v>
      </c>
      <c r="F5" s="268">
        <f t="array" ref="F5">'Current Rate of Motorization'!D3</f>
        <v>0.3333333333</v>
      </c>
      <c r="G5" s="153">
        <f t="array" ref="G5">'EV Charging Infrastructure'!D3</f>
        <v>0.33</v>
      </c>
      <c r="H5" s="483">
        <f t="array" ref="H5">'Electricity Regulatory Index'!E3</f>
        <v>0.6666666667</v>
      </c>
      <c r="I5" s="760">
        <f t="array" ref="I5">' Utility Cost Recovery'!G3</f>
        <v>0.3333333333</v>
      </c>
      <c r="J5" s="268">
        <f t="array" ref="J5">'Relative Affordability'!H3</f>
        <v>1</v>
      </c>
      <c r="K5" s="761" t="str">
        <f t="array" ref="K5">'Access to Finance'!E3</f>
        <v>Not Found</v>
      </c>
      <c r="L5" s="262">
        <f>(AVERAGE(D5:K5))</f>
        <v>0.570952381</v>
      </c>
      <c r="M5" s="672">
        <f t="shared" si="1"/>
        <v>0.5922222222</v>
      </c>
      <c r="N5" s="762" t="str">
        <f t="shared" si="2"/>
        <v>Medium</v>
      </c>
      <c r="O5" s="458"/>
    </row>
    <row r="6">
      <c r="A6" s="22" t="s">
        <v>268</v>
      </c>
      <c r="B6" s="672">
        <f>IF(countif('EV National Targets'!A:A,A6)&gt;0, 1, (1/3))</f>
        <v>0.3333333333</v>
      </c>
      <c r="C6" s="672">
        <f>IF(countif('EV Incentives'!A:A,A6)&gt;0, 1, (1/3))</f>
        <v>1</v>
      </c>
      <c r="D6" s="672">
        <f t="array" ref="D6">'Additional Generation For 30% E'!F4</f>
        <v>0.3333333333</v>
      </c>
      <c r="E6" s="763">
        <f t="array" ref="E6">'Grid Reliability'!L4</f>
        <v>0.3333333333</v>
      </c>
      <c r="F6" s="268">
        <f t="array" ref="F6">'Current Rate of Motorization'!D4</f>
        <v>0.3333333333</v>
      </c>
      <c r="G6" s="761" t="str">
        <f t="array" ref="G6">'EV Charging Infrastructure'!D4</f>
        <v>Not Found</v>
      </c>
      <c r="H6" s="483">
        <f t="array" ref="H6">'Electricity Regulatory Index'!E4</f>
        <v>0.3333333333</v>
      </c>
      <c r="I6" s="760">
        <f t="array" ref="I6">' Utility Cost Recovery'!G4</f>
        <v>0.6666666667</v>
      </c>
      <c r="J6" s="268">
        <f t="array" ref="J6">'Relative Affordability'!H4</f>
        <v>1</v>
      </c>
      <c r="K6" s="483">
        <f t="array" ref="K6">'Access to Finance'!E4</f>
        <v>0.3333333333</v>
      </c>
      <c r="L6" s="262">
        <f t="shared" ref="L6:L9" si="3">AVERAGE(D6:K6)</f>
        <v>0.4761904762</v>
      </c>
      <c r="M6" s="672">
        <f t="shared" si="1"/>
        <v>0.5185185185</v>
      </c>
      <c r="N6" s="759" t="str">
        <f t="shared" si="2"/>
        <v>Medium</v>
      </c>
      <c r="O6" s="458"/>
    </row>
    <row r="7">
      <c r="A7" s="22" t="s">
        <v>329</v>
      </c>
      <c r="B7" s="672">
        <f>IF(countif('EV National Targets'!A:A,A7)&gt;0, 1, (1/3))</f>
        <v>0.3333333333</v>
      </c>
      <c r="C7" s="672">
        <f>IF(countif('EV Incentives'!A:A,A7)&gt;0, 1, (1/3))</f>
        <v>0.3333333333</v>
      </c>
      <c r="D7" s="672">
        <f t="array" ref="D7">'Additional Generation For 30% E'!F5</f>
        <v>0.3333333333</v>
      </c>
      <c r="E7" s="763">
        <f t="array" ref="E7">'Grid Reliability'!L5</f>
        <v>0.6666666667</v>
      </c>
      <c r="F7" s="268">
        <f t="array" ref="F7">'Current Rate of Motorization'!D5</f>
        <v>0.6666666667</v>
      </c>
      <c r="G7" s="153">
        <f t="array" ref="G7">'EV Charging Infrastructure'!D5</f>
        <v>0.33</v>
      </c>
      <c r="H7" s="483">
        <f t="array" ref="H7">'Electricity Regulatory Index'!E5</f>
        <v>0.6666666667</v>
      </c>
      <c r="I7" s="760">
        <f t="array" ref="I7">' Utility Cost Recovery'!G5</f>
        <v>0.3333333333</v>
      </c>
      <c r="J7" s="268">
        <f t="array" ref="J7">'Relative Affordability'!H5</f>
        <v>1</v>
      </c>
      <c r="K7" s="483">
        <f t="array" ref="K7">'Access to Finance'!E5</f>
        <v>0.3333333333</v>
      </c>
      <c r="L7" s="262">
        <f t="shared" si="3"/>
        <v>0.54125</v>
      </c>
      <c r="M7" s="672">
        <f t="shared" si="1"/>
        <v>0.4996666667</v>
      </c>
      <c r="N7" s="762" t="str">
        <f t="shared" si="2"/>
        <v>Medium</v>
      </c>
      <c r="O7" s="458"/>
    </row>
    <row r="8">
      <c r="A8" s="22" t="s">
        <v>331</v>
      </c>
      <c r="B8" s="672">
        <f>IF(countif('EV National Targets'!A:A,A8)&gt;0, 1, (1/3))</f>
        <v>0.3333333333</v>
      </c>
      <c r="C8" s="672">
        <f>IF(countif('EV Incentives'!A:A,A8)&gt;0, 1, (1/3))</f>
        <v>0.3333333333</v>
      </c>
      <c r="D8" s="672">
        <f t="array" ref="D8">'Additional Generation For 30% E'!F6</f>
        <v>0.3333333333</v>
      </c>
      <c r="E8" s="763">
        <f t="array" ref="E8">'Grid Reliability'!L6</f>
        <v>0.3333333333</v>
      </c>
      <c r="F8" s="268">
        <f t="array" ref="F8">'Current Rate of Motorization'!D6</f>
        <v>0.3333333333</v>
      </c>
      <c r="G8" s="153">
        <f t="array" ref="G8">'EV Charging Infrastructure'!D6</f>
        <v>0.33</v>
      </c>
      <c r="H8" s="483">
        <f t="array" ref="H8">'Electricity Regulatory Index'!E6</f>
        <v>0.3333333333</v>
      </c>
      <c r="I8" s="760">
        <f t="array" ref="I8">' Utility Cost Recovery'!G6</f>
        <v>1</v>
      </c>
      <c r="J8" s="268">
        <f t="array" ref="J8">'Relative Affordability'!H6</f>
        <v>0.6666666667</v>
      </c>
      <c r="K8" s="483">
        <f t="array" ref="K8">'Access to Finance'!E6</f>
        <v>0.3333333333</v>
      </c>
      <c r="L8" s="262">
        <f t="shared" si="3"/>
        <v>0.4579166667</v>
      </c>
      <c r="M8" s="672">
        <f t="shared" si="1"/>
        <v>0.433</v>
      </c>
      <c r="N8" s="764" t="str">
        <f t="shared" si="2"/>
        <v>Low</v>
      </c>
      <c r="O8" s="458"/>
    </row>
    <row r="9" ht="15.0" customHeight="1">
      <c r="A9" s="22" t="s">
        <v>333</v>
      </c>
      <c r="B9" s="672">
        <f>IF(countif('EV National Targets'!A:A,A9)&gt;0, 1, (1/3))</f>
        <v>0.3333333333</v>
      </c>
      <c r="C9" s="672">
        <f>IF(countif('EV Incentives'!A:A,A9)&gt;0, 1, (1/3))</f>
        <v>0.3333333333</v>
      </c>
      <c r="D9" s="672">
        <f t="array" ref="D9">'Additional Generation For 30% E'!F7</f>
        <v>0.6666666667</v>
      </c>
      <c r="E9" s="763">
        <f t="array" ref="E9">'Grid Reliability'!L7</f>
        <v>0.3333333333</v>
      </c>
      <c r="F9" s="268">
        <f t="array" ref="F9">'Current Rate of Motorization'!D7</f>
        <v>0.3333333333</v>
      </c>
      <c r="G9" s="761" t="str">
        <f t="array" ref="G9">'EV Charging Infrastructure'!D7</f>
        <v>Not Found</v>
      </c>
      <c r="H9" s="483">
        <f t="array" ref="H9">'Electricity Regulatory Index'!E7</f>
        <v>0.3333333333</v>
      </c>
      <c r="I9" s="760">
        <f t="array" ref="I9">' Utility Cost Recovery'!G7</f>
        <v>1</v>
      </c>
      <c r="J9" s="268">
        <f t="array" ref="J9">'Relative Affordability'!H7</f>
        <v>1</v>
      </c>
      <c r="K9" s="761" t="str">
        <f t="array" ref="K9">'Access to Finance'!E7</f>
        <v>Not Found</v>
      </c>
      <c r="L9" s="262">
        <f t="shared" si="3"/>
        <v>0.6111111111</v>
      </c>
      <c r="M9" s="672">
        <f t="shared" si="1"/>
        <v>0.5416666667</v>
      </c>
      <c r="N9" s="762" t="str">
        <f t="shared" si="2"/>
        <v>Medium</v>
      </c>
      <c r="O9" s="458"/>
    </row>
    <row r="10">
      <c r="A10" s="22" t="s">
        <v>225</v>
      </c>
      <c r="B10" s="672">
        <f>IF(countif('EV National Targets'!A:A,A10)&gt;0, 1, (1/3))</f>
        <v>1</v>
      </c>
      <c r="C10" s="672">
        <f>IF(countif('EV Incentives'!A:A,A10)&gt;0, 1, (1/3))</f>
        <v>1</v>
      </c>
      <c r="D10" s="672">
        <f t="array" ref="D10">'Additional Generation For 30% E'!F8</f>
        <v>0.3333333333</v>
      </c>
      <c r="E10" s="757">
        <f t="array" ref="E10">'Grid Reliability'!L8</f>
        <v>0.6666666667</v>
      </c>
      <c r="F10" s="268">
        <f t="array" ref="F10">'Current Rate of Motorization'!D8</f>
        <v>0.3333333333</v>
      </c>
      <c r="G10" s="761" t="str">
        <f t="array" ref="G10">'EV Charging Infrastructure'!D8</f>
        <v>Not Found</v>
      </c>
      <c r="H10" s="483">
        <f t="array" ref="H10">'Electricity Regulatory Index'!E8</f>
        <v>0.6666666667</v>
      </c>
      <c r="I10" s="760">
        <f t="array" ref="I10">' Utility Cost Recovery'!G8</f>
        <v>0.6666666667</v>
      </c>
      <c r="J10" s="268">
        <f t="array" ref="J10">'Relative Affordability'!H8</f>
        <v>1</v>
      </c>
      <c r="K10" s="761" t="str">
        <f t="array" ref="K10">'Access to Finance'!E8</f>
        <v>Not Found</v>
      </c>
      <c r="L10" s="262">
        <f>AVERAGE(D10:J10)</f>
        <v>0.6111111111</v>
      </c>
      <c r="M10" s="672">
        <f t="shared" si="1"/>
        <v>0.7083333333</v>
      </c>
      <c r="N10" s="765" t="str">
        <f t="shared" si="2"/>
        <v>High</v>
      </c>
      <c r="O10" s="458"/>
    </row>
    <row r="11">
      <c r="A11" s="22" t="s">
        <v>338</v>
      </c>
      <c r="B11" s="672">
        <f>IF(countif('EV National Targets'!A:A,A11)&gt;0, 1, (1/3))</f>
        <v>0.3333333333</v>
      </c>
      <c r="C11" s="672">
        <f>IF(countif('EV Incentives'!A:A,A11)&gt;0, 1, (1/3))</f>
        <v>0.3333333333</v>
      </c>
      <c r="D11" s="672">
        <f t="array" ref="D11">'Additional Generation For 30% E'!F9</f>
        <v>1</v>
      </c>
      <c r="E11" s="763">
        <f t="array" ref="E11">'Grid Reliability'!L9</f>
        <v>0.3333333333</v>
      </c>
      <c r="F11" s="268">
        <f t="array" ref="F11">'Current Rate of Motorization'!D9</f>
        <v>0.6666666667</v>
      </c>
      <c r="G11" s="153">
        <f t="array" ref="G11">'EV Charging Infrastructure'!D9</f>
        <v>0.33</v>
      </c>
      <c r="H11" s="483">
        <f t="array" ref="H11">'Electricity Regulatory Index'!E9</f>
        <v>0.6666666667</v>
      </c>
      <c r="I11" s="760">
        <f t="array" ref="I11">' Utility Cost Recovery'!G9</f>
        <v>0.3333333333</v>
      </c>
      <c r="J11" s="268">
        <f t="array" ref="J11">'Relative Affordability'!H9</f>
        <v>1</v>
      </c>
      <c r="K11" s="483">
        <f t="array" ref="K11">'Access to Finance'!E9</f>
        <v>0.3333333333</v>
      </c>
      <c r="L11" s="262">
        <f>average(D11:K11)</f>
        <v>0.5829166667</v>
      </c>
      <c r="M11" s="672">
        <f t="shared" si="1"/>
        <v>0.533</v>
      </c>
      <c r="N11" s="762" t="str">
        <f t="shared" si="2"/>
        <v>Medium</v>
      </c>
      <c r="O11" s="458"/>
    </row>
    <row r="12">
      <c r="A12" s="22" t="s">
        <v>340</v>
      </c>
      <c r="B12" s="672">
        <f>IF(countif('EV National Targets'!A:A,A12)&gt;0, 1, (1/3))</f>
        <v>0.3333333333</v>
      </c>
      <c r="C12" s="672">
        <f>IF(countif('EV Incentives'!A:A,A12)&gt;0, 1, (1/3))</f>
        <v>0.3333333333</v>
      </c>
      <c r="D12" s="672">
        <f t="array" ref="D12">'Additional Generation For 30% E'!F10</f>
        <v>0.3333333333</v>
      </c>
      <c r="E12" s="763">
        <f t="array" ref="E12">'Grid Reliability'!L10</f>
        <v>0.3333333333</v>
      </c>
      <c r="F12" s="268">
        <f t="array" ref="F12">'Current Rate of Motorization'!D10</f>
        <v>0.3333333333</v>
      </c>
      <c r="G12" s="761" t="str">
        <f t="array" ref="G12">'EV Charging Infrastructure'!D10</f>
        <v>Not Found</v>
      </c>
      <c r="H12" s="483">
        <f t="array" ref="H12">'Electricity Regulatory Index'!E10</f>
        <v>0.3333333333</v>
      </c>
      <c r="I12" s="760">
        <f t="array" ref="I12">' Utility Cost Recovery'!G10</f>
        <v>0.3333333333</v>
      </c>
      <c r="J12" s="268">
        <f t="array" ref="J12">'Relative Affordability'!H10</f>
        <v>1</v>
      </c>
      <c r="K12" s="761" t="str">
        <f t="array" ref="K12">'Access to Finance'!E10</f>
        <v>Not Found</v>
      </c>
      <c r="L12" s="262">
        <f t="shared" ref="L12:L13" si="4">AVERAGE(D12:K12)</f>
        <v>0.4444444444</v>
      </c>
      <c r="M12" s="672">
        <f t="shared" si="1"/>
        <v>0.4166666667</v>
      </c>
      <c r="N12" s="764" t="str">
        <f t="shared" si="2"/>
        <v>Low</v>
      </c>
      <c r="O12" s="458"/>
    </row>
    <row r="13">
      <c r="A13" s="22" t="s">
        <v>342</v>
      </c>
      <c r="B13" s="672">
        <f>IF(countif('EV National Targets'!A:A,A13)&gt;0, 1, (1/3))</f>
        <v>0.3333333333</v>
      </c>
      <c r="C13" s="672">
        <f>IF(countif('EV Incentives'!A:A,A13)&gt;0, 1, (1/3))</f>
        <v>0.3333333333</v>
      </c>
      <c r="D13" s="672">
        <f t="array" ref="D13">'Additional Generation For 30% E'!F11</f>
        <v>0.3333333333</v>
      </c>
      <c r="E13" s="763">
        <f t="array" ref="E13">'Grid Reliability'!L11</f>
        <v>0.3333333333</v>
      </c>
      <c r="F13" s="268">
        <f t="array" ref="F13">'Current Rate of Motorization'!D11</f>
        <v>0.3333333333</v>
      </c>
      <c r="G13" s="761" t="str">
        <f t="array" ref="G13">'EV Charging Infrastructure'!D11</f>
        <v>Not Found</v>
      </c>
      <c r="H13" s="483">
        <f t="array" ref="H13">'Electricity Regulatory Index'!E11</f>
        <v>0.3333333333</v>
      </c>
      <c r="I13" s="760">
        <f t="array" ref="I13">' Utility Cost Recovery'!G11</f>
        <v>0.6666666667</v>
      </c>
      <c r="J13" s="268">
        <f t="array" ref="J13">'Relative Affordability'!H11</f>
        <v>1</v>
      </c>
      <c r="K13" s="483">
        <f t="array" ref="K13">'Access to Finance'!E11</f>
        <v>0.3333333333</v>
      </c>
      <c r="L13" s="262">
        <f t="shared" si="4"/>
        <v>0.4761904762</v>
      </c>
      <c r="M13" s="672">
        <f t="shared" si="1"/>
        <v>0.4444444444</v>
      </c>
      <c r="N13" s="766" t="str">
        <f t="shared" si="2"/>
        <v>Low</v>
      </c>
      <c r="O13" s="458"/>
    </row>
    <row r="14">
      <c r="A14" s="22" t="s">
        <v>346</v>
      </c>
      <c r="B14" s="672">
        <f>IF(countif('EV National Targets'!A:A,A14)&gt;0, 1, (1/3))</f>
        <v>0.3333333333</v>
      </c>
      <c r="C14" s="672">
        <f>IF(countif('EV Incentives'!A:A,A14)&gt;0, 1, (1/3))</f>
        <v>0.3333333333</v>
      </c>
      <c r="D14" s="672">
        <f t="array" ref="D14">'Additional Generation For 30% E'!F12</f>
        <v>0.6666666667</v>
      </c>
      <c r="E14" s="767" t="str">
        <f t="array" ref="E14">'Grid Reliability'!L12</f>
        <v>Not Found</v>
      </c>
      <c r="F14" s="268">
        <f t="array" ref="F14">'Current Rate of Motorization'!D12</f>
        <v>0.3333333333</v>
      </c>
      <c r="G14" s="761" t="str">
        <f t="array" ref="G14">'EV Charging Infrastructure'!D12</f>
        <v>Not Found</v>
      </c>
      <c r="H14" s="758" t="str">
        <f t="array" ref="H14">'Electricity Regulatory Index'!E12</f>
        <v>Not Found</v>
      </c>
      <c r="I14" s="760">
        <f t="array" ref="I14">' Utility Cost Recovery'!G12</f>
        <v>1</v>
      </c>
      <c r="J14" s="268">
        <f t="array" ref="J14">'Relative Affordability'!H12</f>
        <v>1</v>
      </c>
      <c r="K14" s="483">
        <f t="array" ref="K14">'Access to Finance'!E12</f>
        <v>0.3333333333</v>
      </c>
      <c r="L14" s="262">
        <f>average(D14:K14)</f>
        <v>0.6666666667</v>
      </c>
      <c r="M14" s="672">
        <f t="shared" si="1"/>
        <v>0.5714285714</v>
      </c>
      <c r="N14" s="774" t="str">
        <f t="shared" si="2"/>
        <v>Medium</v>
      </c>
    </row>
    <row r="15">
      <c r="A15" s="22" t="s">
        <v>351</v>
      </c>
      <c r="B15" s="672">
        <f>IF(countif('EV National Targets'!A:A,A15)&gt;0, 1, (1/3))</f>
        <v>0.3333333333</v>
      </c>
      <c r="C15" s="672">
        <f>IF(countif('EV Incentives'!A:A,A15)&gt;0, 1, (1/3))</f>
        <v>0.3333333333</v>
      </c>
      <c r="D15" s="672">
        <f t="array" ref="D15">'Additional Generation For 30% E'!F13</f>
        <v>0.6666666667</v>
      </c>
      <c r="E15" s="763">
        <f t="array" ref="E15">'Grid Reliability'!L13</f>
        <v>0.3333333333</v>
      </c>
      <c r="F15" s="268">
        <f t="array" ref="F15">'Current Rate of Motorization'!D13</f>
        <v>0.3333333333</v>
      </c>
      <c r="G15" s="153">
        <f t="array" ref="G15">'EV Charging Infrastructure'!D13</f>
        <v>0.33</v>
      </c>
      <c r="H15" s="483">
        <f t="array" ref="H15">'Electricity Regulatory Index'!E13</f>
        <v>0.3333333333</v>
      </c>
      <c r="I15" s="758" t="str">
        <f t="array" ref="I15">' Utility Cost Recovery'!G13</f>
        <v>Not Found</v>
      </c>
      <c r="J15" s="268">
        <f t="array" ref="J15">'Relative Affordability'!H13</f>
        <v>1</v>
      </c>
      <c r="K15" s="483">
        <f t="array" ref="K15">'Access to Finance'!E13</f>
        <v>0.3333333333</v>
      </c>
      <c r="L15" s="262">
        <f t="shared" ref="L15:L16" si="5">AVERAGE(D15:K15)</f>
        <v>0.4757142857</v>
      </c>
      <c r="M15" s="672">
        <f t="shared" si="1"/>
        <v>0.4440740741</v>
      </c>
      <c r="N15" s="782" t="str">
        <f t="shared" si="2"/>
        <v>Low</v>
      </c>
    </row>
    <row r="16">
      <c r="A16" s="22" t="s">
        <v>356</v>
      </c>
      <c r="B16" s="672">
        <f>IF(countif('EV National Targets'!A:A,A16)&gt;0, 1, (1/3))</f>
        <v>0.3333333333</v>
      </c>
      <c r="C16" s="672">
        <f>IF(countif('EV Incentives'!A:A,A16)&gt;0, 1, (1/3))</f>
        <v>0.3333333333</v>
      </c>
      <c r="D16" s="672">
        <f t="array" ref="D16">'Additional Generation For 30% E'!F14</f>
        <v>0.3333333333</v>
      </c>
      <c r="E16" s="763">
        <f t="array" ref="E16">'Grid Reliability'!L14</f>
        <v>0.6666666667</v>
      </c>
      <c r="F16" s="268">
        <f t="array" ref="F16">'Current Rate of Motorization'!D14</f>
        <v>0.3333333333</v>
      </c>
      <c r="G16" s="153">
        <f t="array" ref="G16">'EV Charging Infrastructure'!D14</f>
        <v>0.33</v>
      </c>
      <c r="H16" s="483">
        <f t="array" ref="H16">'Electricity Regulatory Index'!E14</f>
        <v>0.6666666667</v>
      </c>
      <c r="I16" s="760">
        <f t="array" ref="I16">' Utility Cost Recovery'!G14</f>
        <v>0.6666666667</v>
      </c>
      <c r="J16" s="268">
        <f t="array" ref="J16">'Relative Affordability'!H14</f>
        <v>1</v>
      </c>
      <c r="K16" s="483">
        <f t="array" ref="K16">'Access to Finance'!E14</f>
        <v>0.3333333333</v>
      </c>
      <c r="L16" s="262">
        <f t="shared" si="5"/>
        <v>0.54125</v>
      </c>
      <c r="M16" s="672">
        <f t="shared" si="1"/>
        <v>0.4996666667</v>
      </c>
      <c r="N16" s="759" t="str">
        <f t="shared" si="2"/>
        <v>Medium</v>
      </c>
      <c r="O16" s="458"/>
    </row>
    <row r="17">
      <c r="A17" s="22" t="s">
        <v>357</v>
      </c>
      <c r="B17" s="672">
        <f>IF(countif('EV National Targets'!A:A,A17)&gt;0, 1, (1/3))</f>
        <v>0.3333333333</v>
      </c>
      <c r="C17" s="672">
        <f>IF(countif('EV Incentives'!A:A,A17)&gt;0, 1, (1/3))</f>
        <v>0.3333333333</v>
      </c>
      <c r="D17" s="672">
        <f t="array" ref="D17">'Additional Generation For 30% E'!F15</f>
        <v>1</v>
      </c>
      <c r="E17" s="763">
        <f t="array" ref="E17">'Grid Reliability'!L15</f>
        <v>1</v>
      </c>
      <c r="F17" s="268">
        <f t="array" ref="F17">'Current Rate of Motorization'!D15</f>
        <v>0.3333333333</v>
      </c>
      <c r="G17" s="761" t="str">
        <f t="array" ref="G17">'EV Charging Infrastructure'!D15</f>
        <v>Not Found</v>
      </c>
      <c r="H17" s="758" t="str">
        <f t="array" ref="H17">'Electricity Regulatory Index'!E15</f>
        <v>Not Found</v>
      </c>
      <c r="I17" s="758" t="str">
        <f t="array" ref="I17">' Utility Cost Recovery'!G15</f>
        <v>Not Found</v>
      </c>
      <c r="J17" s="268">
        <f t="array" ref="J17">'Relative Affordability'!H15</f>
        <v>1</v>
      </c>
      <c r="K17" s="761" t="str">
        <f t="array" ref="K17">'Access to Finance'!E15</f>
        <v>Not Found</v>
      </c>
      <c r="L17" s="262">
        <f>AVERAGE(D17,K17)</f>
        <v>1</v>
      </c>
      <c r="M17" s="672">
        <f t="shared" si="1"/>
        <v>0.6666666667</v>
      </c>
      <c r="N17" s="762" t="str">
        <f t="shared" si="2"/>
        <v>Medium</v>
      </c>
      <c r="O17" s="236" t="s">
        <v>767</v>
      </c>
    </row>
    <row r="18">
      <c r="A18" s="22" t="s">
        <v>276</v>
      </c>
      <c r="B18" s="672">
        <f>IF(countif('EV National Targets'!A:A,A18)&gt;0, 1, (1/3))</f>
        <v>0.3333333333</v>
      </c>
      <c r="C18" s="672">
        <f>IF(countif('EV Incentives'!A:A,A18)&gt;0, 1, (1/3))</f>
        <v>1</v>
      </c>
      <c r="D18" s="672">
        <f t="array" ref="D18">'Additional Generation For 30% E'!F16</f>
        <v>0.6666666667</v>
      </c>
      <c r="E18" s="763">
        <f t="array" ref="E18">'Grid Reliability'!L16</f>
        <v>0.3333333333</v>
      </c>
      <c r="F18" s="268">
        <f t="array" ref="F18">'Current Rate of Motorization'!D16</f>
        <v>0.3333333333</v>
      </c>
      <c r="G18" s="153">
        <f t="array" ref="G18">'EV Charging Infrastructure'!D16</f>
        <v>0.33</v>
      </c>
      <c r="H18" s="483">
        <f t="array" ref="H18">'Electricity Regulatory Index'!E16</f>
        <v>0.6666666667</v>
      </c>
      <c r="I18" s="760">
        <f t="array" ref="I18">' Utility Cost Recovery'!G16</f>
        <v>0.3333333333</v>
      </c>
      <c r="J18" s="268">
        <f t="array" ref="J18">'Relative Affordability'!H16</f>
        <v>1</v>
      </c>
      <c r="K18" s="483">
        <f t="array" ref="K18">'Access to Finance'!E16</f>
        <v>0.3333333333</v>
      </c>
      <c r="L18" s="262">
        <f>AVERAGE(D18:K18)</f>
        <v>0.4995833333</v>
      </c>
      <c r="M18" s="672">
        <f t="shared" si="1"/>
        <v>0.533</v>
      </c>
      <c r="N18" s="759" t="str">
        <f t="shared" si="2"/>
        <v>Medium</v>
      </c>
      <c r="O18" s="236" t="s">
        <v>767</v>
      </c>
    </row>
    <row r="19">
      <c r="A19" s="22" t="s">
        <v>285</v>
      </c>
      <c r="B19" s="672">
        <f>IF(countif('EV National Targets'!A:A,A19)&gt;0, 1, (1/3))</f>
        <v>0.3333333333</v>
      </c>
      <c r="C19" s="672">
        <f>IF(countif('EV Incentives'!A:A,A19)&gt;0, 1, (1/3))</f>
        <v>1</v>
      </c>
      <c r="D19" s="672">
        <f t="array" ref="D19">'Additional Generation For 30% E'!F17</f>
        <v>1</v>
      </c>
      <c r="E19" s="763">
        <f t="array" ref="E19">'Grid Reliability'!L17</f>
        <v>1</v>
      </c>
      <c r="F19" s="268">
        <f t="array" ref="F19">'Current Rate of Motorization'!D17</f>
        <v>0.3333333333</v>
      </c>
      <c r="G19" s="153">
        <f t="array" ref="G19">'EV Charging Infrastructure'!D17</f>
        <v>1</v>
      </c>
      <c r="H19" s="483">
        <f t="array" ref="H19">'Electricity Regulatory Index'!E17</f>
        <v>0.6666666667</v>
      </c>
      <c r="I19" s="758" t="str">
        <f t="array" ref="I19">' Utility Cost Recovery'!G17</f>
        <v>Not Found</v>
      </c>
      <c r="J19" s="268">
        <f t="array" ref="J19">'Relative Affordability'!H17</f>
        <v>1</v>
      </c>
      <c r="K19" s="483">
        <f t="array" ref="K19">'Access to Finance'!E17</f>
        <v>0.3333333333</v>
      </c>
      <c r="L19" s="262">
        <f>AVERAGE(D19:H19,J19:K19)</f>
        <v>0.7619047619</v>
      </c>
      <c r="M19" s="672">
        <f t="shared" si="1"/>
        <v>0.7407407407</v>
      </c>
      <c r="N19" s="789" t="str">
        <f t="shared" si="2"/>
        <v>High</v>
      </c>
      <c r="O19" s="458"/>
    </row>
    <row r="20">
      <c r="A20" s="22" t="s">
        <v>360</v>
      </c>
      <c r="B20" s="672">
        <f>IF(countif('EV National Targets'!A:A,A20)&gt;0, 1, (1/3))</f>
        <v>0.3333333333</v>
      </c>
      <c r="C20" s="672">
        <f>IF(countif('EV Incentives'!A:A,A20)&gt;0, 1, (1/3))</f>
        <v>0.3333333333</v>
      </c>
      <c r="D20" s="672">
        <f t="array" ref="D20">'Additional Generation For 30% E'!F18</f>
        <v>1</v>
      </c>
      <c r="E20" s="767" t="str">
        <f t="array" ref="E20">'Grid Reliability'!L18</f>
        <v>Not Found</v>
      </c>
      <c r="F20" s="268">
        <f t="array" ref="F20">'Current Rate of Motorization'!D18</f>
        <v>0.6666666667</v>
      </c>
      <c r="G20" s="761" t="str">
        <f t="array" ref="G20">'EV Charging Infrastructure'!D18</f>
        <v>Not Found</v>
      </c>
      <c r="H20" s="758" t="str">
        <f t="array" ref="H20">'Electricity Regulatory Index'!E18</f>
        <v>Not Found</v>
      </c>
      <c r="I20" s="758" t="str">
        <f t="array" ref="I20">' Utility Cost Recovery'!G18</f>
        <v>Not Found</v>
      </c>
      <c r="J20" s="268">
        <f t="array" ref="J20">'Relative Affordability'!H18</f>
        <v>1</v>
      </c>
      <c r="K20" s="761" t="str">
        <f t="array" ref="K20">'Access to Finance'!E18</f>
        <v>Not Found</v>
      </c>
      <c r="L20" s="262">
        <f>AVERAGE(D20,F20:G20,J20)</f>
        <v>0.8888888889</v>
      </c>
      <c r="M20" s="672">
        <f t="shared" si="1"/>
        <v>0.6666666667</v>
      </c>
      <c r="N20" s="790" t="str">
        <f t="shared" si="2"/>
        <v>Medium</v>
      </c>
      <c r="O20" s="236" t="s">
        <v>767</v>
      </c>
    </row>
    <row r="21">
      <c r="A21" s="22" t="s">
        <v>362</v>
      </c>
      <c r="B21" s="672">
        <f>IF(countif('EV National Targets'!A:A,A21)&gt;0, 1, (1/3))</f>
        <v>0.3333333333</v>
      </c>
      <c r="C21" s="672">
        <f>IF(countif('EV Incentives'!A:A,A21)&gt;0, 1, (1/3))</f>
        <v>0.3333333333</v>
      </c>
      <c r="D21" s="672">
        <f t="array" ref="D21">'Additional Generation For 30% E'!F19</f>
        <v>0.6666666667</v>
      </c>
      <c r="E21" s="763">
        <f t="array" ref="E21">'Grid Reliability'!L19</f>
        <v>0.3333333333</v>
      </c>
      <c r="F21" s="268">
        <f t="array" ref="F21">'Current Rate of Motorization'!D19</f>
        <v>0.3333333333</v>
      </c>
      <c r="G21" s="153">
        <f t="array" ref="G21">'EV Charging Infrastructure'!D19</f>
        <v>0.33</v>
      </c>
      <c r="H21" s="758" t="str">
        <f t="array" ref="H21">'Electricity Regulatory Index'!E19</f>
        <v>Not Found</v>
      </c>
      <c r="I21" s="758" t="str">
        <f t="array" ref="I21">' Utility Cost Recovery'!G19</f>
        <v>Not Found</v>
      </c>
      <c r="J21" s="268">
        <f t="array" ref="J21">'Relative Affordability'!H19</f>
        <v>1</v>
      </c>
      <c r="K21" s="761" t="str">
        <f t="array" ref="K21">'Access to Finance'!E19</f>
        <v>Not Found</v>
      </c>
      <c r="L21" s="262">
        <f>AVERAGE(D21:G21,J21)</f>
        <v>0.5326666667</v>
      </c>
      <c r="M21" s="672">
        <f t="shared" si="1"/>
        <v>0.4757142857</v>
      </c>
      <c r="N21" s="766" t="str">
        <f t="shared" si="2"/>
        <v>Low</v>
      </c>
      <c r="O21" s="236" t="s">
        <v>767</v>
      </c>
    </row>
    <row r="22">
      <c r="A22" s="22" t="s">
        <v>363</v>
      </c>
      <c r="B22" s="672">
        <f>IF(countif('EV National Targets'!A:A,A22)&gt;0, 1, (1/3))</f>
        <v>0.3333333333</v>
      </c>
      <c r="C22" s="672">
        <f>IF(countif('EV Incentives'!A:A,A22)&gt;0, 1, (1/3))</f>
        <v>0.3333333333</v>
      </c>
      <c r="D22" s="672">
        <f t="array" ref="D22">'Additional Generation For 30% E'!F20</f>
        <v>0.3333333333</v>
      </c>
      <c r="E22" s="757">
        <f t="array" ref="E22">'Grid Reliability'!L20</f>
        <v>0.6666666667</v>
      </c>
      <c r="F22" s="268">
        <f t="array" ref="F22">'Current Rate of Motorization'!D20</f>
        <v>0.3333333333</v>
      </c>
      <c r="G22" s="761" t="str">
        <f t="array" ref="G22">'EV Charging Infrastructure'!D20</f>
        <v>Not Found</v>
      </c>
      <c r="H22" s="483">
        <f t="array" ref="H22">'Electricity Regulatory Index'!E20</f>
        <v>0.6666666667</v>
      </c>
      <c r="I22" s="760">
        <f t="array" ref="I22">' Utility Cost Recovery'!G20</f>
        <v>1</v>
      </c>
      <c r="J22" s="268">
        <f t="array" ref="J22">'Relative Affordability'!H20</f>
        <v>1</v>
      </c>
      <c r="K22" s="483">
        <f t="array" ref="K22">'Access to Finance'!E20</f>
        <v>0.6666666667</v>
      </c>
      <c r="L22" s="262">
        <f t="shared" ref="L22:L27" si="6">AVERAGE(D22:K22)</f>
        <v>0.6666666667</v>
      </c>
      <c r="M22" s="672">
        <f t="shared" si="1"/>
        <v>0.5925925926</v>
      </c>
      <c r="N22" s="759" t="str">
        <f t="shared" si="2"/>
        <v>Medium</v>
      </c>
      <c r="O22" s="458"/>
    </row>
    <row r="23">
      <c r="A23" s="22" t="s">
        <v>255</v>
      </c>
      <c r="B23" s="672">
        <f>IF(countif('EV National Targets'!A:A,A23)&gt;0, 1, (1/3))</f>
        <v>1</v>
      </c>
      <c r="C23" s="672">
        <f>IF(countif('EV Incentives'!A:A,A23)&gt;0, 1, (1/3))</f>
        <v>1</v>
      </c>
      <c r="D23" s="672">
        <f t="array" ref="D23">'Additional Generation For 30% E'!F21</f>
        <v>0.6666666667</v>
      </c>
      <c r="E23" s="763">
        <f t="array" ref="E23">'Grid Reliability'!L21</f>
        <v>0.3333333333</v>
      </c>
      <c r="F23" s="268">
        <f t="array" ref="F23">'Current Rate of Motorization'!D21</f>
        <v>0.3333333333</v>
      </c>
      <c r="G23" s="153">
        <f t="array" ref="G23">'EV Charging Infrastructure'!D21</f>
        <v>0.67</v>
      </c>
      <c r="H23" s="483">
        <f t="array" ref="H23">'Electricity Regulatory Index'!E21</f>
        <v>0.6666666667</v>
      </c>
      <c r="I23" s="760">
        <f t="array" ref="I23">' Utility Cost Recovery'!G21</f>
        <v>1</v>
      </c>
      <c r="J23" s="268">
        <f t="array" ref="J23">'Relative Affordability'!H21</f>
        <v>1</v>
      </c>
      <c r="K23" s="483">
        <f t="array" ref="K23">'Access to Finance'!E21</f>
        <v>0.3333333333</v>
      </c>
      <c r="L23" s="262">
        <f t="shared" si="6"/>
        <v>0.6254166667</v>
      </c>
      <c r="M23" s="672">
        <f t="shared" si="1"/>
        <v>0.7003333333</v>
      </c>
      <c r="N23" s="789" t="str">
        <f t="shared" si="2"/>
        <v>High</v>
      </c>
      <c r="O23" s="458"/>
    </row>
    <row r="24">
      <c r="A24" s="22" t="s">
        <v>374</v>
      </c>
      <c r="B24" s="672">
        <f>IF(countif('EV National Targets'!A:A,A24)&gt;0, 1, (1/3))</f>
        <v>0.3333333333</v>
      </c>
      <c r="C24" s="672">
        <f>IF(countif('EV Incentives'!A:A,A24)&gt;0, 1, (1/3))</f>
        <v>0.3333333333</v>
      </c>
      <c r="D24" s="672">
        <f t="array" ref="D24">'Additional Generation For 30% E'!F22</f>
        <v>0.6666666667</v>
      </c>
      <c r="E24" s="757">
        <f t="array" ref="E24">'Grid Reliability'!L22</f>
        <v>0.3333333333</v>
      </c>
      <c r="F24" s="268">
        <f t="array" ref="F24">'Current Rate of Motorization'!D22</f>
        <v>0.3333333333</v>
      </c>
      <c r="G24" s="761" t="str">
        <f t="array" ref="G24">'EV Charging Infrastructure'!D22</f>
        <v>Not Found</v>
      </c>
      <c r="H24" s="483">
        <f t="array" ref="H24">'Electricity Regulatory Index'!E22</f>
        <v>0.3333333333</v>
      </c>
      <c r="I24" s="760">
        <f t="array" ref="I24">' Utility Cost Recovery'!G22</f>
        <v>0.6666666667</v>
      </c>
      <c r="J24" s="268">
        <f t="array" ref="J24">'Relative Affordability'!H22</f>
        <v>1</v>
      </c>
      <c r="K24" s="483">
        <f t="array" ref="K24">'Access to Finance'!E22</f>
        <v>0.3333333333</v>
      </c>
      <c r="L24" s="262">
        <f t="shared" si="6"/>
        <v>0.5238095238</v>
      </c>
      <c r="M24" s="672">
        <f t="shared" si="1"/>
        <v>0.4814814815</v>
      </c>
      <c r="N24" s="764" t="str">
        <f t="shared" si="2"/>
        <v>Low</v>
      </c>
      <c r="O24" s="458"/>
    </row>
    <row r="25">
      <c r="A25" s="22" t="s">
        <v>263</v>
      </c>
      <c r="B25" s="672">
        <f>IF(countif('EV National Targets'!A:A,A25)&gt;0, 1, (1/3))</f>
        <v>1</v>
      </c>
      <c r="C25" s="672">
        <f>IF(countif('EV Incentives'!A:A,A25)&gt;0, 1, (1/3))</f>
        <v>0.3333333333</v>
      </c>
      <c r="D25" s="672">
        <f t="array" ref="D25">'Additional Generation For 30% E'!F23</f>
        <v>0.6666666667</v>
      </c>
      <c r="E25" s="763">
        <f t="array" ref="E25">'Grid Reliability'!L23</f>
        <v>0.6666666667</v>
      </c>
      <c r="F25" s="268">
        <f t="array" ref="F25">'Current Rate of Motorization'!D23</f>
        <v>0.3333333333</v>
      </c>
      <c r="G25" s="761" t="str">
        <f t="array" ref="G25">'EV Charging Infrastructure'!D23</f>
        <v>Not Found</v>
      </c>
      <c r="H25" s="483">
        <f t="array" ref="H25">'Electricity Regulatory Index'!E23</f>
        <v>0.3333333333</v>
      </c>
      <c r="I25" s="760">
        <f t="array" ref="I25">' Utility Cost Recovery'!G23</f>
        <v>0.3333333333</v>
      </c>
      <c r="J25" s="268">
        <f t="array" ref="J25">'Relative Affordability'!H23</f>
        <v>1</v>
      </c>
      <c r="K25" s="483">
        <f t="array" ref="K25">'Access to Finance'!E23</f>
        <v>0.3333333333</v>
      </c>
      <c r="L25" s="262">
        <f t="shared" si="6"/>
        <v>0.5238095238</v>
      </c>
      <c r="M25" s="672">
        <f t="shared" si="1"/>
        <v>0.5555555556</v>
      </c>
      <c r="N25" s="762" t="str">
        <f t="shared" si="2"/>
        <v>Medium</v>
      </c>
      <c r="O25" s="458"/>
    </row>
    <row r="26">
      <c r="A26" s="22" t="s">
        <v>266</v>
      </c>
      <c r="B26" s="672">
        <f>IF(countif('EV National Targets'!A:A,A26)&gt;0, 1, (1/3))</f>
        <v>1</v>
      </c>
      <c r="C26" s="672">
        <f>IF(countif('EV Incentives'!A:A,A26)&gt;0, 1, (1/3))</f>
        <v>1</v>
      </c>
      <c r="D26" s="672">
        <f t="array" ref="D26">'Additional Generation For 30% E'!F24</f>
        <v>0.6666666667</v>
      </c>
      <c r="E26" s="763">
        <f t="array" ref="E26">'Grid Reliability'!L24</f>
        <v>0.6666666667</v>
      </c>
      <c r="F26" s="268">
        <f t="array" ref="F26">'Current Rate of Motorization'!D24</f>
        <v>0.3333333333</v>
      </c>
      <c r="G26" s="153">
        <f t="array" ref="G26">'EV Charging Infrastructure'!D24</f>
        <v>0.33</v>
      </c>
      <c r="H26" s="483">
        <f t="array" ref="H26">'Electricity Regulatory Index'!E24</f>
        <v>0.6666666667</v>
      </c>
      <c r="I26" s="760">
        <f t="array" ref="I26">' Utility Cost Recovery'!G24</f>
        <v>1</v>
      </c>
      <c r="J26" s="268">
        <f t="array" ref="J26">'Relative Affordability'!H24</f>
        <v>1</v>
      </c>
      <c r="K26" s="483">
        <f t="array" ref="K26">'Access to Finance'!E24</f>
        <v>0.3333333333</v>
      </c>
      <c r="L26" s="262">
        <f t="shared" si="6"/>
        <v>0.6245833333</v>
      </c>
      <c r="M26" s="672">
        <f t="shared" si="1"/>
        <v>0.6996666667</v>
      </c>
      <c r="N26" s="765" t="str">
        <f t="shared" si="2"/>
        <v>High</v>
      </c>
      <c r="O26" s="458"/>
    </row>
    <row r="27">
      <c r="A27" s="22" t="s">
        <v>385</v>
      </c>
      <c r="B27" s="672">
        <f>IF(countif('EV National Targets'!A:A,A27)&gt;0, 1, (1/3))</f>
        <v>0.3333333333</v>
      </c>
      <c r="C27" s="672">
        <f>IF(countif('EV Incentives'!A:A,A27)&gt;0, 1, (1/3))</f>
        <v>0.3333333333</v>
      </c>
      <c r="D27" s="672">
        <f t="array" ref="D27">'Additional Generation For 30% E'!F25</f>
        <v>0.6666666667</v>
      </c>
      <c r="E27" s="763">
        <f t="array" ref="E27">'Grid Reliability'!L25</f>
        <v>0.6666666667</v>
      </c>
      <c r="F27" s="268">
        <f t="array" ref="F27">'Current Rate of Motorization'!D25</f>
        <v>0.3333333333</v>
      </c>
      <c r="G27" s="761" t="str">
        <f t="array" ref="G27">'EV Charging Infrastructure'!D25</f>
        <v>Not Found</v>
      </c>
      <c r="H27" s="483">
        <f t="array" ref="H27">'Electricity Regulatory Index'!E25</f>
        <v>0.3333333333</v>
      </c>
      <c r="I27" s="760">
        <f t="array" ref="I27">' Utility Cost Recovery'!G25</f>
        <v>0.3333333333</v>
      </c>
      <c r="J27" s="268">
        <f t="array" ref="J27">'Relative Affordability'!H25</f>
        <v>1</v>
      </c>
      <c r="K27" s="483">
        <f t="array" ref="K27">'Access to Finance'!E25</f>
        <v>0.3333333333</v>
      </c>
      <c r="L27" s="262">
        <f t="shared" si="6"/>
        <v>0.5238095238</v>
      </c>
      <c r="M27" s="672">
        <f t="shared" si="1"/>
        <v>0.4814814815</v>
      </c>
      <c r="N27" s="766" t="str">
        <f t="shared" si="2"/>
        <v>Low</v>
      </c>
      <c r="O27" s="458"/>
    </row>
    <row r="28">
      <c r="A28" s="22" t="s">
        <v>386</v>
      </c>
      <c r="B28" s="672">
        <f>IF(countif('EV National Targets'!A:A,A28)&gt;0, 1, (1/3))</f>
        <v>0.3333333333</v>
      </c>
      <c r="C28" s="672">
        <f>IF(countif('EV Incentives'!A:A,A28)&gt;0, 1, (1/3))</f>
        <v>0.3333333333</v>
      </c>
      <c r="D28" s="672">
        <f t="array" ref="D28">'Additional Generation For 30% E'!F26</f>
        <v>0.3333333333</v>
      </c>
      <c r="E28" s="763">
        <f t="array" ref="E28">'Grid Reliability'!L26</f>
        <v>0.3333333333</v>
      </c>
      <c r="F28" s="268">
        <f t="array" ref="F28">'Current Rate of Motorization'!D26</f>
        <v>0.3333333333</v>
      </c>
      <c r="G28" s="761" t="str">
        <f t="array" ref="G28">'EV Charging Infrastructure'!D26</f>
        <v>Not Found</v>
      </c>
      <c r="H28" s="758" t="str">
        <f t="array" ref="H28">'Electricity Regulatory Index'!E26</f>
        <v>Not Found</v>
      </c>
      <c r="I28" s="760">
        <f t="array" ref="I28">' Utility Cost Recovery'!G26</f>
        <v>0.3333333333</v>
      </c>
      <c r="J28" s="268">
        <f t="array" ref="J28">'Relative Affordability'!H26</f>
        <v>0.6666666667</v>
      </c>
      <c r="K28" s="761" t="str">
        <f t="array" ref="K28">'Access to Finance'!E26</f>
        <v>Not Found</v>
      </c>
      <c r="L28" s="262">
        <f>AVERAGE(D28:G28,I28:J28)</f>
        <v>0.4</v>
      </c>
      <c r="M28" s="672">
        <f t="shared" si="1"/>
        <v>0.380952381</v>
      </c>
      <c r="N28" s="764" t="str">
        <f t="shared" si="2"/>
        <v>Low</v>
      </c>
      <c r="O28" s="458"/>
    </row>
    <row r="29">
      <c r="A29" s="22" t="s">
        <v>280</v>
      </c>
      <c r="B29" s="672">
        <f>IF(countif('EV National Targets'!A:A,A29)&gt;0, 1, (1/3))</f>
        <v>1</v>
      </c>
      <c r="C29" s="672">
        <f>IF(countif('EV Incentives'!A:A,A29)&gt;0, 1, (1/3))</f>
        <v>1</v>
      </c>
      <c r="D29" s="672">
        <f t="array" ref="D29">'Additional Generation For 30% E'!F27</f>
        <v>0.3333333333</v>
      </c>
      <c r="E29" s="763">
        <f t="array" ref="E29">'Grid Reliability'!L27</f>
        <v>0.3333333333</v>
      </c>
      <c r="F29" s="268">
        <f t="array" ref="F29">'Current Rate of Motorization'!D27</f>
        <v>0.3333333333</v>
      </c>
      <c r="G29" s="153">
        <f t="array" ref="G29">'EV Charging Infrastructure'!D27</f>
        <v>0.67</v>
      </c>
      <c r="H29" s="483">
        <f t="array" ref="H29">'Electricity Regulatory Index'!E27</f>
        <v>0.6666666667</v>
      </c>
      <c r="I29" s="760">
        <f t="array" ref="I29">' Utility Cost Recovery'!G27</f>
        <v>0.6666666667</v>
      </c>
      <c r="J29" s="268">
        <f t="array" ref="J29">'Relative Affordability'!H27</f>
        <v>1</v>
      </c>
      <c r="K29" s="483">
        <f t="array" ref="K29">'Access to Finance'!E27</f>
        <v>1</v>
      </c>
      <c r="L29" s="262">
        <f t="shared" ref="L29:L31" si="7">AVERAGE(D29:K29)</f>
        <v>0.6254166667</v>
      </c>
      <c r="M29" s="672">
        <f t="shared" si="1"/>
        <v>0.7003333333</v>
      </c>
      <c r="N29" s="789" t="str">
        <f t="shared" si="2"/>
        <v>High</v>
      </c>
      <c r="O29" s="458"/>
    </row>
    <row r="30">
      <c r="A30" s="22" t="s">
        <v>392</v>
      </c>
      <c r="B30" s="672">
        <f>IF(countif('EV National Targets'!A:A,A30)&gt;0, 1, (1/3))</f>
        <v>0.3333333333</v>
      </c>
      <c r="C30" s="672">
        <f>IF(countif('EV Incentives'!A:A,A30)&gt;0, 1, (1/3))</f>
        <v>0.3333333333</v>
      </c>
      <c r="D30" s="672">
        <f t="array" ref="D30">'Additional Generation For 30% E'!F28</f>
        <v>0.3333333333</v>
      </c>
      <c r="E30" s="763">
        <f t="array" ref="E30">'Grid Reliability'!L28</f>
        <v>0.6666666667</v>
      </c>
      <c r="F30" s="268">
        <f t="array" ref="F30">'Current Rate of Motorization'!D28</f>
        <v>1</v>
      </c>
      <c r="G30" s="761" t="str">
        <f t="array" ref="G30">'EV Charging Infrastructure'!D28</f>
        <v>Not Found</v>
      </c>
      <c r="H30" s="483">
        <f t="array" ref="H30">'Electricity Regulatory Index'!E28</f>
        <v>0.3333333333</v>
      </c>
      <c r="I30" s="760">
        <f t="array" ref="I30">' Utility Cost Recovery'!G28</f>
        <v>0.6666666667</v>
      </c>
      <c r="J30" s="268">
        <f t="array" ref="J30">'Relative Affordability'!H28</f>
        <v>1</v>
      </c>
      <c r="K30" s="483">
        <f t="array" ref="K30">'Access to Finance'!E28</f>
        <v>0.3333333333</v>
      </c>
      <c r="L30" s="262">
        <f t="shared" si="7"/>
        <v>0.619047619</v>
      </c>
      <c r="M30" s="672">
        <f t="shared" si="1"/>
        <v>0.5555555556</v>
      </c>
      <c r="N30" s="759" t="str">
        <f t="shared" si="2"/>
        <v>Medium</v>
      </c>
      <c r="O30" s="458"/>
    </row>
    <row r="31" ht="16.5" customHeight="1">
      <c r="A31" s="22" t="s">
        <v>394</v>
      </c>
      <c r="B31" s="672">
        <f>IF(countif('EV National Targets'!A:A,A31)&gt;0, 1, (1/3))</f>
        <v>0.3333333333</v>
      </c>
      <c r="C31" s="672">
        <f>IF(countif('EV Incentives'!A:A,A31)&gt;0, 1, (1/3))</f>
        <v>0.3333333333</v>
      </c>
      <c r="D31" s="672">
        <f t="array" ref="D31">'Additional Generation For 30% E'!F29</f>
        <v>1</v>
      </c>
      <c r="E31" s="763">
        <f t="array" ref="E31">'Grid Reliability'!L29</f>
        <v>0.3333333333</v>
      </c>
      <c r="F31" s="268">
        <f t="array" ref="F31">'Current Rate of Motorization'!D29</f>
        <v>0.3333333333</v>
      </c>
      <c r="G31" s="761" t="str">
        <f t="array" ref="G31">'EV Charging Infrastructure'!D29</f>
        <v>Not Found</v>
      </c>
      <c r="H31" s="483">
        <f t="array" ref="H31">'Electricity Regulatory Index'!E29</f>
        <v>0.6666666667</v>
      </c>
      <c r="I31" s="760">
        <f t="array" ref="I31">' Utility Cost Recovery'!G29</f>
        <v>0.6666666667</v>
      </c>
      <c r="J31" s="268">
        <f t="array" ref="J31">'Relative Affordability'!H29</f>
        <v>1</v>
      </c>
      <c r="K31" s="483">
        <f t="array" ref="K31">'Access to Finance'!E29</f>
        <v>0.3333333333</v>
      </c>
      <c r="L31" s="262">
        <f t="shared" si="7"/>
        <v>0.619047619</v>
      </c>
      <c r="M31" s="672">
        <f t="shared" si="1"/>
        <v>0.5555555556</v>
      </c>
      <c r="N31" s="762" t="str">
        <f t="shared" si="2"/>
        <v>Medium</v>
      </c>
      <c r="O31" s="458"/>
    </row>
    <row r="32">
      <c r="A32" s="22" t="s">
        <v>396</v>
      </c>
      <c r="B32" s="672">
        <f>IF(countif('EV National Targets'!A:A,A32)&gt;0, 1, (1/3))</f>
        <v>0.3333333333</v>
      </c>
      <c r="C32" s="672">
        <f>IF(countif('EV Incentives'!A:A,A32)&gt;0, 1, (1/3))</f>
        <v>0.3333333333</v>
      </c>
      <c r="D32" s="672">
        <f t="array" ref="D32">'Additional Generation For 30% E'!F30</f>
        <v>0.3333333333</v>
      </c>
      <c r="E32" s="757">
        <f t="array" ref="E32">'Grid Reliability'!L30</f>
        <v>0.3333333333</v>
      </c>
      <c r="F32" s="268">
        <f t="array" ref="F32">'Current Rate of Motorization'!D30</f>
        <v>1</v>
      </c>
      <c r="G32" s="153">
        <f t="array" ref="G32">'EV Charging Infrastructure'!D30</f>
        <v>0.67</v>
      </c>
      <c r="H32" s="758" t="str">
        <f t="array" ref="H32">'Electricity Regulatory Index'!E30</f>
        <v>Not Found</v>
      </c>
      <c r="I32" s="758" t="str">
        <f t="array" ref="I32">' Utility Cost Recovery'!G30</f>
        <v>Not Found</v>
      </c>
      <c r="J32" s="268">
        <f t="array" ref="J32">'Relative Affordability'!H30</f>
        <v>0.3333333333</v>
      </c>
      <c r="K32" s="761" t="str">
        <f t="array" ref="K32">'Access to Finance'!E30</f>
        <v>Not Found</v>
      </c>
      <c r="L32" s="262">
        <f>AVERAGE(D32,F32:G32,J32:K32)</f>
        <v>0.5841666667</v>
      </c>
      <c r="M32" s="672">
        <f t="shared" si="1"/>
        <v>0.4766666667</v>
      </c>
      <c r="N32" s="764" t="str">
        <f t="shared" si="2"/>
        <v>Low</v>
      </c>
      <c r="O32" s="458"/>
    </row>
    <row r="33">
      <c r="A33" s="22" t="s">
        <v>336</v>
      </c>
      <c r="B33" s="672">
        <f>IF(countif('EV National Targets'!A:A,A33)&gt;0, 1, (1/3))</f>
        <v>0.3333333333</v>
      </c>
      <c r="C33" s="672">
        <f>IF(countif('EV Incentives'!A:A,A33)&gt;0, 1, (1/3))</f>
        <v>1</v>
      </c>
      <c r="D33" s="672">
        <f t="array" ref="D33">'Additional Generation For 30% E'!F31</f>
        <v>0.3333333333</v>
      </c>
      <c r="E33" s="763">
        <f t="array" ref="E33">'Grid Reliability'!L31</f>
        <v>0.3333333333</v>
      </c>
      <c r="F33" s="268">
        <f t="array" ref="F33">'Current Rate of Motorization'!D31</f>
        <v>0.3333333333</v>
      </c>
      <c r="G33" s="153">
        <f t="array" ref="G33">'EV Charging Infrastructure'!D31</f>
        <v>0.33</v>
      </c>
      <c r="H33" s="483">
        <f t="array" ref="H33">'Electricity Regulatory Index'!E31</f>
        <v>0.3333333333</v>
      </c>
      <c r="I33" s="760">
        <f t="array" ref="I33">' Utility Cost Recovery'!G31</f>
        <v>0.3333333333</v>
      </c>
      <c r="J33" s="268">
        <f t="array" ref="J33">'Relative Affordability'!H31</f>
        <v>1</v>
      </c>
      <c r="K33" s="483">
        <f t="array" ref="K33">'Access to Finance'!E31</f>
        <v>0.3333333333</v>
      </c>
      <c r="L33" s="262">
        <f t="shared" ref="L33:L35" si="8">AVERAGE(D33:K33)</f>
        <v>0.41625</v>
      </c>
      <c r="M33" s="672">
        <f t="shared" si="1"/>
        <v>0.4663333333</v>
      </c>
      <c r="N33" s="766" t="str">
        <f t="shared" si="2"/>
        <v>Low</v>
      </c>
      <c r="O33" s="458"/>
    </row>
    <row r="34">
      <c r="A34" s="22" t="s">
        <v>343</v>
      </c>
      <c r="B34" s="672">
        <f>IF(countif('EV National Targets'!A:A,A34)&gt;0, 1, (1/3))</f>
        <v>0.3333333333</v>
      </c>
      <c r="C34" s="672">
        <f>IF(countif('EV Incentives'!A:A,A34)&gt;0, 1, (1/3))</f>
        <v>1</v>
      </c>
      <c r="D34" s="672">
        <f t="array" ref="D34">'Additional Generation For 30% E'!F32</f>
        <v>0.6666666667</v>
      </c>
      <c r="E34" s="763">
        <f t="array" ref="E34">'Grid Reliability'!L32</f>
        <v>0.3333333333</v>
      </c>
      <c r="F34" s="268">
        <f t="array" ref="F34">'Current Rate of Motorization'!D32</f>
        <v>0.3333333333</v>
      </c>
      <c r="G34" s="761" t="str">
        <f t="array" ref="G34">'EV Charging Infrastructure'!D32</f>
        <v>Not Found</v>
      </c>
      <c r="H34" s="483">
        <f t="array" ref="H34">'Electricity Regulatory Index'!E32</f>
        <v>0.3333333333</v>
      </c>
      <c r="I34" s="760">
        <f t="array" ref="I34">' Utility Cost Recovery'!G32</f>
        <v>0.6666666667</v>
      </c>
      <c r="J34" s="268">
        <f t="array" ref="J34">'Relative Affordability'!H32</f>
        <v>1</v>
      </c>
      <c r="K34" s="483">
        <f t="array" ref="K34">'Access to Finance'!E32</f>
        <v>0.3333333333</v>
      </c>
      <c r="L34" s="262">
        <f t="shared" si="8"/>
        <v>0.5238095238</v>
      </c>
      <c r="M34" s="672">
        <f t="shared" si="1"/>
        <v>0.5555555556</v>
      </c>
      <c r="N34" s="759" t="str">
        <f t="shared" si="2"/>
        <v>Medium</v>
      </c>
      <c r="O34" s="458"/>
    </row>
    <row r="35">
      <c r="A35" s="22" t="s">
        <v>399</v>
      </c>
      <c r="B35" s="672">
        <f>IF(countif('EV National Targets'!A:A,A35)&gt;0, 1, (1/3))</f>
        <v>0.3333333333</v>
      </c>
      <c r="C35" s="672">
        <f>IF(countif('EV Incentives'!A:A,A35)&gt;0, 1, (1/3))</f>
        <v>0.3333333333</v>
      </c>
      <c r="D35" s="672">
        <f t="array" ref="D35">'Additional Generation For 30% E'!F33</f>
        <v>0.6666666667</v>
      </c>
      <c r="E35" s="763">
        <f t="array" ref="E35">'Grid Reliability'!L33</f>
        <v>0.3333333333</v>
      </c>
      <c r="F35" s="268">
        <f t="array" ref="F35">'Current Rate of Motorization'!D33</f>
        <v>0.3333333333</v>
      </c>
      <c r="G35" s="153">
        <f t="array" ref="G35">'EV Charging Infrastructure'!D33</f>
        <v>0.33</v>
      </c>
      <c r="H35" s="483">
        <f t="array" ref="H35">'Electricity Regulatory Index'!E33</f>
        <v>0.3333333333</v>
      </c>
      <c r="I35" s="760">
        <f t="array" ref="I35">' Utility Cost Recovery'!G33</f>
        <v>0.3333333333</v>
      </c>
      <c r="J35" s="268">
        <f t="array" ref="J35">'Relative Affordability'!H33</f>
        <v>1</v>
      </c>
      <c r="K35" s="483">
        <f t="array" ref="K35">'Access to Finance'!E33</f>
        <v>0.3333333333</v>
      </c>
      <c r="L35" s="262">
        <f t="shared" si="8"/>
        <v>0.4579166667</v>
      </c>
      <c r="M35" s="672">
        <f t="shared" si="1"/>
        <v>0.433</v>
      </c>
      <c r="N35" s="766" t="str">
        <f t="shared" si="2"/>
        <v>Low</v>
      </c>
      <c r="O35" s="458"/>
    </row>
    <row r="36">
      <c r="A36" s="22" t="s">
        <v>401</v>
      </c>
      <c r="B36" s="672">
        <f>IF(countif('EV National Targets'!A:A,A36)&gt;0, 1, (1/3))</f>
        <v>0.3333333333</v>
      </c>
      <c r="C36" s="672">
        <f>IF(countif('EV Incentives'!A:A,A36)&gt;0, 1, (1/3))</f>
        <v>0.3333333333</v>
      </c>
      <c r="D36" s="672">
        <f t="array" ref="D36">'Additional Generation For 30% E'!F34</f>
        <v>0.6666666667</v>
      </c>
      <c r="E36" s="763">
        <f t="array" ref="E36">'Grid Reliability'!L34</f>
        <v>0.6666666667</v>
      </c>
      <c r="F36" s="268">
        <f t="array" ref="F36">'Current Rate of Motorization'!D34</f>
        <v>0.3333333333</v>
      </c>
      <c r="G36" s="153">
        <f t="array" ref="G36">'EV Charging Infrastructure'!D34</f>
        <v>0.33</v>
      </c>
      <c r="H36" s="758" t="str">
        <f t="array" ref="H36">'Electricity Regulatory Index'!E34</f>
        <v>Not Found</v>
      </c>
      <c r="I36" s="760">
        <f t="array" ref="I36">' Utility Cost Recovery'!G34</f>
        <v>0.3333333333</v>
      </c>
      <c r="J36" s="268">
        <f t="array" ref="J36">'Relative Affordability'!H34</f>
        <v>1</v>
      </c>
      <c r="K36" s="483">
        <f t="array" ref="K36">'Access to Finance'!E34</f>
        <v>0.3333333333</v>
      </c>
      <c r="L36" s="262">
        <f>AVERAGE(D36:G36,I36:K36)</f>
        <v>0.5233333333</v>
      </c>
      <c r="M36" s="672">
        <f t="shared" si="1"/>
        <v>0.4811111111</v>
      </c>
      <c r="N36" s="764" t="str">
        <f t="shared" si="2"/>
        <v>Low</v>
      </c>
      <c r="O36" s="458"/>
    </row>
    <row r="37">
      <c r="A37" s="22" t="s">
        <v>354</v>
      </c>
      <c r="B37" s="672">
        <f>IF(countif('EV National Targets'!A:A,A37)&gt;0, 1, (1/3))</f>
        <v>0.3333333333</v>
      </c>
      <c r="C37" s="672">
        <f>IF(countif('EV Incentives'!A:A,A37)&gt;0, 1, (1/3))</f>
        <v>1</v>
      </c>
      <c r="D37" s="672">
        <f t="array" ref="D37">'Additional Generation For 30% E'!F35</f>
        <v>0.6666666667</v>
      </c>
      <c r="E37" s="763">
        <f t="array" ref="E37">'Grid Reliability'!L35</f>
        <v>1</v>
      </c>
      <c r="F37" s="268">
        <f t="array" ref="F37">'Current Rate of Motorization'!D35</f>
        <v>1</v>
      </c>
      <c r="G37" s="153">
        <f t="array" ref="G37">'EV Charging Infrastructure'!D35</f>
        <v>1</v>
      </c>
      <c r="H37" s="483">
        <f t="array" ref="H37">'Electricity Regulatory Index'!E35</f>
        <v>0.3333333333</v>
      </c>
      <c r="I37" s="760">
        <f t="array" ref="I37">' Utility Cost Recovery'!G35</f>
        <v>1</v>
      </c>
      <c r="J37" s="268">
        <f t="array" ref="J37">'Relative Affordability'!H35</f>
        <v>1</v>
      </c>
      <c r="K37" s="483">
        <f t="array" ref="K37">'Access to Finance'!E35</f>
        <v>0.6666666667</v>
      </c>
      <c r="L37" s="262">
        <f t="shared" ref="L37:L43" si="9">AVERAGE(D37:K37)</f>
        <v>0.8333333333</v>
      </c>
      <c r="M37" s="672">
        <f t="shared" si="1"/>
        <v>0.8</v>
      </c>
      <c r="N37" s="789" t="str">
        <f t="shared" si="2"/>
        <v>High</v>
      </c>
      <c r="O37" s="458"/>
    </row>
    <row r="38">
      <c r="A38" s="22" t="s">
        <v>290</v>
      </c>
      <c r="B38" s="672">
        <f>IF(countif('EV National Targets'!A:A,A38)&gt;0, 1, (1/3))</f>
        <v>1</v>
      </c>
      <c r="C38" s="672">
        <f>IF(countif('EV Incentives'!A:A,A38)&gt;0, 1, (1/3))</f>
        <v>1</v>
      </c>
      <c r="D38" s="672">
        <f t="array" ref="D38">'Additional Generation For 30% E'!F36</f>
        <v>0.6666666667</v>
      </c>
      <c r="E38" s="763">
        <f t="array" ref="E38">'Grid Reliability'!L36</f>
        <v>1</v>
      </c>
      <c r="F38" s="268">
        <f t="array" ref="F38">'Current Rate of Motorization'!D36</f>
        <v>0.6666666667</v>
      </c>
      <c r="G38" s="153">
        <f t="array" ref="G38">'EV Charging Infrastructure'!D36</f>
        <v>1</v>
      </c>
      <c r="H38" s="758" t="str">
        <f t="array" ref="H38">'Electricity Regulatory Index'!E36</f>
        <v>Not Found</v>
      </c>
      <c r="I38" s="760">
        <f t="array" ref="I38">' Utility Cost Recovery'!G36</f>
        <v>1</v>
      </c>
      <c r="J38" s="268">
        <f t="array" ref="J38">'Relative Affordability'!H36</f>
        <v>1</v>
      </c>
      <c r="K38" s="483">
        <f t="array" ref="K38">'Access to Finance'!E36</f>
        <v>0.3333333333</v>
      </c>
      <c r="L38" s="262">
        <f t="shared" si="9"/>
        <v>0.8095238095</v>
      </c>
      <c r="M38" s="672">
        <f t="shared" si="1"/>
        <v>0.8518518519</v>
      </c>
      <c r="N38" s="765" t="str">
        <f t="shared" si="2"/>
        <v>High</v>
      </c>
      <c r="O38" s="458"/>
    </row>
    <row r="39">
      <c r="A39" s="22" t="s">
        <v>291</v>
      </c>
      <c r="B39" s="672">
        <f>IF(countif('EV National Targets'!A:A,A39)&gt;0, 1, (1/3))</f>
        <v>1</v>
      </c>
      <c r="C39" s="672">
        <f>IF(countif('EV Incentives'!A:A,A39)&gt;0, 1, (1/3))</f>
        <v>0.3333333333</v>
      </c>
      <c r="D39" s="672">
        <f t="array" ref="D39">'Additional Generation For 30% E'!F37</f>
        <v>1</v>
      </c>
      <c r="E39" s="763">
        <f t="array" ref="E39">'Grid Reliability'!L37</f>
        <v>0.6666666667</v>
      </c>
      <c r="F39" s="268">
        <f t="array" ref="F39">'Current Rate of Motorization'!D37</f>
        <v>0.3333333333</v>
      </c>
      <c r="G39" s="802" t="str">
        <f t="array" ref="G39">'EV Charging Infrastructure'!D37</f>
        <v>Not Found</v>
      </c>
      <c r="H39" s="483">
        <f t="array" ref="H39">'Electricity Regulatory Index'!E37</f>
        <v>0.3333333333</v>
      </c>
      <c r="I39" s="760">
        <f t="array" ref="I39">' Utility Cost Recovery'!G37</f>
        <v>1</v>
      </c>
      <c r="J39" s="268">
        <f t="array" ref="J39">'Relative Affordability'!H37</f>
        <v>1</v>
      </c>
      <c r="K39" s="483">
        <f t="array" ref="K39">'Access to Finance'!E37</f>
        <v>0.3333333333</v>
      </c>
      <c r="L39" s="262">
        <f t="shared" si="9"/>
        <v>0.6666666667</v>
      </c>
      <c r="M39" s="672">
        <f t="shared" si="1"/>
        <v>0.6666666667</v>
      </c>
      <c r="N39" s="385" t="str">
        <f t="shared" si="2"/>
        <v>Medium</v>
      </c>
      <c r="O39" s="458"/>
    </row>
    <row r="40">
      <c r="A40" s="22" t="s">
        <v>296</v>
      </c>
      <c r="B40" s="672">
        <f>IF(countif('EV National Targets'!A:A,A40)&gt;0, 1, (1/3))</f>
        <v>1</v>
      </c>
      <c r="C40" s="672">
        <f>IF(countif('EV Incentives'!A:A,A40)&gt;0, 1, (1/3))</f>
        <v>0.3333333333</v>
      </c>
      <c r="D40" s="672">
        <f t="array" ref="D40">'Additional Generation For 30% E'!F38</f>
        <v>0.3333333333</v>
      </c>
      <c r="E40" s="763">
        <f t="array" ref="E40">'Grid Reliability'!L38</f>
        <v>1</v>
      </c>
      <c r="F40" s="268">
        <f t="array" ref="F40">'Current Rate of Motorization'!D38</f>
        <v>0.6666666667</v>
      </c>
      <c r="G40" s="153">
        <f t="array" ref="G40">'EV Charging Infrastructure'!D38</f>
        <v>0.33</v>
      </c>
      <c r="H40" s="483">
        <f t="array" ref="H40">'Electricity Regulatory Index'!E38</f>
        <v>0.6666666667</v>
      </c>
      <c r="I40" s="760">
        <f t="array" ref="I40">' Utility Cost Recovery'!G38</f>
        <v>1</v>
      </c>
      <c r="J40" s="268">
        <f t="array" ref="J40">'Relative Affordability'!H38</f>
        <v>1</v>
      </c>
      <c r="K40" s="483">
        <f t="array" ref="K40">'Access to Finance'!E38</f>
        <v>0.6666666667</v>
      </c>
      <c r="L40" s="262">
        <f t="shared" si="9"/>
        <v>0.7079166667</v>
      </c>
      <c r="M40" s="672">
        <f t="shared" si="1"/>
        <v>0.6996666667</v>
      </c>
      <c r="N40" s="765" t="str">
        <f t="shared" si="2"/>
        <v>High</v>
      </c>
      <c r="O40" s="458"/>
    </row>
    <row r="41">
      <c r="A41" s="22" t="s">
        <v>407</v>
      </c>
      <c r="B41" s="672">
        <f>IF(countif('EV National Targets'!A:A,A41)&gt;0, 1, (1/3))</f>
        <v>0.3333333333</v>
      </c>
      <c r="C41" s="672">
        <f>IF(countif('EV Incentives'!A:A,A41)&gt;0, 1, (1/3))</f>
        <v>0.3333333333</v>
      </c>
      <c r="D41" s="672">
        <f t="array" ref="D41">'Additional Generation For 30% E'!F39</f>
        <v>0.3333333333</v>
      </c>
      <c r="E41" s="763">
        <f t="array" ref="E41">'Grid Reliability'!L39</f>
        <v>0.3333333333</v>
      </c>
      <c r="F41" s="268">
        <f t="array" ref="F41">'Current Rate of Motorization'!D39</f>
        <v>0.3333333333</v>
      </c>
      <c r="G41" s="153">
        <f t="array" ref="G41">'EV Charging Infrastructure'!D39</f>
        <v>0.33</v>
      </c>
      <c r="H41" s="483">
        <f t="array" ref="H41">'Electricity Regulatory Index'!E39</f>
        <v>0.3333333333</v>
      </c>
      <c r="I41" s="760">
        <f t="array" ref="I41">' Utility Cost Recovery'!G39</f>
        <v>1</v>
      </c>
      <c r="J41" s="268">
        <f t="array" ref="J41">'Relative Affordability'!H39</f>
        <v>1</v>
      </c>
      <c r="K41" s="483">
        <f t="array" ref="K41">'Access to Finance'!E39</f>
        <v>0.3333333333</v>
      </c>
      <c r="L41" s="262">
        <f t="shared" si="9"/>
        <v>0.4995833333</v>
      </c>
      <c r="M41" s="672">
        <f t="shared" si="1"/>
        <v>0.4663333333</v>
      </c>
      <c r="N41" s="766" t="str">
        <f t="shared" si="2"/>
        <v>Low</v>
      </c>
      <c r="O41" s="458"/>
    </row>
    <row r="42">
      <c r="A42" s="22" t="s">
        <v>299</v>
      </c>
      <c r="B42" s="672">
        <f>IF(countif('EV National Targets'!A:A,A42)&gt;0, 1, (1/3))</f>
        <v>1</v>
      </c>
      <c r="C42" s="672">
        <f>IF(countif('EV Incentives'!A:A,A42)&gt;0, 1, (1/3))</f>
        <v>1</v>
      </c>
      <c r="D42" s="672">
        <f t="array" ref="D42">'Additional Generation For 30% E'!F40</f>
        <v>0.3333333333</v>
      </c>
      <c r="E42" s="763">
        <f t="array" ref="E42">'Grid Reliability'!L40</f>
        <v>0.3333333333</v>
      </c>
      <c r="F42" s="268">
        <f t="array" ref="F42">'Current Rate of Motorization'!D40</f>
        <v>0.3333333333</v>
      </c>
      <c r="G42" s="153">
        <f t="array" ref="G42">'EV Charging Infrastructure'!D40</f>
        <v>0.33</v>
      </c>
      <c r="H42" s="483">
        <f t="array" ref="H42">'Electricity Regulatory Index'!E40</f>
        <v>0.6666666667</v>
      </c>
      <c r="I42" s="760">
        <f t="array" ref="I42">' Utility Cost Recovery'!G40</f>
        <v>0.6666666667</v>
      </c>
      <c r="J42" s="268">
        <f t="array" ref="J42">'Relative Affordability'!H40</f>
        <v>1</v>
      </c>
      <c r="K42" s="483">
        <f t="array" ref="K42">'Access to Finance'!E40</f>
        <v>0.3333333333</v>
      </c>
      <c r="L42" s="262">
        <f t="shared" si="9"/>
        <v>0.4995833333</v>
      </c>
      <c r="M42" s="672">
        <f t="shared" si="1"/>
        <v>0.5996666667</v>
      </c>
      <c r="N42" s="759" t="str">
        <f t="shared" si="2"/>
        <v>Medium</v>
      </c>
      <c r="O42" s="458"/>
    </row>
    <row r="43">
      <c r="A43" s="22" t="s">
        <v>302</v>
      </c>
      <c r="B43" s="672">
        <f>IF(countif('EV National Targets'!A:A,A43)&gt;0, 1, (1/3))</f>
        <v>1</v>
      </c>
      <c r="C43" s="672">
        <f>IF(countif('EV Incentives'!A:A,A43)&gt;0, 1, (1/3))</f>
        <v>1</v>
      </c>
      <c r="D43" s="672">
        <f t="array" ref="D43">'Additional Generation For 30% E'!F41</f>
        <v>1</v>
      </c>
      <c r="E43" s="763">
        <f t="array" ref="E43">'Grid Reliability'!L41</f>
        <v>0.6666666667</v>
      </c>
      <c r="F43" s="268">
        <f t="array" ref="F43">'Current Rate of Motorization'!D41</f>
        <v>0.3333333333</v>
      </c>
      <c r="G43" s="153">
        <f t="array" ref="G43">'EV Charging Infrastructure'!D41</f>
        <v>0.33</v>
      </c>
      <c r="H43" s="483">
        <f t="array" ref="H43">'Electricity Regulatory Index'!E41</f>
        <v>0.6666666667</v>
      </c>
      <c r="I43" s="760">
        <f t="array" ref="I43">' Utility Cost Recovery'!G41</f>
        <v>0.6666666667</v>
      </c>
      <c r="J43" s="268">
        <f t="array" ref="J43">'Relative Affordability'!H41</f>
        <v>1</v>
      </c>
      <c r="K43" s="761" t="str">
        <f t="array" ref="K43">'Access to Finance'!E41</f>
        <v>Not Found</v>
      </c>
      <c r="L43" s="262">
        <f t="shared" si="9"/>
        <v>0.6661904762</v>
      </c>
      <c r="M43" s="672">
        <f t="shared" si="1"/>
        <v>0.7403703704</v>
      </c>
      <c r="N43" s="789" t="str">
        <f t="shared" si="2"/>
        <v>High</v>
      </c>
      <c r="O43" s="458"/>
    </row>
    <row r="44">
      <c r="A44" s="22" t="s">
        <v>410</v>
      </c>
      <c r="B44" s="672">
        <f>IF(countif('EV National Targets'!A:A,A44)&gt;0, 1, (1/3))</f>
        <v>0.3333333333</v>
      </c>
      <c r="C44" s="672">
        <f>IF(countif('EV Incentives'!A:A,A44)&gt;0, 1, (1/3))</f>
        <v>0.3333333333</v>
      </c>
      <c r="D44" s="672">
        <f t="array" ref="D44">'Additional Generation For 30% E'!F42</f>
        <v>0.6666666667</v>
      </c>
      <c r="E44" s="767" t="str">
        <f t="array" ref="E44">'Grid Reliability'!L42</f>
        <v>Not Found</v>
      </c>
      <c r="F44" s="268">
        <f t="array" ref="F44">'Current Rate of Motorization'!D42</f>
        <v>0.6666666667</v>
      </c>
      <c r="G44" s="761" t="str">
        <f t="array" ref="G44">'EV Charging Infrastructure'!D42</f>
        <v>Not Found</v>
      </c>
      <c r="H44" s="483">
        <f t="array" ref="H44">'Electricity Regulatory Index'!E42</f>
        <v>0.3333333333</v>
      </c>
      <c r="I44" s="760">
        <f t="array" ref="I44">' Utility Cost Recovery'!G42</f>
        <v>0.3333333333</v>
      </c>
      <c r="J44" s="268">
        <f t="array" ref="J44">'Relative Affordability'!H42</f>
        <v>1</v>
      </c>
      <c r="K44" s="761" t="str">
        <f t="array" ref="K44">'Access to Finance'!E42</f>
        <v>Not Found</v>
      </c>
      <c r="L44" s="262">
        <f>AVERAGE(D44,F44:J44)</f>
        <v>0.6</v>
      </c>
      <c r="M44" s="672">
        <f t="shared" si="1"/>
        <v>0.5238095238</v>
      </c>
      <c r="N44" s="759" t="str">
        <f t="shared" si="2"/>
        <v>Medium</v>
      </c>
      <c r="O44" s="458"/>
    </row>
    <row r="45">
      <c r="A45" s="22" t="s">
        <v>411</v>
      </c>
      <c r="B45" s="672">
        <f>IF(countif('EV National Targets'!A:A,A45)&gt;0, 1, (1/3))</f>
        <v>0.3333333333</v>
      </c>
      <c r="C45" s="672">
        <f>IF(countif('EV Incentives'!A:A,A45)&gt;0, 1, (1/3))</f>
        <v>0.3333333333</v>
      </c>
      <c r="D45" s="672">
        <f t="array" ref="D45">'Additional Generation For 30% E'!F43</f>
        <v>0.6666666667</v>
      </c>
      <c r="E45" s="763">
        <f t="array" ref="E45">'Grid Reliability'!L43</f>
        <v>0.6666666667</v>
      </c>
      <c r="F45" s="268">
        <f t="array" ref="F45">'Current Rate of Motorization'!D43</f>
        <v>0.3333333333</v>
      </c>
      <c r="G45" s="153">
        <f t="array" ref="G45">'EV Charging Infrastructure'!D43</f>
        <v>0.33</v>
      </c>
      <c r="H45" s="483">
        <f t="array" ref="H45">'Electricity Regulatory Index'!E43</f>
        <v>0.6666666667</v>
      </c>
      <c r="I45" s="760">
        <f t="array" ref="I45">' Utility Cost Recovery'!G43</f>
        <v>0.3333333333</v>
      </c>
      <c r="J45" s="268">
        <f t="array" ref="J45">'Relative Affordability'!H43</f>
        <v>1</v>
      </c>
      <c r="K45" s="483">
        <f t="array" ref="K45">'Access to Finance'!E43</f>
        <v>0.3333333333</v>
      </c>
      <c r="L45" s="262">
        <f>AVERAGE(D45:K45)</f>
        <v>0.54125</v>
      </c>
      <c r="M45" s="672">
        <f t="shared" si="1"/>
        <v>0.4996666667</v>
      </c>
      <c r="N45" s="762" t="str">
        <f t="shared" si="2"/>
        <v>Medium</v>
      </c>
      <c r="O45" s="458"/>
    </row>
    <row r="46">
      <c r="A46" s="22" t="s">
        <v>309</v>
      </c>
      <c r="B46" s="672">
        <f>IF(countif('EV National Targets'!A:A,A46)&gt;0, 1, (1/3))</f>
        <v>1</v>
      </c>
      <c r="C46" s="672">
        <f>IF(countif('EV Incentives'!A:A,A46)&gt;0, 1, (1/3))</f>
        <v>1</v>
      </c>
      <c r="D46" s="672">
        <f t="array" ref="D46">'Additional Generation For 30% E'!F44</f>
        <v>0.6666666667</v>
      </c>
      <c r="E46" s="763">
        <f t="array" ref="E46">'Grid Reliability'!L44</f>
        <v>1</v>
      </c>
      <c r="F46" s="268">
        <f t="array" ref="F46">'Current Rate of Motorization'!D44</f>
        <v>1</v>
      </c>
      <c r="G46" s="761" t="str">
        <f t="array" ref="G46">'EV Charging Infrastructure'!D44</f>
        <v>Not Found</v>
      </c>
      <c r="H46" s="483">
        <f t="array" ref="H46">'Electricity Regulatory Index'!E44</f>
        <v>0.3333333333</v>
      </c>
      <c r="I46" s="760">
        <f t="array" ref="I46">' Utility Cost Recovery'!G44</f>
        <v>1</v>
      </c>
      <c r="J46" s="268">
        <f t="array" ref="J46">'Relative Affordability'!H44</f>
        <v>1</v>
      </c>
      <c r="K46" s="761" t="str">
        <f t="array" ref="K46">'Access to Finance'!E44</f>
        <v>Not Found</v>
      </c>
      <c r="L46" s="262">
        <f>AVERAGE(D46:J46)</f>
        <v>0.8333333333</v>
      </c>
      <c r="M46" s="672">
        <f t="shared" si="1"/>
        <v>0.875</v>
      </c>
      <c r="N46" s="765" t="str">
        <f t="shared" si="2"/>
        <v>High</v>
      </c>
      <c r="O46" s="458"/>
    </row>
    <row r="47">
      <c r="A47" s="22" t="s">
        <v>412</v>
      </c>
      <c r="B47" s="672">
        <f>IF(countif('EV National Targets'!A:A,A47)&gt;0, 1, (1/3))</f>
        <v>0.3333333333</v>
      </c>
      <c r="C47" s="672">
        <f>IF(countif('EV Incentives'!A:A,A47)&gt;0, 1, (1/3))</f>
        <v>0.3333333333</v>
      </c>
      <c r="D47" s="672">
        <f t="array" ref="D47">'Additional Generation For 30% E'!F45</f>
        <v>0.3333333333</v>
      </c>
      <c r="E47" s="763">
        <f t="array" ref="E47">'Grid Reliability'!L45</f>
        <v>0.3333333333</v>
      </c>
      <c r="F47" s="268">
        <f t="array" ref="F47">'Current Rate of Motorization'!D45</f>
        <v>0.3333333333</v>
      </c>
      <c r="G47" s="761" t="str">
        <f t="array" ref="G47">'EV Charging Infrastructure'!D45</f>
        <v>Not Found</v>
      </c>
      <c r="H47" s="483">
        <f t="array" ref="H47">'Electricity Regulatory Index'!E45</f>
        <v>0.6666666667</v>
      </c>
      <c r="I47" s="760">
        <f t="array" ref="I47">' Utility Cost Recovery'!G45</f>
        <v>0.3333333333</v>
      </c>
      <c r="J47" s="268">
        <f t="array" ref="J47">'Relative Affordability'!H45</f>
        <v>1</v>
      </c>
      <c r="K47" s="483">
        <f t="array" ref="K47">'Access to Finance'!E45</f>
        <v>0.3333333333</v>
      </c>
      <c r="L47" s="262">
        <f>AVERAGE(D47:K47)</f>
        <v>0.4761904762</v>
      </c>
      <c r="M47" s="672">
        <f t="shared" si="1"/>
        <v>0.4444444444</v>
      </c>
      <c r="N47" s="766" t="str">
        <f t="shared" si="2"/>
        <v>Low</v>
      </c>
      <c r="O47" s="458"/>
    </row>
    <row r="48">
      <c r="A48" s="22" t="s">
        <v>415</v>
      </c>
      <c r="B48" s="672">
        <f>IF(countif('EV National Targets'!A:A,A48)&gt;0, 1, (1/3))</f>
        <v>0.3333333333</v>
      </c>
      <c r="C48" s="672">
        <f>IF(countif('EV Incentives'!A:A,A48)&gt;0, 1, (1/3))</f>
        <v>0.3333333333</v>
      </c>
      <c r="D48" s="672">
        <f t="array" ref="D48">'Additional Generation For 30% E'!F46</f>
        <v>1</v>
      </c>
      <c r="E48" s="767" t="str">
        <f t="array" ref="E48">'Grid Reliability'!L46</f>
        <v>Not Found</v>
      </c>
      <c r="F48" s="268">
        <f t="array" ref="F48">'Current Rate of Motorization'!D46</f>
        <v>0.3333333333</v>
      </c>
      <c r="G48" s="153">
        <f t="array" ref="G48">'EV Charging Infrastructure'!D46</f>
        <v>0.67</v>
      </c>
      <c r="H48" s="758" t="str">
        <f t="array" ref="H48">'Electricity Regulatory Index'!E46</f>
        <v>Not Found</v>
      </c>
      <c r="I48" s="758" t="str">
        <f t="array" ref="I48">' Utility Cost Recovery'!G46</f>
        <v>Not Found</v>
      </c>
      <c r="J48" s="268">
        <f t="array" ref="J48">'Relative Affordability'!H46</f>
        <v>1</v>
      </c>
      <c r="K48" s="761" t="str">
        <f t="array" ref="K48">'Access to Finance'!E46</f>
        <v>Not Found</v>
      </c>
      <c r="L48" s="262">
        <f>AVERAGE(D48,F48:G48,J48:K48)</f>
        <v>0.7508333333</v>
      </c>
      <c r="M48" s="672">
        <f t="shared" si="1"/>
        <v>0.6116666667</v>
      </c>
      <c r="N48" s="759" t="str">
        <f t="shared" si="2"/>
        <v>Medium</v>
      </c>
      <c r="O48" s="236" t="s">
        <v>767</v>
      </c>
    </row>
    <row r="49">
      <c r="A49" s="22" t="s">
        <v>313</v>
      </c>
      <c r="B49" s="672">
        <f>IF(countif('EV National Targets'!A:A,A49)&gt;0, 1, (1/3))</f>
        <v>1</v>
      </c>
      <c r="C49" s="672">
        <f>IF(countif('EV Incentives'!A:A,A49)&gt;0, 1, (1/3))</f>
        <v>1</v>
      </c>
      <c r="D49" s="672">
        <f t="array" ref="D49">'Additional Generation For 30% E'!F47</f>
        <v>1</v>
      </c>
      <c r="E49" s="763">
        <f t="array" ref="E49">'Grid Reliability'!L47</f>
        <v>0.6666666667</v>
      </c>
      <c r="F49" s="268">
        <f t="array" ref="F49">'Current Rate of Motorization'!D47</f>
        <v>0.6666666667</v>
      </c>
      <c r="G49" s="153">
        <f t="array" ref="G49">'EV Charging Infrastructure'!D47</f>
        <v>1</v>
      </c>
      <c r="H49" s="483">
        <f t="array" ref="H49">'Electricity Regulatory Index'!E47</f>
        <v>0.6666666667</v>
      </c>
      <c r="I49" s="760">
        <f t="array" ref="I49">' Utility Cost Recovery'!G47</f>
        <v>0.6666666667</v>
      </c>
      <c r="J49" s="268">
        <f t="array" ref="J49">'Relative Affordability'!H47</f>
        <v>1</v>
      </c>
      <c r="K49" s="483">
        <f t="array" ref="K49">'Access to Finance'!E47</f>
        <v>0.3333333333</v>
      </c>
      <c r="L49" s="262">
        <f>AVERAGE(D49:K49)</f>
        <v>0.75</v>
      </c>
      <c r="M49" s="672">
        <f t="shared" si="1"/>
        <v>0.8</v>
      </c>
      <c r="N49" s="789" t="str">
        <f t="shared" si="2"/>
        <v>High</v>
      </c>
      <c r="O49" s="458"/>
    </row>
    <row r="50">
      <c r="A50" s="22" t="s">
        <v>416</v>
      </c>
      <c r="B50" s="672">
        <f>IF(countif('EV National Targets'!A:A,A50)&gt;0, 1, (1/3))</f>
        <v>0.3333333333</v>
      </c>
      <c r="C50" s="672">
        <f>IF(countif('EV Incentives'!A:A,A50)&gt;0, 1, (1/3))</f>
        <v>0.3333333333</v>
      </c>
      <c r="D50" s="672">
        <f t="array" ref="D50">'Additional Generation For 30% E'!F48</f>
        <v>0.3333333333</v>
      </c>
      <c r="E50" s="763">
        <f t="array" ref="E50">'Grid Reliability'!L48</f>
        <v>0.6666666667</v>
      </c>
      <c r="F50" s="268">
        <f t="array" ref="F50">'Current Rate of Motorization'!D48</f>
        <v>0.3333333333</v>
      </c>
      <c r="G50" s="153">
        <f t="array" ref="G50">'EV Charging Infrastructure'!D48</f>
        <v>0.33</v>
      </c>
      <c r="H50" s="758" t="str">
        <f t="array" ref="H50">'Electricity Regulatory Index'!E48</f>
        <v>Not Found</v>
      </c>
      <c r="I50" s="758" t="str">
        <f t="array" ref="I50">' Utility Cost Recovery'!G48</f>
        <v>Not Found</v>
      </c>
      <c r="J50" s="268">
        <f t="array" ref="J50">'Relative Affordability'!H48</f>
        <v>0.6666666667</v>
      </c>
      <c r="K50" s="483">
        <f t="array" ref="K50">'Access to Finance'!E48</f>
        <v>0.3333333333</v>
      </c>
      <c r="L50" s="262">
        <f>AVERAGE(D50:G50,J50:K50)</f>
        <v>0.4438888889</v>
      </c>
      <c r="M50" s="672">
        <f t="shared" si="1"/>
        <v>0.41625</v>
      </c>
      <c r="N50" s="764" t="str">
        <f t="shared" si="2"/>
        <v>Low</v>
      </c>
      <c r="O50" s="236" t="s">
        <v>767</v>
      </c>
    </row>
    <row r="51">
      <c r="A51" s="22" t="s">
        <v>417</v>
      </c>
      <c r="B51" s="672">
        <f>IF(countif('EV National Targets'!A:A,A51)&gt;0, 1, (1/3))</f>
        <v>0.3333333333</v>
      </c>
      <c r="C51" s="672">
        <f>IF(countif('EV Incentives'!A:A,A51)&gt;0, 1, (1/3))</f>
        <v>0.3333333333</v>
      </c>
      <c r="D51" s="672">
        <f t="array" ref="D51">'Additional Generation For 30% E'!F49</f>
        <v>0.6666666667</v>
      </c>
      <c r="E51" s="763">
        <f t="array" ref="E51">'Grid Reliability'!L49</f>
        <v>0.6666666667</v>
      </c>
      <c r="F51" s="268">
        <f t="array" ref="F51">'Current Rate of Motorization'!D49</f>
        <v>0.3333333333</v>
      </c>
      <c r="G51" s="761" t="str">
        <f t="array" ref="G51">'EV Charging Infrastructure'!D49</f>
        <v>Not Found</v>
      </c>
      <c r="H51" s="758" t="str">
        <f t="array" ref="H51">'Electricity Regulatory Index'!E49</f>
        <v>Not Found</v>
      </c>
      <c r="I51" s="760">
        <f t="array" ref="I51">' Utility Cost Recovery'!G49</f>
        <v>0.3333333333</v>
      </c>
      <c r="J51" s="268">
        <f t="array" ref="J51">'Relative Affordability'!H49</f>
        <v>1</v>
      </c>
      <c r="K51" s="761" t="str">
        <f t="array" ref="K51">'Access to Finance'!E49</f>
        <v>Not Found</v>
      </c>
      <c r="L51" s="262">
        <f>AVERAGE(D51:G51,I51:K51)</f>
        <v>0.6</v>
      </c>
      <c r="M51" s="672">
        <f t="shared" si="1"/>
        <v>0.5238095238</v>
      </c>
      <c r="N51" s="762" t="str">
        <f t="shared" si="2"/>
        <v>Medium</v>
      </c>
      <c r="O51" s="458"/>
    </row>
    <row r="52">
      <c r="A52" s="22" t="s">
        <v>418</v>
      </c>
      <c r="B52" s="672">
        <f>IF(countif('EV National Targets'!A:A,A52)&gt;0, 1, (1/3))</f>
        <v>0.3333333333</v>
      </c>
      <c r="C52" s="672">
        <f>IF(countif('EV Incentives'!A:A,A52)&gt;0, 1, (1/3))</f>
        <v>0.3333333333</v>
      </c>
      <c r="D52" s="672">
        <f t="array" ref="D52">'Additional Generation For 30% E'!F50</f>
        <v>0.3333333333</v>
      </c>
      <c r="E52" s="763">
        <f t="array" ref="E52">'Grid Reliability'!L50</f>
        <v>0.6666666667</v>
      </c>
      <c r="F52" s="268">
        <f t="array" ref="F52">'Current Rate of Motorization'!D50</f>
        <v>0.3333333333</v>
      </c>
      <c r="G52" s="153">
        <f t="array" ref="G52">'EV Charging Infrastructure'!D50</f>
        <v>0.33</v>
      </c>
      <c r="H52" s="483">
        <f t="array" ref="H52">'Electricity Regulatory Index'!E50</f>
        <v>0.6666666667</v>
      </c>
      <c r="I52" s="760">
        <f t="array" ref="I52">' Utility Cost Recovery'!G50</f>
        <v>1</v>
      </c>
      <c r="J52" s="268">
        <f t="array" ref="J52">'Relative Affordability'!H50</f>
        <v>1</v>
      </c>
      <c r="K52" s="483">
        <f t="array" ref="K52">'Access to Finance'!E50</f>
        <v>0.3333333333</v>
      </c>
      <c r="L52" s="262">
        <f t="shared" ref="L52:L53" si="10">AVERAGE(D52:K52)</f>
        <v>0.5829166667</v>
      </c>
      <c r="M52" s="672">
        <f t="shared" si="1"/>
        <v>0.533</v>
      </c>
      <c r="N52" s="759" t="str">
        <f t="shared" si="2"/>
        <v>Medium</v>
      </c>
      <c r="O52" s="458"/>
    </row>
    <row r="53">
      <c r="A53" s="22" t="s">
        <v>398</v>
      </c>
      <c r="B53" s="672">
        <f>IF(countif('EV National Targets'!A:A,A53)&gt;0, 1, (1/3))</f>
        <v>0.3333333333</v>
      </c>
      <c r="C53" s="672">
        <f>IF(countif('EV Incentives'!A:A,A53)&gt;0, 1, (1/3))</f>
        <v>1</v>
      </c>
      <c r="D53" s="672">
        <f t="array" ref="D53">'Additional Generation For 30% E'!F51</f>
        <v>0.3333333333</v>
      </c>
      <c r="E53" s="763">
        <f t="array" ref="E53">'Grid Reliability'!L51</f>
        <v>0.6666666667</v>
      </c>
      <c r="F53" s="268">
        <f t="array" ref="F53">'Current Rate of Motorization'!D51</f>
        <v>0.3333333333</v>
      </c>
      <c r="G53" s="761" t="str">
        <f t="array" ref="G53">'EV Charging Infrastructure'!D51</f>
        <v>Not Found</v>
      </c>
      <c r="H53" s="483">
        <f t="array" ref="H53">'Electricity Regulatory Index'!E51</f>
        <v>0.6666666667</v>
      </c>
      <c r="I53" s="760">
        <f t="array" ref="I53">' Utility Cost Recovery'!G51</f>
        <v>0.6666666667</v>
      </c>
      <c r="J53" s="268">
        <f t="array" ref="J53">'Relative Affordability'!H51</f>
        <v>1</v>
      </c>
      <c r="K53" s="483">
        <f t="array" ref="K53">'Access to Finance'!E51</f>
        <v>0.3333333333</v>
      </c>
      <c r="L53" s="262">
        <f t="shared" si="10"/>
        <v>0.5714285714</v>
      </c>
      <c r="M53" s="672">
        <f t="shared" si="1"/>
        <v>0.5925925926</v>
      </c>
      <c r="N53" s="762" t="str">
        <f t="shared" si="2"/>
        <v>Medium</v>
      </c>
      <c r="O53" s="458"/>
    </row>
    <row r="54">
      <c r="A54" s="22" t="s">
        <v>318</v>
      </c>
      <c r="B54" s="672">
        <f>IF(countif('EV National Targets'!A:A,A54)&gt;0, 1, (1/3))</f>
        <v>1</v>
      </c>
      <c r="C54" s="672">
        <f>IF(countif('EV Incentives'!A:A,A54)&gt;0, 1, (1/3))</f>
        <v>1</v>
      </c>
      <c r="D54" s="672">
        <f t="array" ref="D54">'Additional Generation For 30% E'!F52</f>
        <v>0.6666666667</v>
      </c>
      <c r="E54" s="763">
        <f t="array" ref="E54">'Grid Reliability'!L52</f>
        <v>1</v>
      </c>
      <c r="F54" s="268">
        <f t="array" ref="F54">'Current Rate of Motorization'!D52</f>
        <v>0.6666666667</v>
      </c>
      <c r="G54" s="153">
        <f t="array" ref="G54">'EV Charging Infrastructure'!D52</f>
        <v>0.67</v>
      </c>
      <c r="H54" s="758" t="str">
        <f t="array" ref="H54">'Electricity Regulatory Index'!E52</f>
        <v>Not Found</v>
      </c>
      <c r="I54" s="760">
        <f t="array" ref="I54">' Utility Cost Recovery'!G52</f>
        <v>0.3333333333</v>
      </c>
      <c r="J54" s="268">
        <f t="array" ref="J54">'Relative Affordability'!H52</f>
        <v>1</v>
      </c>
      <c r="K54" s="483">
        <f t="array" ref="K54">'Access to Finance'!E52</f>
        <v>0.3333333333</v>
      </c>
      <c r="L54" s="262">
        <f>AVERAGE(D54,D54:G54,I54:K54)</f>
        <v>0.6670833333</v>
      </c>
      <c r="M54" s="672">
        <f t="shared" si="1"/>
        <v>0.7411111111</v>
      </c>
      <c r="N54" s="765" t="str">
        <f t="shared" si="2"/>
        <v>High</v>
      </c>
      <c r="O54" s="458"/>
    </row>
    <row r="55">
      <c r="A55" s="22" t="s">
        <v>405</v>
      </c>
      <c r="B55" s="672">
        <f>IF(countif('EV National Targets'!A:A,A55)&gt;0, 1, (1/3))</f>
        <v>0.3333333333</v>
      </c>
      <c r="C55" s="672">
        <f>IF(countif('EV Incentives'!A:A,A55)&gt;0, 1, (1/3))</f>
        <v>1</v>
      </c>
      <c r="D55" s="672">
        <f t="array" ref="D55">'Additional Generation For 30% E'!F53</f>
        <v>0.6666666667</v>
      </c>
      <c r="E55" s="763">
        <f t="array" ref="E55">'Grid Reliability'!L53</f>
        <v>0.3333333333</v>
      </c>
      <c r="F55" s="268">
        <f t="array" ref="F55">'Current Rate of Motorization'!D53</f>
        <v>0.3333333333</v>
      </c>
      <c r="G55" s="153">
        <f t="array" ref="G55">'EV Charging Infrastructure'!D53</f>
        <v>0.33</v>
      </c>
      <c r="H55" s="483">
        <f t="array" ref="H55">'Electricity Regulatory Index'!E53</f>
        <v>1</v>
      </c>
      <c r="I55" s="760">
        <f t="array" ref="I55">' Utility Cost Recovery'!G53</f>
        <v>1</v>
      </c>
      <c r="J55" s="268">
        <f t="array" ref="J55">'Relative Affordability'!H53</f>
        <v>1</v>
      </c>
      <c r="K55" s="483">
        <f t="array" ref="K55">'Access to Finance'!E53</f>
        <v>0.6666666667</v>
      </c>
      <c r="L55" s="262">
        <f>AVERAGE(D55:K55)</f>
        <v>0.66625</v>
      </c>
      <c r="M55" s="672">
        <f t="shared" si="1"/>
        <v>0.6663333333</v>
      </c>
      <c r="N55" s="762" t="str">
        <f t="shared" si="2"/>
        <v>Medium</v>
      </c>
      <c r="O55" s="458"/>
    </row>
    <row r="56">
      <c r="A56" s="22" t="s">
        <v>408</v>
      </c>
      <c r="B56" s="672">
        <f>IF(countif('EV National Targets'!A:A,A56)&gt;0, 1, (1/3))</f>
        <v>0.3333333333</v>
      </c>
      <c r="C56" s="672">
        <f>IF(countif('EV Incentives'!A:A,A56)&gt;0, 1, (1/3))</f>
        <v>1</v>
      </c>
      <c r="D56" s="672">
        <f t="array" ref="D56">'Additional Generation For 30% E'!F54</f>
        <v>1</v>
      </c>
      <c r="E56" s="763">
        <f t="array" ref="E56">'Grid Reliability'!L54</f>
        <v>0.3333333333</v>
      </c>
      <c r="F56" s="268">
        <f t="array" ref="F56">'Current Rate of Motorization'!D54</f>
        <v>0.3333333333</v>
      </c>
      <c r="G56" s="153">
        <f t="array" ref="G56">'EV Charging Infrastructure'!D54</f>
        <v>0.33</v>
      </c>
      <c r="H56" s="483">
        <f t="array" ref="H56">'Electricity Regulatory Index'!E54</f>
        <v>0.6666666667</v>
      </c>
      <c r="I56" s="760">
        <f t="array" ref="I56">' Utility Cost Recovery'!G54</f>
        <v>0.3333333333</v>
      </c>
      <c r="J56" s="268">
        <f t="array" ref="J56">'Relative Affordability'!H54</f>
        <v>1</v>
      </c>
      <c r="K56" s="483">
        <f t="array" ref="K56">'Access to Finance'!E54</f>
        <v>0.3333333333</v>
      </c>
      <c r="L56" s="816">
        <f>AVERAGE(D56:K57)</f>
        <v>0.5204166667</v>
      </c>
      <c r="M56" s="672">
        <f t="shared" si="1"/>
        <v>0.5663333333</v>
      </c>
      <c r="N56" s="759" t="str">
        <f t="shared" si="2"/>
        <v>Medium</v>
      </c>
      <c r="O56" s="458"/>
    </row>
    <row r="57">
      <c r="A57" s="244" t="s">
        <v>320</v>
      </c>
      <c r="B57" s="817">
        <f>IF(countif('EV National Targets'!A:A,A57)&gt;0, 1, (1/3))</f>
        <v>1</v>
      </c>
      <c r="C57" s="817">
        <f>IF(countif('EV Incentives'!A:A,A57)&gt;0, 1, (1/3))</f>
        <v>1</v>
      </c>
      <c r="D57" s="817">
        <f t="array" ref="D57">'Additional Generation For 30% E'!F55</f>
        <v>0.6666666667</v>
      </c>
      <c r="E57" s="818">
        <f t="array" ref="E57">'Grid Reliability'!L55</f>
        <v>0.3333333333</v>
      </c>
      <c r="F57" s="481">
        <f t="array" ref="F57">'Current Rate of Motorization'!D55</f>
        <v>0.3333333333</v>
      </c>
      <c r="G57" s="819">
        <f t="array" ref="G57">'EV Charging Infrastructure'!D55</f>
        <v>0.33</v>
      </c>
      <c r="H57" s="643">
        <f t="array" ref="H57">'Electricity Regulatory Index'!E55</f>
        <v>0.6666666667</v>
      </c>
      <c r="I57" s="820">
        <f t="array" ref="I57">' Utility Cost Recovery'!G55</f>
        <v>0.3333333333</v>
      </c>
      <c r="J57" s="481">
        <f t="array" ref="J57">'Relative Affordability'!H55</f>
        <v>1</v>
      </c>
      <c r="K57" s="643">
        <f t="array" ref="K57">'Access to Finance'!E55</f>
        <v>0.3333333333</v>
      </c>
      <c r="L57" s="346">
        <f>AVERAGE(D57:K57)</f>
        <v>0.4995833333</v>
      </c>
      <c r="M57" s="817">
        <f t="shared" si="1"/>
        <v>0.5996666667</v>
      </c>
      <c r="N57" s="821" t="str">
        <f t="shared" si="2"/>
        <v>Medium</v>
      </c>
      <c r="O57" s="458"/>
    </row>
    <row r="58">
      <c r="A58" s="12"/>
      <c r="B58" s="672"/>
      <c r="C58" s="672"/>
      <c r="D58" s="672"/>
      <c r="E58" s="672"/>
      <c r="F58" s="672"/>
      <c r="G58" s="672"/>
      <c r="H58" s="822"/>
      <c r="I58" s="822"/>
      <c r="J58" s="822"/>
      <c r="K58" s="822"/>
      <c r="L58" s="823"/>
      <c r="M58" s="672"/>
      <c r="N58" s="823"/>
    </row>
    <row r="59">
      <c r="B59" s="570"/>
      <c r="C59" s="672"/>
      <c r="D59" s="570"/>
      <c r="E59" s="672"/>
      <c r="F59" s="268"/>
      <c r="G59" s="672"/>
      <c r="H59" s="824"/>
      <c r="I59" s="822"/>
      <c r="J59" s="323"/>
      <c r="K59" s="822"/>
      <c r="L59" s="823"/>
      <c r="N59" s="823"/>
    </row>
    <row r="60">
      <c r="B60" s="672"/>
      <c r="C60" s="672"/>
      <c r="D60" s="672"/>
      <c r="E60" s="268"/>
      <c r="F60" s="268"/>
      <c r="H60" s="824"/>
      <c r="I60" s="825"/>
      <c r="J60" s="323"/>
      <c r="K60" s="826"/>
      <c r="L60" s="823"/>
    </row>
    <row r="61">
      <c r="A61" s="22"/>
      <c r="B61" s="570"/>
      <c r="C61" s="570"/>
      <c r="D61" s="570"/>
      <c r="E61" s="268"/>
      <c r="F61" s="268"/>
      <c r="H61" s="405"/>
      <c r="I61" s="268"/>
      <c r="K61" s="827"/>
      <c r="L61" s="823"/>
    </row>
    <row r="62">
      <c r="A62" s="22"/>
      <c r="B62" s="12"/>
      <c r="C62" s="12"/>
      <c r="D62" s="12"/>
      <c r="E62" s="828"/>
      <c r="F62" s="268"/>
      <c r="H62" s="405"/>
      <c r="I62" s="268"/>
      <c r="K62" s="827"/>
      <c r="L62" s="823"/>
    </row>
    <row r="63">
      <c r="A63" s="22"/>
      <c r="B63" s="829"/>
      <c r="D63" s="829"/>
      <c r="E63" s="268"/>
      <c r="F63" s="268"/>
      <c r="H63" s="405"/>
      <c r="I63" s="268"/>
      <c r="K63" s="827"/>
      <c r="L63" s="823"/>
    </row>
    <row r="64">
      <c r="A64" s="22"/>
      <c r="D64" s="829"/>
      <c r="E64" s="268"/>
      <c r="F64" s="268"/>
      <c r="H64" s="405"/>
      <c r="I64" s="268"/>
      <c r="K64" s="827"/>
      <c r="L64" s="823"/>
    </row>
    <row r="65">
      <c r="A65" s="22"/>
      <c r="B65" s="829"/>
      <c r="C65" s="672"/>
      <c r="D65" s="829"/>
      <c r="E65" s="268"/>
      <c r="F65" s="268"/>
      <c r="H65" s="405"/>
      <c r="I65" s="268"/>
      <c r="K65" s="827"/>
      <c r="L65" s="823"/>
    </row>
    <row r="66">
      <c r="A66" s="22"/>
      <c r="D66" s="829"/>
      <c r="E66" s="268"/>
      <c r="F66" s="268"/>
      <c r="H66" s="405"/>
      <c r="I66" s="268"/>
      <c r="K66" s="827"/>
      <c r="L66" s="823"/>
    </row>
    <row r="67">
      <c r="A67" s="22"/>
      <c r="B67" s="829"/>
      <c r="C67" s="672"/>
      <c r="D67" s="829"/>
      <c r="E67" s="268"/>
      <c r="F67" s="268"/>
      <c r="H67" s="405"/>
      <c r="I67" s="268"/>
      <c r="K67" s="827"/>
      <c r="L67" s="823"/>
    </row>
    <row r="68">
      <c r="A68" s="22"/>
      <c r="D68" s="829"/>
      <c r="H68" s="405"/>
      <c r="I68" s="268"/>
      <c r="K68" s="827"/>
      <c r="L68" s="823"/>
    </row>
    <row r="69">
      <c r="A69" s="22"/>
      <c r="B69" s="829"/>
      <c r="C69" s="829"/>
      <c r="D69" s="829"/>
      <c r="E69" s="22"/>
      <c r="H69" s="405"/>
      <c r="I69" s="268"/>
      <c r="K69" s="827"/>
      <c r="L69" s="823"/>
    </row>
    <row r="70">
      <c r="A70" s="22"/>
      <c r="D70" s="829"/>
      <c r="E70" s="22"/>
      <c r="F70" s="268"/>
      <c r="H70" s="405"/>
      <c r="I70" s="268"/>
      <c r="K70" s="827"/>
      <c r="L70" s="823"/>
    </row>
    <row r="71">
      <c r="A71" s="22"/>
      <c r="B71" s="829"/>
      <c r="C71" s="672"/>
      <c r="D71" s="829"/>
      <c r="E71" s="268"/>
      <c r="F71" s="268"/>
      <c r="H71" s="405"/>
      <c r="I71" s="268"/>
      <c r="K71" s="827"/>
      <c r="L71" s="823"/>
    </row>
    <row r="72">
      <c r="A72" s="22"/>
      <c r="D72" s="829"/>
      <c r="E72" s="268"/>
      <c r="F72" s="268"/>
      <c r="H72" s="405"/>
      <c r="I72" s="268"/>
      <c r="K72" s="827"/>
      <c r="L72" s="823"/>
    </row>
    <row r="73">
      <c r="A73" s="22"/>
      <c r="B73" s="672"/>
      <c r="C73" s="672"/>
      <c r="D73" s="672"/>
      <c r="E73" s="268"/>
      <c r="F73" s="268"/>
      <c r="H73" s="405"/>
      <c r="I73" s="268"/>
      <c r="K73" s="827"/>
      <c r="L73" s="823"/>
    </row>
    <row r="74">
      <c r="A74" s="22"/>
      <c r="B74" s="672"/>
      <c r="C74" s="672"/>
      <c r="D74" s="672"/>
      <c r="E74" s="268"/>
      <c r="F74" s="268"/>
      <c r="H74" s="405"/>
      <c r="I74" s="268"/>
      <c r="K74" s="827"/>
      <c r="L74" s="823"/>
    </row>
    <row r="75">
      <c r="A75" s="22"/>
      <c r="B75" s="672"/>
      <c r="C75" s="672"/>
      <c r="D75" s="672"/>
      <c r="E75" s="268"/>
      <c r="F75" s="268"/>
      <c r="H75" s="405"/>
      <c r="I75" s="268"/>
      <c r="K75" s="827"/>
      <c r="L75" s="823"/>
    </row>
    <row r="76">
      <c r="A76" s="22"/>
      <c r="B76" s="672"/>
      <c r="C76" s="672"/>
      <c r="D76" s="672"/>
      <c r="E76" s="268"/>
      <c r="F76" s="268"/>
      <c r="H76" s="405"/>
      <c r="I76" s="268"/>
      <c r="K76" s="827"/>
      <c r="L76" s="823"/>
    </row>
    <row r="77">
      <c r="A77" s="22"/>
      <c r="B77" s="672"/>
      <c r="C77" s="672"/>
      <c r="D77" s="672"/>
      <c r="E77" s="268"/>
      <c r="F77" s="268"/>
      <c r="H77" s="405"/>
      <c r="I77" s="268"/>
      <c r="K77" s="827"/>
      <c r="L77" s="823"/>
    </row>
    <row r="78">
      <c r="A78" s="22"/>
      <c r="B78" s="672"/>
      <c r="C78" s="672"/>
      <c r="D78" s="672"/>
      <c r="E78" s="268"/>
      <c r="F78" s="268"/>
      <c r="H78" s="405"/>
      <c r="I78" s="268"/>
      <c r="K78" s="827"/>
      <c r="L78" s="823"/>
    </row>
    <row r="79">
      <c r="A79" s="22"/>
      <c r="B79" s="672"/>
      <c r="C79" s="672"/>
      <c r="D79" s="672"/>
      <c r="E79" s="268"/>
      <c r="F79" s="268"/>
      <c r="H79" s="405"/>
      <c r="I79" s="268"/>
      <c r="K79" s="827"/>
      <c r="L79" s="823"/>
    </row>
    <row r="80">
      <c r="A80" s="22"/>
      <c r="B80" s="672"/>
      <c r="C80" s="672"/>
      <c r="D80" s="672"/>
      <c r="E80" s="268"/>
      <c r="F80" s="268"/>
      <c r="H80" s="405"/>
      <c r="I80" s="268"/>
      <c r="K80" s="827"/>
      <c r="L80" s="823"/>
    </row>
    <row r="81">
      <c r="A81" s="22"/>
      <c r="B81" s="672"/>
      <c r="C81" s="672"/>
      <c r="D81" s="672"/>
      <c r="E81" s="268"/>
      <c r="F81" s="268"/>
      <c r="H81" s="405"/>
      <c r="I81" s="268"/>
      <c r="K81" s="827"/>
      <c r="L81" s="823"/>
    </row>
    <row r="82">
      <c r="A82" s="22"/>
      <c r="B82" s="672"/>
      <c r="C82" s="672"/>
      <c r="D82" s="672"/>
      <c r="E82" s="268"/>
      <c r="F82" s="268"/>
      <c r="H82" s="405"/>
      <c r="I82" s="268"/>
      <c r="K82" s="827"/>
      <c r="L82" s="823"/>
    </row>
    <row r="83">
      <c r="A83" s="22"/>
      <c r="B83" s="672"/>
      <c r="C83" s="672"/>
      <c r="D83" s="672"/>
      <c r="E83" s="268"/>
      <c r="F83" s="268"/>
      <c r="H83" s="405"/>
      <c r="I83" s="268"/>
      <c r="K83" s="827"/>
      <c r="L83" s="823"/>
    </row>
    <row r="84">
      <c r="A84" s="22"/>
      <c r="B84" s="672"/>
      <c r="C84" s="672"/>
      <c r="D84" s="672"/>
      <c r="E84" s="268"/>
      <c r="F84" s="268"/>
      <c r="H84" s="405"/>
      <c r="I84" s="268"/>
      <c r="K84" s="827"/>
      <c r="L84" s="823"/>
    </row>
    <row r="85">
      <c r="A85" s="22"/>
      <c r="B85" s="672"/>
      <c r="C85" s="672"/>
      <c r="D85" s="672"/>
      <c r="E85" s="268"/>
      <c r="F85" s="268"/>
      <c r="H85" s="405"/>
      <c r="I85" s="268"/>
      <c r="K85" s="827"/>
      <c r="L85" s="823"/>
    </row>
    <row r="86">
      <c r="A86" s="22"/>
      <c r="B86" s="672"/>
      <c r="C86" s="672"/>
      <c r="D86" s="672"/>
      <c r="E86" s="268"/>
      <c r="F86" s="268"/>
      <c r="H86" s="405"/>
      <c r="I86" s="268"/>
      <c r="K86" s="827"/>
      <c r="L86" s="823"/>
    </row>
    <row r="87">
      <c r="A87" s="22"/>
      <c r="B87" s="672"/>
      <c r="C87" s="672"/>
      <c r="D87" s="672"/>
      <c r="E87" s="268"/>
      <c r="F87" s="268"/>
      <c r="H87" s="405"/>
      <c r="I87" s="268"/>
      <c r="K87" s="827"/>
      <c r="L87" s="823"/>
    </row>
    <row r="88">
      <c r="A88" s="22"/>
      <c r="B88" s="672"/>
      <c r="C88" s="672"/>
      <c r="D88" s="672"/>
      <c r="E88" s="268"/>
      <c r="F88" s="268"/>
      <c r="H88" s="405"/>
      <c r="I88" s="268"/>
      <c r="K88" s="827"/>
      <c r="L88" s="823"/>
    </row>
    <row r="89">
      <c r="A89" s="22"/>
      <c r="B89" s="672"/>
      <c r="C89" s="672"/>
      <c r="D89" s="672"/>
      <c r="E89" s="268"/>
      <c r="F89" s="268"/>
      <c r="H89" s="405"/>
      <c r="I89" s="268"/>
      <c r="K89" s="827"/>
      <c r="L89" s="823"/>
    </row>
    <row r="90">
      <c r="A90" s="22"/>
      <c r="B90" s="672"/>
      <c r="C90" s="672"/>
      <c r="D90" s="672"/>
      <c r="E90" s="268"/>
      <c r="F90" s="268"/>
      <c r="H90" s="405"/>
      <c r="I90" s="268"/>
      <c r="K90" s="827"/>
      <c r="L90" s="823"/>
    </row>
    <row r="91">
      <c r="A91" s="22"/>
      <c r="B91" s="672"/>
      <c r="C91" s="672"/>
      <c r="D91" s="672"/>
      <c r="E91" s="268"/>
      <c r="F91" s="268"/>
      <c r="H91" s="405"/>
      <c r="I91" s="268"/>
      <c r="K91" s="827"/>
      <c r="L91" s="823"/>
    </row>
    <row r="92">
      <c r="A92" s="22"/>
      <c r="B92" s="672"/>
      <c r="C92" s="672"/>
      <c r="D92" s="672"/>
      <c r="E92" s="268"/>
      <c r="F92" s="268"/>
      <c r="H92" s="405"/>
      <c r="I92" s="268"/>
      <c r="K92" s="827"/>
      <c r="L92" s="823"/>
    </row>
    <row r="93">
      <c r="A93" s="22"/>
      <c r="B93" s="672"/>
      <c r="C93" s="672"/>
      <c r="D93" s="672"/>
      <c r="E93" s="268"/>
      <c r="F93" s="268"/>
      <c r="H93" s="405"/>
      <c r="I93" s="268"/>
      <c r="K93" s="827"/>
      <c r="L93" s="823"/>
    </row>
    <row r="94">
      <c r="A94" s="22"/>
      <c r="B94" s="672"/>
      <c r="C94" s="672"/>
      <c r="D94" s="672"/>
      <c r="E94" s="268"/>
      <c r="F94" s="268"/>
      <c r="H94" s="405"/>
      <c r="I94" s="268"/>
      <c r="K94" s="827"/>
      <c r="L94" s="823"/>
    </row>
    <row r="95">
      <c r="A95" s="22"/>
      <c r="B95" s="672"/>
      <c r="C95" s="672"/>
      <c r="D95" s="672"/>
      <c r="E95" s="268"/>
      <c r="F95" s="268"/>
      <c r="H95" s="405"/>
      <c r="I95" s="268"/>
      <c r="K95" s="827"/>
      <c r="L95" s="823"/>
    </row>
    <row r="96">
      <c r="A96" s="22"/>
      <c r="B96" s="672"/>
      <c r="C96" s="672"/>
      <c r="D96" s="672"/>
      <c r="E96" s="268"/>
      <c r="F96" s="268"/>
      <c r="H96" s="405"/>
      <c r="I96" s="268"/>
      <c r="K96" s="827"/>
      <c r="L96" s="823"/>
    </row>
    <row r="97">
      <c r="A97" s="22"/>
      <c r="B97" s="672"/>
      <c r="C97" s="672"/>
      <c r="D97" s="672"/>
      <c r="E97" s="268"/>
      <c r="F97" s="268"/>
      <c r="H97" s="405"/>
      <c r="I97" s="268"/>
      <c r="K97" s="827"/>
      <c r="L97" s="823"/>
    </row>
    <row r="98">
      <c r="A98" s="22"/>
      <c r="B98" s="672"/>
      <c r="C98" s="672"/>
      <c r="D98" s="672"/>
      <c r="E98" s="268"/>
      <c r="F98" s="268"/>
      <c r="H98" s="405"/>
      <c r="I98" s="268"/>
      <c r="K98" s="827"/>
      <c r="L98" s="823"/>
    </row>
    <row r="99">
      <c r="A99" s="22"/>
      <c r="B99" s="672"/>
      <c r="C99" s="672"/>
      <c r="D99" s="672"/>
      <c r="E99" s="268"/>
      <c r="F99" s="268"/>
      <c r="H99" s="405"/>
      <c r="I99" s="268"/>
      <c r="K99" s="827"/>
      <c r="L99" s="823"/>
    </row>
    <row r="100">
      <c r="A100" s="22"/>
      <c r="B100" s="672"/>
      <c r="C100" s="672"/>
      <c r="D100" s="672"/>
      <c r="E100" s="268"/>
      <c r="F100" s="268"/>
      <c r="H100" s="405"/>
      <c r="I100" s="268"/>
      <c r="K100" s="827"/>
      <c r="L100" s="823"/>
    </row>
    <row r="101">
      <c r="A101" s="22"/>
      <c r="B101" s="672"/>
      <c r="C101" s="672"/>
      <c r="D101" s="672"/>
      <c r="E101" s="268"/>
      <c r="F101" s="268"/>
      <c r="H101" s="405"/>
      <c r="I101" s="268"/>
      <c r="K101" s="827"/>
      <c r="L101" s="823"/>
    </row>
    <row r="102">
      <c r="A102" s="22"/>
      <c r="B102" s="672"/>
      <c r="C102" s="672"/>
      <c r="D102" s="672"/>
      <c r="E102" s="268"/>
      <c r="F102" s="268"/>
      <c r="H102" s="405"/>
      <c r="I102" s="268"/>
      <c r="K102" s="827"/>
      <c r="L102" s="823"/>
    </row>
    <row r="103">
      <c r="A103" s="22"/>
      <c r="B103" s="672"/>
      <c r="C103" s="672"/>
      <c r="D103" s="672"/>
      <c r="E103" s="268"/>
      <c r="F103" s="268"/>
      <c r="H103" s="405"/>
      <c r="I103" s="268"/>
      <c r="K103" s="827"/>
      <c r="L103" s="823"/>
    </row>
    <row r="104">
      <c r="A104" s="22"/>
      <c r="B104" s="672"/>
      <c r="C104" s="672"/>
      <c r="D104" s="672"/>
      <c r="E104" s="268"/>
      <c r="F104" s="268"/>
      <c r="H104" s="405"/>
      <c r="I104" s="268"/>
      <c r="K104" s="827"/>
      <c r="L104" s="823"/>
    </row>
    <row r="105">
      <c r="A105" s="22"/>
      <c r="B105" s="672"/>
      <c r="C105" s="672"/>
      <c r="D105" s="672"/>
      <c r="E105" s="268"/>
      <c r="F105" s="268"/>
      <c r="H105" s="405"/>
      <c r="I105" s="268"/>
      <c r="K105" s="827"/>
      <c r="L105" s="823"/>
    </row>
    <row r="106">
      <c r="A106" s="22"/>
      <c r="B106" s="672"/>
      <c r="C106" s="672"/>
      <c r="D106" s="672"/>
      <c r="E106" s="268"/>
      <c r="F106" s="268"/>
      <c r="H106" s="405"/>
      <c r="I106" s="268"/>
      <c r="K106" s="827"/>
      <c r="L106" s="823"/>
    </row>
    <row r="107">
      <c r="A107" s="22"/>
      <c r="B107" s="672"/>
      <c r="C107" s="672"/>
      <c r="D107" s="672"/>
      <c r="E107" s="268"/>
      <c r="F107" s="268"/>
      <c r="H107" s="405"/>
      <c r="I107" s="268"/>
      <c r="K107" s="827"/>
      <c r="L107" s="823"/>
    </row>
    <row r="108">
      <c r="A108" s="22"/>
      <c r="B108" s="672"/>
      <c r="C108" s="672"/>
      <c r="D108" s="672"/>
      <c r="E108" s="268"/>
      <c r="F108" s="268"/>
      <c r="H108" s="405"/>
      <c r="I108" s="268"/>
      <c r="K108" s="827"/>
      <c r="L108" s="823"/>
    </row>
    <row r="109">
      <c r="A109" s="22"/>
      <c r="B109" s="672"/>
      <c r="C109" s="672"/>
      <c r="D109" s="672"/>
      <c r="E109" s="268"/>
      <c r="F109" s="268"/>
      <c r="H109" s="405"/>
      <c r="I109" s="268"/>
      <c r="K109" s="827"/>
      <c r="L109" s="823"/>
    </row>
    <row r="110">
      <c r="A110" s="22"/>
      <c r="B110" s="672"/>
      <c r="C110" s="672"/>
      <c r="D110" s="672"/>
      <c r="E110" s="268"/>
      <c r="F110" s="268"/>
      <c r="H110" s="405"/>
      <c r="I110" s="268"/>
      <c r="K110" s="827"/>
      <c r="L110" s="823"/>
    </row>
    <row r="111">
      <c r="A111" s="22"/>
      <c r="B111" s="672"/>
      <c r="C111" s="672"/>
      <c r="D111" s="672"/>
      <c r="E111" s="268"/>
      <c r="F111" s="268"/>
      <c r="H111" s="405"/>
      <c r="I111" s="268"/>
      <c r="K111" s="827"/>
      <c r="L111" s="823"/>
    </row>
    <row r="112">
      <c r="A112" s="22"/>
      <c r="B112" s="672"/>
      <c r="C112" s="672"/>
      <c r="D112" s="672"/>
      <c r="E112" s="268"/>
      <c r="F112" s="268"/>
      <c r="H112" s="405"/>
      <c r="I112" s="268"/>
      <c r="K112" s="827"/>
      <c r="L112" s="823"/>
    </row>
    <row r="113">
      <c r="A113" s="22"/>
      <c r="B113" s="672"/>
      <c r="C113" s="672"/>
      <c r="D113" s="672"/>
      <c r="E113" s="268"/>
      <c r="F113" s="268"/>
      <c r="H113" s="405"/>
      <c r="I113" s="268"/>
      <c r="K113" s="827"/>
      <c r="L113" s="823"/>
    </row>
    <row r="114">
      <c r="A114" s="22"/>
      <c r="B114" s="672"/>
      <c r="C114" s="672"/>
      <c r="D114" s="672"/>
      <c r="E114" s="268"/>
      <c r="F114" s="268"/>
      <c r="H114" s="405"/>
      <c r="I114" s="268"/>
      <c r="K114" s="827"/>
      <c r="L114" s="823"/>
    </row>
    <row r="115">
      <c r="A115" s="22"/>
      <c r="B115" s="672"/>
      <c r="C115" s="672"/>
      <c r="D115" s="672"/>
      <c r="E115" s="268"/>
      <c r="F115" s="268"/>
      <c r="H115" s="405"/>
      <c r="I115" s="268"/>
      <c r="K115" s="827"/>
      <c r="L115" s="823"/>
    </row>
    <row r="116">
      <c r="A116" s="22"/>
      <c r="B116" s="672"/>
      <c r="C116" s="672"/>
      <c r="D116" s="672"/>
      <c r="E116" s="268"/>
      <c r="F116" s="268"/>
      <c r="H116" s="405"/>
      <c r="I116" s="268"/>
      <c r="K116" s="827"/>
      <c r="L116" s="823"/>
    </row>
    <row r="117">
      <c r="A117" s="22"/>
      <c r="B117" s="570"/>
      <c r="C117" s="570"/>
      <c r="D117" s="672"/>
      <c r="E117" s="268"/>
      <c r="F117" s="268"/>
      <c r="H117" s="405"/>
      <c r="I117" s="268"/>
      <c r="K117" s="827"/>
      <c r="L117" s="823"/>
    </row>
    <row r="118">
      <c r="A118" s="22"/>
      <c r="B118" s="570"/>
      <c r="C118" s="570"/>
      <c r="D118" s="570"/>
      <c r="E118" s="268"/>
      <c r="F118" s="268"/>
      <c r="H118" s="405"/>
      <c r="I118" s="268"/>
      <c r="K118" s="827"/>
      <c r="L118" s="823"/>
    </row>
    <row r="119">
      <c r="A119" s="22"/>
      <c r="B119" s="570"/>
      <c r="C119" s="570"/>
      <c r="D119" s="570"/>
      <c r="E119" s="268"/>
      <c r="F119" s="268"/>
      <c r="H119" s="405"/>
      <c r="I119" s="268"/>
      <c r="K119" s="827"/>
      <c r="L119" s="823"/>
    </row>
    <row r="120">
      <c r="A120" s="22"/>
      <c r="B120" s="570"/>
      <c r="C120" s="570"/>
      <c r="D120" s="570"/>
      <c r="E120" s="268"/>
      <c r="F120" s="268"/>
      <c r="H120" s="405"/>
      <c r="I120" s="268"/>
      <c r="K120" s="827"/>
      <c r="L120" s="823"/>
    </row>
    <row r="121">
      <c r="A121" s="22"/>
      <c r="B121" s="570"/>
      <c r="C121" s="570"/>
      <c r="D121" s="570"/>
      <c r="E121" s="268"/>
      <c r="F121" s="268"/>
      <c r="H121" s="405"/>
      <c r="I121" s="268"/>
      <c r="K121" s="827"/>
      <c r="L121" s="823"/>
    </row>
    <row r="122">
      <c r="A122" s="22"/>
      <c r="B122" s="570"/>
      <c r="C122" s="570"/>
      <c r="D122" s="570"/>
      <c r="E122" s="268"/>
      <c r="F122" s="268"/>
      <c r="H122" s="405"/>
      <c r="I122" s="268"/>
      <c r="K122" s="827"/>
      <c r="L122" s="823"/>
    </row>
    <row r="123">
      <c r="A123" s="22"/>
      <c r="B123" s="570"/>
      <c r="C123" s="570"/>
      <c r="D123" s="570"/>
      <c r="E123" s="268"/>
      <c r="F123" s="268"/>
      <c r="H123" s="405"/>
      <c r="I123" s="268"/>
      <c r="K123" s="827"/>
      <c r="L123" s="823"/>
    </row>
    <row r="124">
      <c r="A124" s="22"/>
      <c r="B124" s="570"/>
      <c r="C124" s="570"/>
      <c r="D124" s="570"/>
      <c r="E124" s="268"/>
      <c r="F124" s="268"/>
      <c r="H124" s="405"/>
      <c r="I124" s="268"/>
      <c r="K124" s="827"/>
      <c r="L124" s="823"/>
    </row>
    <row r="125">
      <c r="A125" s="22"/>
      <c r="B125" s="570"/>
      <c r="C125" s="570"/>
      <c r="D125" s="570"/>
      <c r="E125" s="268"/>
      <c r="F125" s="268"/>
      <c r="H125" s="405"/>
      <c r="I125" s="268"/>
      <c r="K125" s="827"/>
      <c r="L125" s="823"/>
    </row>
    <row r="126">
      <c r="A126" s="22"/>
      <c r="B126" s="570"/>
      <c r="C126" s="570"/>
      <c r="D126" s="570"/>
      <c r="E126" s="268"/>
      <c r="F126" s="268"/>
      <c r="H126" s="405"/>
      <c r="I126" s="268"/>
      <c r="K126" s="827"/>
      <c r="L126" s="823"/>
    </row>
    <row r="127">
      <c r="A127" s="22"/>
      <c r="B127" s="570"/>
      <c r="C127" s="570"/>
      <c r="D127" s="570"/>
      <c r="E127" s="268"/>
      <c r="F127" s="268"/>
      <c r="H127" s="405"/>
      <c r="I127" s="268"/>
      <c r="K127" s="827"/>
      <c r="L127" s="823"/>
    </row>
    <row r="128">
      <c r="A128" s="22"/>
      <c r="B128" s="570"/>
      <c r="C128" s="570"/>
      <c r="D128" s="570"/>
      <c r="E128" s="268"/>
      <c r="F128" s="268"/>
      <c r="H128" s="405"/>
      <c r="I128" s="268"/>
      <c r="K128" s="827"/>
      <c r="L128" s="823"/>
    </row>
    <row r="129">
      <c r="A129" s="22"/>
      <c r="B129" s="570"/>
      <c r="C129" s="570"/>
      <c r="D129" s="570"/>
      <c r="E129" s="268"/>
      <c r="F129" s="268"/>
      <c r="H129" s="405"/>
      <c r="I129" s="268"/>
      <c r="K129" s="827"/>
      <c r="L129" s="823"/>
    </row>
    <row r="130">
      <c r="A130" s="22"/>
      <c r="B130" s="570"/>
      <c r="C130" s="570"/>
      <c r="D130" s="570"/>
      <c r="E130" s="268"/>
      <c r="F130" s="268"/>
      <c r="H130" s="405"/>
      <c r="I130" s="268"/>
      <c r="K130" s="827"/>
      <c r="L130" s="823"/>
    </row>
    <row r="131">
      <c r="A131" s="22"/>
      <c r="B131" s="570"/>
      <c r="C131" s="570"/>
      <c r="D131" s="570"/>
      <c r="E131" s="268"/>
      <c r="F131" s="268"/>
      <c r="H131" s="405"/>
      <c r="I131" s="268"/>
      <c r="K131" s="827"/>
      <c r="L131" s="823"/>
    </row>
    <row r="132">
      <c r="A132" s="22"/>
      <c r="B132" s="570"/>
      <c r="C132" s="570"/>
      <c r="D132" s="570"/>
      <c r="E132" s="268"/>
      <c r="F132" s="268"/>
      <c r="H132" s="405"/>
      <c r="I132" s="268"/>
      <c r="K132" s="827"/>
      <c r="L132" s="823"/>
    </row>
    <row r="133">
      <c r="A133" s="22"/>
      <c r="B133" s="570"/>
      <c r="C133" s="570"/>
      <c r="D133" s="570"/>
      <c r="E133" s="268"/>
      <c r="F133" s="268"/>
      <c r="H133" s="405"/>
      <c r="I133" s="268"/>
      <c r="K133" s="827"/>
      <c r="L133" s="823"/>
    </row>
    <row r="134">
      <c r="A134" s="22"/>
      <c r="B134" s="570"/>
      <c r="C134" s="570"/>
      <c r="D134" s="570"/>
      <c r="E134" s="268"/>
      <c r="F134" s="268"/>
      <c r="H134" s="405"/>
      <c r="I134" s="268"/>
      <c r="K134" s="827"/>
      <c r="L134" s="823"/>
    </row>
    <row r="135">
      <c r="A135" s="22"/>
      <c r="B135" s="570"/>
      <c r="C135" s="570"/>
      <c r="D135" s="570"/>
      <c r="E135" s="268"/>
      <c r="F135" s="268"/>
      <c r="H135" s="405"/>
      <c r="I135" s="268"/>
      <c r="K135" s="827"/>
      <c r="L135" s="823"/>
    </row>
    <row r="136">
      <c r="A136" s="22"/>
      <c r="B136" s="570"/>
      <c r="C136" s="570"/>
      <c r="D136" s="570"/>
      <c r="E136" s="268"/>
      <c r="F136" s="268"/>
      <c r="H136" s="405"/>
      <c r="I136" s="268"/>
      <c r="K136" s="827"/>
      <c r="L136" s="823"/>
    </row>
    <row r="137">
      <c r="A137" s="22"/>
      <c r="B137" s="570"/>
      <c r="C137" s="570"/>
      <c r="D137" s="570"/>
      <c r="E137" s="268"/>
      <c r="F137" s="268"/>
      <c r="H137" s="405"/>
      <c r="I137" s="268"/>
      <c r="K137" s="827"/>
      <c r="L137" s="823"/>
    </row>
    <row r="138">
      <c r="A138" s="22"/>
      <c r="B138" s="570"/>
      <c r="C138" s="570"/>
      <c r="D138" s="570"/>
      <c r="E138" s="268"/>
      <c r="F138" s="268"/>
      <c r="H138" s="405"/>
      <c r="I138" s="268"/>
      <c r="K138" s="827"/>
      <c r="L138" s="823"/>
    </row>
    <row r="139">
      <c r="A139" s="22"/>
      <c r="B139" s="570"/>
      <c r="C139" s="570"/>
      <c r="D139" s="570"/>
      <c r="E139" s="268"/>
      <c r="F139" s="268"/>
      <c r="H139" s="405"/>
      <c r="I139" s="268"/>
      <c r="K139" s="827"/>
      <c r="L139" s="823"/>
    </row>
    <row r="140">
      <c r="A140" s="22"/>
      <c r="B140" s="570"/>
      <c r="C140" s="570"/>
      <c r="D140" s="570"/>
      <c r="E140" s="268"/>
      <c r="F140" s="268"/>
      <c r="H140" s="405"/>
      <c r="I140" s="268"/>
      <c r="K140" s="827"/>
      <c r="L140" s="823"/>
    </row>
    <row r="141">
      <c r="A141" s="22"/>
      <c r="B141" s="570"/>
      <c r="C141" s="570"/>
      <c r="D141" s="570"/>
      <c r="E141" s="268"/>
      <c r="F141" s="268"/>
      <c r="H141" s="405"/>
      <c r="I141" s="268"/>
      <c r="K141" s="827"/>
      <c r="L141" s="823"/>
    </row>
    <row r="142">
      <c r="A142" s="22"/>
      <c r="B142" s="570"/>
      <c r="C142" s="570"/>
      <c r="D142" s="570"/>
      <c r="E142" s="268"/>
      <c r="F142" s="268"/>
      <c r="H142" s="405"/>
      <c r="I142" s="268"/>
      <c r="K142" s="827"/>
      <c r="L142" s="823"/>
    </row>
    <row r="143">
      <c r="A143" s="22"/>
      <c r="B143" s="570"/>
      <c r="C143" s="570"/>
      <c r="D143" s="570"/>
      <c r="E143" s="268"/>
      <c r="F143" s="268"/>
      <c r="H143" s="405"/>
      <c r="I143" s="268"/>
      <c r="K143" s="827"/>
      <c r="L143" s="823"/>
    </row>
    <row r="144">
      <c r="A144" s="22"/>
      <c r="B144" s="570"/>
      <c r="C144" s="570"/>
      <c r="D144" s="570"/>
      <c r="E144" s="268"/>
      <c r="F144" s="268"/>
      <c r="H144" s="405"/>
      <c r="I144" s="268"/>
      <c r="K144" s="827"/>
      <c r="L144" s="823"/>
    </row>
    <row r="145">
      <c r="A145" s="22"/>
      <c r="B145" s="570"/>
      <c r="C145" s="570"/>
      <c r="D145" s="570"/>
      <c r="E145" s="268"/>
      <c r="F145" s="268"/>
      <c r="H145" s="405"/>
      <c r="I145" s="268"/>
      <c r="K145" s="827"/>
      <c r="L145" s="823"/>
    </row>
    <row r="146">
      <c r="A146" s="22"/>
      <c r="B146" s="570"/>
      <c r="C146" s="570"/>
      <c r="D146" s="570"/>
      <c r="E146" s="268"/>
      <c r="F146" s="268"/>
      <c r="H146" s="405"/>
      <c r="I146" s="268"/>
      <c r="K146" s="827"/>
      <c r="L146" s="823"/>
    </row>
    <row r="147">
      <c r="A147" s="22"/>
      <c r="B147" s="570"/>
      <c r="C147" s="570"/>
      <c r="D147" s="570"/>
      <c r="E147" s="268"/>
      <c r="F147" s="268"/>
      <c r="H147" s="405"/>
      <c r="I147" s="268"/>
      <c r="K147" s="827"/>
      <c r="L147" s="823"/>
    </row>
    <row r="148">
      <c r="A148" s="22"/>
      <c r="B148" s="570"/>
      <c r="C148" s="570"/>
      <c r="D148" s="570"/>
      <c r="E148" s="268"/>
      <c r="F148" s="268"/>
      <c r="H148" s="405"/>
      <c r="I148" s="268"/>
      <c r="K148" s="827"/>
      <c r="L148" s="823"/>
    </row>
    <row r="149">
      <c r="A149" s="22"/>
      <c r="B149" s="570"/>
      <c r="C149" s="570"/>
      <c r="D149" s="570"/>
      <c r="E149" s="268"/>
      <c r="F149" s="268"/>
      <c r="H149" s="405"/>
      <c r="I149" s="268"/>
      <c r="K149" s="827"/>
      <c r="L149" s="823"/>
    </row>
    <row r="150">
      <c r="A150" s="22"/>
      <c r="B150" s="570"/>
      <c r="C150" s="570"/>
      <c r="D150" s="570"/>
      <c r="E150" s="268"/>
      <c r="F150" s="268"/>
      <c r="H150" s="405"/>
      <c r="I150" s="268"/>
      <c r="K150" s="827"/>
      <c r="L150" s="823"/>
    </row>
    <row r="151">
      <c r="A151" s="22"/>
      <c r="B151" s="570"/>
      <c r="C151" s="570"/>
      <c r="D151" s="570"/>
      <c r="E151" s="268"/>
      <c r="F151" s="268"/>
      <c r="H151" s="405"/>
      <c r="I151" s="268"/>
      <c r="K151" s="827"/>
      <c r="L151" s="823"/>
    </row>
    <row r="152">
      <c r="A152" s="22"/>
      <c r="B152" s="570"/>
      <c r="C152" s="570"/>
      <c r="D152" s="570"/>
      <c r="E152" s="268"/>
      <c r="F152" s="268"/>
      <c r="H152" s="405"/>
      <c r="I152" s="268"/>
      <c r="K152" s="827"/>
      <c r="L152" s="823"/>
    </row>
    <row r="153">
      <c r="A153" s="22"/>
      <c r="B153" s="570"/>
      <c r="C153" s="570"/>
      <c r="D153" s="570"/>
      <c r="E153" s="268"/>
      <c r="F153" s="268"/>
      <c r="H153" s="405"/>
      <c r="I153" s="268"/>
      <c r="K153" s="827"/>
      <c r="L153" s="823"/>
    </row>
    <row r="154">
      <c r="A154" s="22"/>
      <c r="B154" s="570"/>
      <c r="C154" s="570"/>
      <c r="D154" s="570"/>
      <c r="E154" s="268"/>
      <c r="F154" s="268"/>
      <c r="H154" s="405"/>
      <c r="I154" s="268"/>
      <c r="K154" s="827"/>
      <c r="L154" s="823"/>
    </row>
    <row r="155">
      <c r="A155" s="22"/>
      <c r="B155" s="570"/>
      <c r="C155" s="570"/>
      <c r="D155" s="570"/>
      <c r="E155" s="268"/>
      <c r="F155" s="268"/>
      <c r="H155" s="405"/>
      <c r="I155" s="268"/>
      <c r="K155" s="827"/>
      <c r="L155" s="823"/>
    </row>
    <row r="156">
      <c r="A156" s="22"/>
      <c r="B156" s="570"/>
      <c r="C156" s="570"/>
      <c r="D156" s="570"/>
      <c r="E156" s="268"/>
      <c r="F156" s="268"/>
      <c r="H156" s="405"/>
      <c r="I156" s="268"/>
      <c r="K156" s="827"/>
      <c r="L156" s="823"/>
    </row>
    <row r="157">
      <c r="A157" s="22"/>
      <c r="B157" s="570"/>
      <c r="C157" s="570"/>
      <c r="D157" s="570"/>
      <c r="E157" s="268"/>
      <c r="F157" s="268"/>
      <c r="H157" s="405"/>
      <c r="I157" s="268"/>
      <c r="K157" s="827"/>
      <c r="L157" s="823"/>
    </row>
    <row r="158">
      <c r="A158" s="22"/>
      <c r="B158" s="570"/>
      <c r="C158" s="570"/>
      <c r="D158" s="570"/>
      <c r="E158" s="268"/>
      <c r="F158" s="268"/>
      <c r="H158" s="405"/>
      <c r="I158" s="268"/>
      <c r="K158" s="827"/>
      <c r="L158" s="823"/>
    </row>
    <row r="159">
      <c r="A159" s="22"/>
      <c r="B159" s="570"/>
      <c r="C159" s="570"/>
      <c r="D159" s="570"/>
      <c r="E159" s="268"/>
      <c r="F159" s="268"/>
      <c r="H159" s="405"/>
      <c r="I159" s="268"/>
      <c r="K159" s="827"/>
      <c r="L159" s="823"/>
    </row>
    <row r="160">
      <c r="A160" s="22"/>
      <c r="B160" s="570"/>
      <c r="C160" s="570"/>
      <c r="D160" s="570"/>
      <c r="E160" s="268"/>
      <c r="F160" s="268"/>
      <c r="H160" s="405"/>
      <c r="I160" s="268"/>
      <c r="K160" s="827"/>
      <c r="L160" s="823"/>
    </row>
    <row r="161">
      <c r="A161" s="22"/>
      <c r="B161" s="570"/>
      <c r="C161" s="570"/>
      <c r="D161" s="570"/>
      <c r="E161" s="268"/>
      <c r="F161" s="268"/>
      <c r="H161" s="405"/>
      <c r="I161" s="268"/>
      <c r="K161" s="827"/>
      <c r="L161" s="823"/>
    </row>
    <row r="162">
      <c r="A162" s="22"/>
      <c r="B162" s="570"/>
      <c r="C162" s="570"/>
      <c r="D162" s="570"/>
      <c r="E162" s="268"/>
      <c r="F162" s="268"/>
      <c r="H162" s="405"/>
      <c r="I162" s="268"/>
      <c r="K162" s="827"/>
      <c r="L162" s="823"/>
    </row>
    <row r="163">
      <c r="A163" s="22"/>
      <c r="B163" s="570"/>
      <c r="C163" s="570"/>
      <c r="D163" s="570"/>
      <c r="E163" s="268"/>
      <c r="F163" s="268"/>
      <c r="H163" s="405"/>
      <c r="I163" s="268"/>
      <c r="K163" s="827"/>
      <c r="L163" s="823"/>
    </row>
    <row r="164">
      <c r="A164" s="22"/>
      <c r="B164" s="570"/>
      <c r="C164" s="570"/>
      <c r="D164" s="570"/>
      <c r="E164" s="268"/>
      <c r="F164" s="268"/>
      <c r="H164" s="405"/>
      <c r="I164" s="268"/>
      <c r="K164" s="827"/>
      <c r="L164" s="823"/>
    </row>
    <row r="165">
      <c r="A165" s="22"/>
      <c r="B165" s="570"/>
      <c r="C165" s="570"/>
      <c r="D165" s="570"/>
      <c r="E165" s="268"/>
      <c r="F165" s="268"/>
      <c r="H165" s="405"/>
      <c r="I165" s="268"/>
      <c r="K165" s="827"/>
      <c r="L165" s="823"/>
    </row>
    <row r="166">
      <c r="A166" s="22"/>
      <c r="B166" s="570"/>
      <c r="C166" s="570"/>
      <c r="D166" s="570"/>
      <c r="E166" s="268"/>
      <c r="F166" s="268"/>
      <c r="H166" s="405"/>
      <c r="I166" s="268"/>
      <c r="K166" s="827"/>
      <c r="L166" s="823"/>
    </row>
    <row r="167">
      <c r="A167" s="22"/>
      <c r="B167" s="570"/>
      <c r="C167" s="570"/>
      <c r="D167" s="570"/>
      <c r="E167" s="268"/>
      <c r="F167" s="268"/>
      <c r="H167" s="405"/>
      <c r="I167" s="268"/>
      <c r="K167" s="827"/>
      <c r="L167" s="823"/>
    </row>
    <row r="168">
      <c r="A168" s="22"/>
      <c r="B168" s="570"/>
      <c r="C168" s="570"/>
      <c r="D168" s="570"/>
      <c r="E168" s="268"/>
      <c r="F168" s="268"/>
      <c r="H168" s="405"/>
      <c r="I168" s="268"/>
      <c r="K168" s="827"/>
      <c r="L168" s="823"/>
    </row>
    <row r="169">
      <c r="A169" s="22"/>
      <c r="B169" s="570"/>
      <c r="C169" s="570"/>
      <c r="D169" s="570"/>
      <c r="E169" s="268"/>
      <c r="F169" s="268"/>
      <c r="H169" s="405"/>
      <c r="I169" s="268"/>
      <c r="K169" s="827"/>
      <c r="L169" s="823"/>
    </row>
    <row r="170">
      <c r="A170" s="22"/>
      <c r="B170" s="570"/>
      <c r="C170" s="570"/>
      <c r="D170" s="570"/>
      <c r="E170" s="268"/>
      <c r="F170" s="268"/>
      <c r="H170" s="405"/>
      <c r="I170" s="268"/>
      <c r="K170" s="827"/>
      <c r="L170" s="823"/>
    </row>
    <row r="171">
      <c r="A171" s="22"/>
      <c r="B171" s="570"/>
      <c r="C171" s="570"/>
      <c r="D171" s="570"/>
      <c r="E171" s="268"/>
      <c r="F171" s="268"/>
      <c r="H171" s="405"/>
      <c r="I171" s="268"/>
      <c r="K171" s="827"/>
      <c r="L171" s="823"/>
    </row>
    <row r="172">
      <c r="A172" s="22"/>
      <c r="B172" s="570"/>
      <c r="C172" s="570"/>
      <c r="D172" s="570"/>
      <c r="E172" s="268"/>
      <c r="F172" s="268"/>
      <c r="H172" s="405"/>
      <c r="I172" s="268"/>
      <c r="K172" s="827"/>
      <c r="L172" s="823"/>
    </row>
    <row r="173">
      <c r="A173" s="22"/>
      <c r="B173" s="570"/>
      <c r="C173" s="570"/>
      <c r="D173" s="570"/>
      <c r="E173" s="268"/>
      <c r="F173" s="268"/>
      <c r="H173" s="405"/>
      <c r="I173" s="268"/>
      <c r="K173" s="827"/>
      <c r="L173" s="823"/>
    </row>
    <row r="174">
      <c r="A174" s="22"/>
      <c r="B174" s="570"/>
      <c r="C174" s="570"/>
      <c r="D174" s="570"/>
      <c r="E174" s="268"/>
      <c r="F174" s="268"/>
      <c r="H174" s="405"/>
      <c r="I174" s="268"/>
      <c r="K174" s="827"/>
      <c r="L174" s="823"/>
    </row>
    <row r="175">
      <c r="A175" s="22"/>
      <c r="B175" s="570"/>
      <c r="C175" s="570"/>
      <c r="D175" s="570"/>
      <c r="E175" s="268"/>
      <c r="F175" s="268"/>
      <c r="H175" s="405"/>
      <c r="I175" s="268"/>
      <c r="K175" s="827"/>
      <c r="L175" s="823"/>
    </row>
    <row r="176">
      <c r="A176" s="22"/>
      <c r="B176" s="570"/>
      <c r="C176" s="570"/>
      <c r="D176" s="570"/>
      <c r="E176" s="268"/>
      <c r="F176" s="268"/>
      <c r="H176" s="405"/>
      <c r="I176" s="268"/>
      <c r="K176" s="827"/>
      <c r="L176" s="823"/>
    </row>
    <row r="177">
      <c r="A177" s="22"/>
      <c r="B177" s="570"/>
      <c r="C177" s="570"/>
      <c r="D177" s="570"/>
      <c r="E177" s="268"/>
      <c r="F177" s="268"/>
      <c r="H177" s="405"/>
      <c r="I177" s="268"/>
      <c r="K177" s="827"/>
      <c r="L177" s="823"/>
    </row>
    <row r="178">
      <c r="A178" s="22"/>
      <c r="B178" s="570"/>
      <c r="C178" s="570"/>
      <c r="D178" s="570"/>
      <c r="E178" s="268"/>
      <c r="F178" s="268"/>
      <c r="H178" s="405"/>
      <c r="I178" s="268"/>
      <c r="K178" s="827"/>
      <c r="L178" s="823"/>
    </row>
    <row r="179">
      <c r="A179" s="22"/>
      <c r="B179" s="570"/>
      <c r="C179" s="570"/>
      <c r="D179" s="570"/>
      <c r="E179" s="268"/>
      <c r="F179" s="268"/>
      <c r="H179" s="405"/>
      <c r="I179" s="268"/>
      <c r="K179" s="827"/>
      <c r="L179" s="823"/>
    </row>
    <row r="180">
      <c r="A180" s="22"/>
      <c r="B180" s="570"/>
      <c r="C180" s="570"/>
      <c r="D180" s="570"/>
      <c r="E180" s="268"/>
      <c r="F180" s="268"/>
      <c r="H180" s="405"/>
      <c r="I180" s="268"/>
      <c r="K180" s="827"/>
      <c r="L180" s="823"/>
    </row>
    <row r="181">
      <c r="A181" s="22"/>
      <c r="B181" s="570"/>
      <c r="C181" s="570"/>
      <c r="D181" s="570"/>
      <c r="E181" s="268"/>
      <c r="F181" s="268"/>
      <c r="H181" s="405"/>
      <c r="I181" s="268"/>
      <c r="K181" s="827"/>
      <c r="L181" s="823"/>
    </row>
    <row r="182">
      <c r="A182" s="22"/>
      <c r="B182" s="570"/>
      <c r="C182" s="570"/>
      <c r="D182" s="570"/>
      <c r="E182" s="268"/>
      <c r="F182" s="268"/>
      <c r="H182" s="405"/>
      <c r="I182" s="268"/>
      <c r="K182" s="827"/>
      <c r="L182" s="823"/>
    </row>
    <row r="183">
      <c r="A183" s="22"/>
      <c r="B183" s="570"/>
      <c r="C183" s="570"/>
      <c r="D183" s="570"/>
      <c r="E183" s="268"/>
      <c r="F183" s="268"/>
      <c r="H183" s="405"/>
      <c r="I183" s="268"/>
      <c r="K183" s="827"/>
      <c r="L183" s="823"/>
    </row>
    <row r="184">
      <c r="A184" s="22"/>
      <c r="B184" s="570"/>
      <c r="C184" s="570"/>
      <c r="D184" s="570"/>
      <c r="E184" s="268"/>
      <c r="F184" s="268"/>
      <c r="H184" s="405"/>
      <c r="I184" s="268"/>
      <c r="K184" s="827"/>
      <c r="L184" s="823"/>
    </row>
    <row r="185">
      <c r="A185" s="22"/>
      <c r="B185" s="570"/>
      <c r="C185" s="570"/>
      <c r="D185" s="570"/>
      <c r="E185" s="268"/>
      <c r="F185" s="268"/>
      <c r="H185" s="405"/>
      <c r="I185" s="268"/>
      <c r="K185" s="827"/>
      <c r="L185" s="823"/>
    </row>
    <row r="186">
      <c r="A186" s="22"/>
      <c r="B186" s="570"/>
      <c r="C186" s="570"/>
      <c r="D186" s="570"/>
      <c r="E186" s="268"/>
      <c r="F186" s="268"/>
      <c r="H186" s="405"/>
      <c r="I186" s="268"/>
      <c r="K186" s="827"/>
      <c r="L186" s="823"/>
    </row>
    <row r="187">
      <c r="A187" s="22"/>
      <c r="B187" s="570"/>
      <c r="C187" s="570"/>
      <c r="D187" s="570"/>
      <c r="E187" s="268"/>
      <c r="F187" s="268"/>
      <c r="H187" s="405"/>
      <c r="I187" s="268"/>
      <c r="K187" s="827"/>
      <c r="L187" s="823"/>
    </row>
    <row r="188">
      <c r="A188" s="22"/>
      <c r="B188" s="570"/>
      <c r="C188" s="570"/>
      <c r="D188" s="570"/>
      <c r="E188" s="268"/>
      <c r="F188" s="268"/>
      <c r="H188" s="405"/>
      <c r="I188" s="268"/>
      <c r="K188" s="827"/>
      <c r="L188" s="823"/>
    </row>
    <row r="189">
      <c r="A189" s="22"/>
      <c r="B189" s="570"/>
      <c r="C189" s="570"/>
      <c r="D189" s="570"/>
      <c r="E189" s="268"/>
      <c r="F189" s="268"/>
      <c r="H189" s="405"/>
      <c r="I189" s="268"/>
      <c r="K189" s="827"/>
      <c r="L189" s="823"/>
    </row>
    <row r="190">
      <c r="A190" s="22"/>
      <c r="B190" s="570"/>
      <c r="C190" s="570"/>
      <c r="D190" s="570"/>
      <c r="E190" s="268"/>
      <c r="F190" s="268"/>
      <c r="H190" s="405"/>
      <c r="I190" s="268"/>
      <c r="K190" s="827"/>
      <c r="L190" s="823"/>
    </row>
    <row r="191">
      <c r="A191" s="22"/>
      <c r="B191" s="570"/>
      <c r="C191" s="570"/>
      <c r="D191" s="570"/>
      <c r="E191" s="268"/>
      <c r="F191" s="268"/>
      <c r="H191" s="405"/>
      <c r="I191" s="268"/>
      <c r="K191" s="827"/>
      <c r="L191" s="823"/>
    </row>
    <row r="192">
      <c r="A192" s="22"/>
      <c r="B192" s="570"/>
      <c r="C192" s="570"/>
      <c r="D192" s="570"/>
      <c r="E192" s="268"/>
      <c r="F192" s="268"/>
      <c r="H192" s="405"/>
      <c r="I192" s="268"/>
      <c r="K192" s="827"/>
      <c r="L192" s="823"/>
    </row>
    <row r="193">
      <c r="A193" s="22"/>
      <c r="B193" s="570"/>
      <c r="C193" s="570"/>
      <c r="D193" s="570"/>
      <c r="E193" s="268"/>
      <c r="F193" s="268"/>
      <c r="H193" s="405"/>
      <c r="I193" s="268"/>
      <c r="K193" s="827"/>
      <c r="L193" s="823"/>
    </row>
    <row r="194">
      <c r="A194" s="22"/>
      <c r="B194" s="570"/>
      <c r="C194" s="570"/>
      <c r="D194" s="570"/>
      <c r="E194" s="268"/>
      <c r="F194" s="268"/>
      <c r="H194" s="405"/>
      <c r="I194" s="268"/>
      <c r="K194" s="827"/>
      <c r="L194" s="823"/>
    </row>
    <row r="195">
      <c r="A195" s="22"/>
      <c r="B195" s="570"/>
      <c r="C195" s="570"/>
      <c r="D195" s="570"/>
      <c r="E195" s="268"/>
      <c r="F195" s="268"/>
      <c r="H195" s="405"/>
      <c r="I195" s="268"/>
      <c r="K195" s="827"/>
      <c r="L195" s="823"/>
    </row>
    <row r="196">
      <c r="A196" s="22"/>
      <c r="B196" s="570"/>
      <c r="C196" s="570"/>
      <c r="D196" s="570"/>
      <c r="E196" s="268"/>
      <c r="F196" s="268"/>
      <c r="H196" s="405"/>
      <c r="I196" s="268"/>
      <c r="K196" s="827"/>
      <c r="L196" s="823"/>
    </row>
    <row r="197">
      <c r="A197" s="22"/>
      <c r="B197" s="570"/>
      <c r="C197" s="570"/>
      <c r="D197" s="570"/>
      <c r="E197" s="268"/>
      <c r="F197" s="268"/>
      <c r="H197" s="405"/>
      <c r="I197" s="268"/>
      <c r="K197" s="827"/>
      <c r="L197" s="823"/>
    </row>
    <row r="198">
      <c r="A198" s="22"/>
      <c r="B198" s="570"/>
      <c r="C198" s="570"/>
      <c r="D198" s="570"/>
      <c r="E198" s="268"/>
      <c r="F198" s="268"/>
      <c r="H198" s="405"/>
      <c r="I198" s="268"/>
      <c r="K198" s="827"/>
      <c r="L198" s="823"/>
    </row>
    <row r="199">
      <c r="A199" s="22"/>
      <c r="B199" s="570"/>
      <c r="C199" s="570"/>
      <c r="D199" s="570"/>
      <c r="E199" s="268"/>
      <c r="F199" s="268"/>
      <c r="H199" s="405"/>
      <c r="I199" s="268"/>
      <c r="K199" s="827"/>
      <c r="L199" s="823"/>
    </row>
    <row r="200">
      <c r="A200" s="22"/>
      <c r="B200" s="570"/>
      <c r="C200" s="570"/>
      <c r="D200" s="570"/>
      <c r="E200" s="268"/>
      <c r="F200" s="268"/>
      <c r="H200" s="405"/>
      <c r="I200" s="268"/>
      <c r="K200" s="827"/>
      <c r="L200" s="823"/>
    </row>
    <row r="201">
      <c r="A201" s="22"/>
      <c r="B201" s="570"/>
      <c r="C201" s="570"/>
      <c r="D201" s="570"/>
      <c r="E201" s="268"/>
      <c r="F201" s="268"/>
      <c r="H201" s="405"/>
      <c r="I201" s="268"/>
      <c r="K201" s="827"/>
      <c r="L201" s="823"/>
    </row>
    <row r="202">
      <c r="A202" s="22"/>
      <c r="B202" s="570"/>
      <c r="C202" s="570"/>
      <c r="D202" s="570"/>
      <c r="E202" s="268"/>
      <c r="F202" s="268"/>
      <c r="H202" s="405"/>
      <c r="I202" s="268"/>
      <c r="K202" s="827"/>
      <c r="L202" s="823"/>
    </row>
    <row r="203">
      <c r="A203" s="22"/>
      <c r="B203" s="570"/>
      <c r="C203" s="570"/>
      <c r="D203" s="570"/>
      <c r="E203" s="268"/>
      <c r="F203" s="268"/>
      <c r="H203" s="405"/>
      <c r="I203" s="268"/>
      <c r="K203" s="827"/>
      <c r="L203" s="823"/>
    </row>
    <row r="204">
      <c r="A204" s="22"/>
      <c r="B204" s="570"/>
      <c r="C204" s="570"/>
      <c r="D204" s="570"/>
      <c r="E204" s="268"/>
      <c r="F204" s="268"/>
      <c r="H204" s="405"/>
      <c r="I204" s="268"/>
      <c r="K204" s="827"/>
      <c r="L204" s="823"/>
    </row>
    <row r="205">
      <c r="A205" s="22"/>
      <c r="B205" s="570"/>
      <c r="C205" s="570"/>
      <c r="D205" s="570"/>
      <c r="E205" s="268"/>
      <c r="F205" s="268"/>
      <c r="H205" s="405"/>
      <c r="I205" s="268"/>
      <c r="K205" s="827"/>
      <c r="L205" s="823"/>
    </row>
    <row r="206">
      <c r="A206" s="22"/>
      <c r="B206" s="570"/>
      <c r="C206" s="570"/>
      <c r="D206" s="570"/>
      <c r="E206" s="268"/>
      <c r="F206" s="268"/>
      <c r="H206" s="405"/>
      <c r="I206" s="268"/>
      <c r="K206" s="827"/>
      <c r="L206" s="823"/>
    </row>
    <row r="207">
      <c r="A207" s="22"/>
      <c r="B207" s="570"/>
      <c r="C207" s="570"/>
      <c r="D207" s="570"/>
      <c r="E207" s="268"/>
      <c r="F207" s="268"/>
      <c r="H207" s="405"/>
      <c r="I207" s="268"/>
      <c r="K207" s="827"/>
      <c r="L207" s="823"/>
    </row>
    <row r="208">
      <c r="A208" s="22"/>
      <c r="B208" s="570"/>
      <c r="C208" s="570"/>
      <c r="D208" s="570"/>
      <c r="E208" s="268"/>
      <c r="F208" s="268"/>
      <c r="H208" s="405"/>
      <c r="I208" s="268"/>
      <c r="K208" s="827"/>
      <c r="L208" s="823"/>
    </row>
    <row r="209">
      <c r="A209" s="22"/>
      <c r="B209" s="570"/>
      <c r="C209" s="570"/>
      <c r="D209" s="570"/>
      <c r="E209" s="268"/>
      <c r="F209" s="268"/>
      <c r="H209" s="405"/>
      <c r="I209" s="268"/>
      <c r="K209" s="827"/>
      <c r="L209" s="823"/>
    </row>
    <row r="210">
      <c r="A210" s="22"/>
      <c r="B210" s="570"/>
      <c r="C210" s="570"/>
      <c r="D210" s="570"/>
      <c r="E210" s="268"/>
      <c r="F210" s="268"/>
      <c r="H210" s="405"/>
      <c r="I210" s="268"/>
      <c r="K210" s="827"/>
      <c r="L210" s="823"/>
    </row>
    <row r="211">
      <c r="A211" s="22"/>
      <c r="B211" s="570"/>
      <c r="C211" s="570"/>
      <c r="D211" s="570"/>
      <c r="E211" s="268"/>
      <c r="F211" s="268"/>
      <c r="H211" s="405"/>
      <c r="I211" s="268"/>
      <c r="K211" s="827"/>
      <c r="L211" s="823"/>
    </row>
    <row r="212">
      <c r="A212" s="22"/>
      <c r="B212" s="570"/>
      <c r="C212" s="570"/>
      <c r="D212" s="570"/>
      <c r="E212" s="268"/>
      <c r="F212" s="268"/>
      <c r="H212" s="405"/>
      <c r="I212" s="268"/>
      <c r="K212" s="827"/>
      <c r="L212" s="823"/>
    </row>
    <row r="213">
      <c r="A213" s="22"/>
      <c r="B213" s="570"/>
      <c r="C213" s="570"/>
      <c r="D213" s="570"/>
      <c r="E213" s="268"/>
      <c r="F213" s="268"/>
      <c r="H213" s="405"/>
      <c r="I213" s="268"/>
      <c r="K213" s="827"/>
      <c r="L213" s="823"/>
    </row>
    <row r="214">
      <c r="A214" s="22"/>
      <c r="B214" s="570"/>
      <c r="C214" s="570"/>
      <c r="D214" s="570"/>
      <c r="E214" s="268"/>
      <c r="F214" s="268"/>
      <c r="H214" s="405"/>
      <c r="I214" s="268"/>
      <c r="K214" s="827"/>
      <c r="L214" s="823"/>
    </row>
    <row r="215">
      <c r="A215" s="22"/>
      <c r="B215" s="570"/>
      <c r="C215" s="570"/>
      <c r="D215" s="570"/>
      <c r="E215" s="268"/>
      <c r="F215" s="268"/>
      <c r="H215" s="405"/>
      <c r="I215" s="268"/>
      <c r="K215" s="827"/>
      <c r="L215" s="823"/>
    </row>
    <row r="216">
      <c r="A216" s="22"/>
      <c r="B216" s="570"/>
      <c r="C216" s="570"/>
      <c r="D216" s="570"/>
      <c r="E216" s="268"/>
      <c r="F216" s="268"/>
      <c r="H216" s="405"/>
      <c r="I216" s="268"/>
      <c r="K216" s="827"/>
      <c r="L216" s="823"/>
    </row>
    <row r="217">
      <c r="A217" s="22"/>
      <c r="B217" s="570"/>
      <c r="C217" s="570"/>
      <c r="D217" s="570"/>
      <c r="E217" s="268"/>
      <c r="F217" s="268"/>
      <c r="H217" s="405"/>
      <c r="I217" s="268"/>
      <c r="K217" s="827"/>
      <c r="L217" s="823"/>
    </row>
    <row r="218">
      <c r="A218" s="22"/>
      <c r="B218" s="570"/>
      <c r="C218" s="570"/>
      <c r="D218" s="570"/>
      <c r="E218" s="268"/>
      <c r="F218" s="268"/>
      <c r="H218" s="405"/>
      <c r="I218" s="268"/>
      <c r="K218" s="827"/>
      <c r="L218" s="823"/>
    </row>
    <row r="219">
      <c r="A219" s="22"/>
      <c r="B219" s="570"/>
      <c r="C219" s="570"/>
      <c r="D219" s="570"/>
      <c r="E219" s="268"/>
      <c r="F219" s="268"/>
      <c r="H219" s="405"/>
      <c r="I219" s="268"/>
      <c r="K219" s="827"/>
      <c r="L219" s="823"/>
    </row>
    <row r="220">
      <c r="A220" s="22"/>
      <c r="B220" s="570"/>
      <c r="C220" s="570"/>
      <c r="D220" s="570"/>
      <c r="E220" s="268"/>
      <c r="F220" s="268"/>
      <c r="H220" s="405"/>
      <c r="I220" s="268"/>
      <c r="K220" s="827"/>
      <c r="L220" s="823"/>
    </row>
    <row r="221">
      <c r="A221" s="22"/>
      <c r="B221" s="570"/>
      <c r="C221" s="570"/>
      <c r="D221" s="570"/>
      <c r="E221" s="268"/>
      <c r="F221" s="268"/>
      <c r="H221" s="405"/>
      <c r="I221" s="268"/>
      <c r="K221" s="827"/>
      <c r="L221" s="823"/>
    </row>
    <row r="222">
      <c r="A222" s="22"/>
      <c r="B222" s="570"/>
      <c r="C222" s="570"/>
      <c r="D222" s="570"/>
      <c r="E222" s="268"/>
      <c r="F222" s="268"/>
      <c r="H222" s="405"/>
      <c r="I222" s="268"/>
      <c r="K222" s="827"/>
      <c r="L222" s="823"/>
    </row>
    <row r="223">
      <c r="A223" s="22"/>
      <c r="B223" s="570"/>
      <c r="C223" s="570"/>
      <c r="D223" s="570"/>
      <c r="E223" s="268"/>
      <c r="F223" s="268"/>
      <c r="H223" s="405"/>
      <c r="I223" s="268"/>
      <c r="K223" s="827"/>
      <c r="L223" s="823"/>
    </row>
    <row r="224">
      <c r="A224" s="22"/>
      <c r="B224" s="570"/>
      <c r="C224" s="570"/>
      <c r="D224" s="570"/>
      <c r="E224" s="268"/>
      <c r="F224" s="268"/>
      <c r="H224" s="405"/>
      <c r="I224" s="268"/>
      <c r="K224" s="827"/>
      <c r="L224" s="823"/>
    </row>
    <row r="225">
      <c r="A225" s="22"/>
      <c r="B225" s="570"/>
      <c r="C225" s="570"/>
      <c r="D225" s="570"/>
      <c r="E225" s="268"/>
      <c r="F225" s="268"/>
      <c r="H225" s="405"/>
      <c r="I225" s="268"/>
      <c r="K225" s="827"/>
      <c r="L225" s="823"/>
    </row>
    <row r="226">
      <c r="A226" s="22"/>
      <c r="B226" s="570"/>
      <c r="C226" s="570"/>
      <c r="D226" s="570"/>
      <c r="E226" s="268"/>
      <c r="F226" s="268"/>
      <c r="H226" s="405"/>
      <c r="I226" s="268"/>
      <c r="K226" s="827"/>
      <c r="L226" s="823"/>
    </row>
    <row r="227">
      <c r="A227" s="22"/>
      <c r="B227" s="570"/>
      <c r="C227" s="570"/>
      <c r="D227" s="570"/>
      <c r="E227" s="268"/>
      <c r="F227" s="268"/>
      <c r="H227" s="405"/>
      <c r="I227" s="268"/>
      <c r="K227" s="827"/>
      <c r="L227" s="823"/>
    </row>
    <row r="228">
      <c r="A228" s="22"/>
      <c r="B228" s="570"/>
      <c r="C228" s="570"/>
      <c r="D228" s="570"/>
      <c r="E228" s="268"/>
      <c r="F228" s="268"/>
      <c r="H228" s="405"/>
      <c r="I228" s="268"/>
      <c r="K228" s="827"/>
      <c r="L228" s="823"/>
    </row>
    <row r="229">
      <c r="A229" s="22"/>
      <c r="B229" s="570"/>
      <c r="C229" s="570"/>
      <c r="D229" s="570"/>
      <c r="E229" s="268"/>
      <c r="F229" s="268"/>
      <c r="H229" s="405"/>
      <c r="I229" s="268"/>
      <c r="K229" s="827"/>
      <c r="L229" s="823"/>
    </row>
    <row r="230">
      <c r="A230" s="22"/>
      <c r="B230" s="570"/>
      <c r="C230" s="570"/>
      <c r="D230" s="570"/>
      <c r="E230" s="268"/>
      <c r="F230" s="268"/>
      <c r="H230" s="405"/>
      <c r="I230" s="268"/>
      <c r="K230" s="827"/>
      <c r="L230" s="823"/>
    </row>
    <row r="231">
      <c r="A231" s="22"/>
      <c r="B231" s="570"/>
      <c r="C231" s="570"/>
      <c r="D231" s="570"/>
      <c r="E231" s="268"/>
      <c r="F231" s="268"/>
      <c r="H231" s="405"/>
      <c r="I231" s="268"/>
      <c r="K231" s="827"/>
      <c r="L231" s="823"/>
    </row>
    <row r="232">
      <c r="A232" s="22"/>
      <c r="B232" s="570"/>
      <c r="C232" s="570"/>
      <c r="D232" s="570"/>
      <c r="E232" s="268"/>
      <c r="F232" s="268"/>
      <c r="H232" s="405"/>
      <c r="I232" s="268"/>
      <c r="K232" s="827"/>
      <c r="L232" s="823"/>
    </row>
    <row r="233">
      <c r="A233" s="22"/>
      <c r="B233" s="570"/>
      <c r="C233" s="570"/>
      <c r="D233" s="570"/>
      <c r="E233" s="268"/>
      <c r="F233" s="268"/>
      <c r="H233" s="405"/>
      <c r="I233" s="268"/>
      <c r="K233" s="827"/>
      <c r="L233" s="823"/>
    </row>
    <row r="234">
      <c r="A234" s="22"/>
      <c r="B234" s="570"/>
      <c r="C234" s="570"/>
      <c r="D234" s="570"/>
      <c r="E234" s="268"/>
      <c r="F234" s="268"/>
      <c r="H234" s="405"/>
      <c r="I234" s="268"/>
      <c r="K234" s="827"/>
      <c r="L234" s="823"/>
    </row>
    <row r="235">
      <c r="A235" s="22"/>
      <c r="B235" s="570"/>
      <c r="C235" s="570"/>
      <c r="D235" s="570"/>
      <c r="E235" s="268"/>
      <c r="F235" s="268"/>
      <c r="H235" s="405"/>
      <c r="I235" s="268"/>
      <c r="K235" s="827"/>
      <c r="L235" s="823"/>
    </row>
    <row r="236">
      <c r="A236" s="22"/>
      <c r="B236" s="570"/>
      <c r="C236" s="570"/>
      <c r="D236" s="570"/>
      <c r="E236" s="268"/>
      <c r="F236" s="268"/>
      <c r="H236" s="405"/>
      <c r="I236" s="268"/>
      <c r="K236" s="827"/>
      <c r="L236" s="823"/>
    </row>
    <row r="237">
      <c r="A237" s="22"/>
      <c r="B237" s="570"/>
      <c r="C237" s="570"/>
      <c r="D237" s="570"/>
      <c r="E237" s="268"/>
      <c r="F237" s="268"/>
      <c r="H237" s="405"/>
      <c r="I237" s="268"/>
      <c r="K237" s="827"/>
      <c r="L237" s="823"/>
    </row>
    <row r="238">
      <c r="A238" s="22"/>
      <c r="B238" s="570"/>
      <c r="C238" s="570"/>
      <c r="D238" s="570"/>
      <c r="E238" s="268"/>
      <c r="F238" s="268"/>
      <c r="H238" s="405"/>
      <c r="I238" s="268"/>
      <c r="K238" s="827"/>
      <c r="L238" s="823"/>
    </row>
    <row r="239">
      <c r="A239" s="22"/>
      <c r="B239" s="570"/>
      <c r="C239" s="570"/>
      <c r="D239" s="570"/>
      <c r="E239" s="268"/>
      <c r="F239" s="268"/>
      <c r="H239" s="405"/>
      <c r="I239" s="268"/>
      <c r="K239" s="827"/>
      <c r="L239" s="823"/>
    </row>
    <row r="240">
      <c r="A240" s="22"/>
      <c r="B240" s="570"/>
      <c r="C240" s="570"/>
      <c r="D240" s="570"/>
      <c r="E240" s="268"/>
      <c r="F240" s="268"/>
      <c r="H240" s="405"/>
      <c r="I240" s="268"/>
      <c r="K240" s="827"/>
      <c r="L240" s="823"/>
    </row>
    <row r="241">
      <c r="A241" s="22"/>
      <c r="B241" s="570"/>
      <c r="C241" s="570"/>
      <c r="D241" s="570"/>
      <c r="E241" s="268"/>
      <c r="F241" s="268"/>
      <c r="H241" s="405"/>
      <c r="I241" s="268"/>
      <c r="K241" s="827"/>
      <c r="L241" s="823"/>
    </row>
    <row r="242">
      <c r="A242" s="22"/>
      <c r="B242" s="570"/>
      <c r="C242" s="570"/>
      <c r="D242" s="570"/>
      <c r="E242" s="268"/>
      <c r="F242" s="268"/>
      <c r="H242" s="405"/>
      <c r="I242" s="268"/>
      <c r="K242" s="827"/>
      <c r="L242" s="823"/>
    </row>
    <row r="243">
      <c r="A243" s="22"/>
      <c r="B243" s="570"/>
      <c r="C243" s="570"/>
      <c r="D243" s="570"/>
      <c r="E243" s="268"/>
      <c r="F243" s="268"/>
      <c r="H243" s="405"/>
      <c r="I243" s="268"/>
      <c r="K243" s="827"/>
      <c r="L243" s="823"/>
    </row>
    <row r="244">
      <c r="A244" s="22"/>
      <c r="B244" s="570"/>
      <c r="C244" s="570"/>
      <c r="D244" s="570"/>
      <c r="E244" s="268"/>
      <c r="F244" s="268"/>
      <c r="H244" s="405"/>
      <c r="I244" s="268"/>
      <c r="K244" s="827"/>
      <c r="L244" s="823"/>
    </row>
    <row r="245">
      <c r="A245" s="22"/>
      <c r="B245" s="570"/>
      <c r="C245" s="570"/>
      <c r="D245" s="570"/>
      <c r="E245" s="268"/>
      <c r="F245" s="268"/>
      <c r="H245" s="405"/>
      <c r="I245" s="268"/>
      <c r="K245" s="827"/>
      <c r="L245" s="823"/>
    </row>
    <row r="246">
      <c r="A246" s="22"/>
      <c r="B246" s="570"/>
      <c r="C246" s="570"/>
      <c r="D246" s="570"/>
      <c r="E246" s="268"/>
      <c r="F246" s="268"/>
      <c r="H246" s="405"/>
      <c r="I246" s="268"/>
      <c r="K246" s="827"/>
      <c r="L246" s="823"/>
    </row>
    <row r="247">
      <c r="A247" s="22"/>
      <c r="B247" s="570"/>
      <c r="C247" s="570"/>
      <c r="D247" s="570"/>
      <c r="E247" s="268"/>
      <c r="F247" s="268"/>
      <c r="H247" s="405"/>
      <c r="I247" s="268"/>
      <c r="K247" s="827"/>
      <c r="L247" s="823"/>
    </row>
    <row r="248">
      <c r="A248" s="22"/>
      <c r="B248" s="570"/>
      <c r="C248" s="570"/>
      <c r="D248" s="570"/>
      <c r="E248" s="268"/>
      <c r="F248" s="268"/>
      <c r="H248" s="405"/>
      <c r="I248" s="268"/>
      <c r="K248" s="827"/>
      <c r="L248" s="823"/>
    </row>
    <row r="249">
      <c r="A249" s="22"/>
      <c r="B249" s="570"/>
      <c r="C249" s="570"/>
      <c r="D249" s="570"/>
      <c r="E249" s="268"/>
      <c r="F249" s="268"/>
      <c r="H249" s="405"/>
      <c r="I249" s="268"/>
      <c r="K249" s="827"/>
      <c r="L249" s="823"/>
    </row>
    <row r="250">
      <c r="A250" s="22"/>
      <c r="B250" s="570"/>
      <c r="C250" s="570"/>
      <c r="D250" s="570"/>
      <c r="E250" s="268"/>
      <c r="F250" s="268"/>
      <c r="H250" s="405"/>
      <c r="I250" s="268"/>
      <c r="K250" s="827"/>
      <c r="L250" s="823"/>
    </row>
    <row r="251">
      <c r="A251" s="22"/>
      <c r="B251" s="570"/>
      <c r="C251" s="570"/>
      <c r="D251" s="570"/>
      <c r="E251" s="268"/>
      <c r="F251" s="268"/>
      <c r="H251" s="405"/>
      <c r="I251" s="268"/>
      <c r="K251" s="827"/>
      <c r="L251" s="823"/>
    </row>
    <row r="252">
      <c r="A252" s="22"/>
      <c r="B252" s="570"/>
      <c r="C252" s="570"/>
      <c r="D252" s="570"/>
      <c r="E252" s="268"/>
      <c r="F252" s="268"/>
      <c r="H252" s="405"/>
      <c r="I252" s="268"/>
      <c r="K252" s="827"/>
      <c r="L252" s="823"/>
    </row>
    <row r="253">
      <c r="A253" s="22"/>
      <c r="B253" s="570"/>
      <c r="C253" s="570"/>
      <c r="D253" s="570"/>
      <c r="E253" s="268"/>
      <c r="F253" s="268"/>
      <c r="H253" s="405"/>
      <c r="I253" s="268"/>
      <c r="K253" s="827"/>
      <c r="L253" s="823"/>
    </row>
    <row r="254">
      <c r="A254" s="22"/>
      <c r="B254" s="570"/>
      <c r="C254" s="570"/>
      <c r="D254" s="570"/>
      <c r="E254" s="268"/>
      <c r="F254" s="268"/>
      <c r="H254" s="405"/>
      <c r="I254" s="268"/>
      <c r="K254" s="827"/>
      <c r="L254" s="823"/>
    </row>
    <row r="255">
      <c r="A255" s="22"/>
      <c r="B255" s="570"/>
      <c r="C255" s="570"/>
      <c r="D255" s="570"/>
      <c r="E255" s="268"/>
      <c r="F255" s="268"/>
      <c r="H255" s="405"/>
      <c r="I255" s="268"/>
      <c r="K255" s="827"/>
      <c r="L255" s="823"/>
    </row>
    <row r="256">
      <c r="A256" s="22"/>
      <c r="B256" s="570"/>
      <c r="C256" s="570"/>
      <c r="D256" s="570"/>
      <c r="E256" s="268"/>
      <c r="F256" s="268"/>
      <c r="H256" s="405"/>
      <c r="I256" s="268"/>
      <c r="K256" s="827"/>
      <c r="L256" s="823"/>
    </row>
    <row r="257">
      <c r="A257" s="22"/>
      <c r="B257" s="570"/>
      <c r="C257" s="570"/>
      <c r="D257" s="570"/>
      <c r="E257" s="268"/>
      <c r="F257" s="268"/>
      <c r="H257" s="405"/>
      <c r="I257" s="268"/>
      <c r="K257" s="827"/>
      <c r="L257" s="823"/>
    </row>
    <row r="258">
      <c r="A258" s="22"/>
      <c r="B258" s="570"/>
      <c r="C258" s="570"/>
      <c r="D258" s="570"/>
      <c r="E258" s="268"/>
      <c r="F258" s="268"/>
      <c r="H258" s="405"/>
      <c r="I258" s="268"/>
      <c r="K258" s="827"/>
      <c r="L258" s="823"/>
    </row>
    <row r="259">
      <c r="A259" s="22"/>
      <c r="B259" s="570"/>
      <c r="C259" s="570"/>
      <c r="D259" s="570"/>
      <c r="E259" s="268"/>
      <c r="F259" s="268"/>
      <c r="H259" s="405"/>
      <c r="I259" s="268"/>
      <c r="K259" s="827"/>
      <c r="L259" s="823"/>
    </row>
    <row r="260">
      <c r="A260" s="22"/>
      <c r="B260" s="570"/>
      <c r="C260" s="570"/>
      <c r="D260" s="570"/>
      <c r="E260" s="268"/>
      <c r="F260" s="268"/>
      <c r="H260" s="405"/>
      <c r="I260" s="268"/>
      <c r="K260" s="827"/>
      <c r="L260" s="823"/>
    </row>
    <row r="261">
      <c r="A261" s="22"/>
      <c r="B261" s="570"/>
      <c r="C261" s="570"/>
      <c r="D261" s="570"/>
      <c r="E261" s="268"/>
      <c r="F261" s="268"/>
      <c r="H261" s="405"/>
      <c r="I261" s="268"/>
      <c r="K261" s="827"/>
      <c r="L261" s="823"/>
    </row>
    <row r="262">
      <c r="A262" s="22"/>
      <c r="B262" s="570"/>
      <c r="C262" s="570"/>
      <c r="D262" s="570"/>
      <c r="E262" s="268"/>
      <c r="F262" s="268"/>
      <c r="H262" s="405"/>
      <c r="I262" s="268"/>
      <c r="K262" s="827"/>
      <c r="L262" s="823"/>
    </row>
    <row r="263">
      <c r="A263" s="22"/>
      <c r="B263" s="570"/>
      <c r="C263" s="570"/>
      <c r="D263" s="570"/>
      <c r="E263" s="268"/>
      <c r="F263" s="268"/>
      <c r="H263" s="405"/>
      <c r="I263" s="268"/>
      <c r="K263" s="827"/>
      <c r="L263" s="823"/>
    </row>
    <row r="264">
      <c r="A264" s="22"/>
      <c r="B264" s="570"/>
      <c r="C264" s="570"/>
      <c r="D264" s="570"/>
      <c r="E264" s="268"/>
      <c r="F264" s="268"/>
      <c r="H264" s="405"/>
      <c r="I264" s="268"/>
      <c r="K264" s="827"/>
      <c r="L264" s="823"/>
    </row>
    <row r="265">
      <c r="A265" s="22"/>
      <c r="B265" s="570"/>
      <c r="C265" s="570"/>
      <c r="D265" s="570"/>
      <c r="E265" s="268"/>
      <c r="F265" s="268"/>
      <c r="H265" s="405"/>
      <c r="I265" s="268"/>
      <c r="K265" s="827"/>
      <c r="L265" s="823"/>
    </row>
    <row r="266">
      <c r="A266" s="22"/>
      <c r="B266" s="570"/>
      <c r="C266" s="570"/>
      <c r="D266" s="570"/>
      <c r="E266" s="268"/>
      <c r="F266" s="268"/>
      <c r="H266" s="405"/>
      <c r="I266" s="268"/>
      <c r="K266" s="827"/>
      <c r="L266" s="823"/>
    </row>
    <row r="267">
      <c r="A267" s="22"/>
      <c r="B267" s="570"/>
      <c r="C267" s="570"/>
      <c r="D267" s="570"/>
      <c r="E267" s="268"/>
      <c r="F267" s="268"/>
      <c r="H267" s="405"/>
      <c r="I267" s="268"/>
      <c r="K267" s="827"/>
      <c r="L267" s="823"/>
    </row>
    <row r="268">
      <c r="A268" s="22"/>
      <c r="B268" s="570"/>
      <c r="C268" s="570"/>
      <c r="D268" s="570"/>
      <c r="E268" s="268"/>
      <c r="F268" s="268"/>
      <c r="H268" s="405"/>
      <c r="I268" s="268"/>
      <c r="K268" s="827"/>
      <c r="L268" s="823"/>
    </row>
    <row r="269">
      <c r="A269" s="22"/>
      <c r="B269" s="570"/>
      <c r="C269" s="570"/>
      <c r="D269" s="570"/>
      <c r="E269" s="268"/>
      <c r="F269" s="268"/>
      <c r="H269" s="405"/>
      <c r="I269" s="268"/>
      <c r="K269" s="827"/>
      <c r="L269" s="823"/>
    </row>
    <row r="270">
      <c r="A270" s="22"/>
      <c r="B270" s="570"/>
      <c r="C270" s="570"/>
      <c r="D270" s="570"/>
      <c r="E270" s="268"/>
      <c r="F270" s="268"/>
      <c r="H270" s="405"/>
      <c r="I270" s="268"/>
      <c r="K270" s="827"/>
      <c r="L270" s="823"/>
    </row>
    <row r="271">
      <c r="A271" s="22"/>
      <c r="B271" s="570"/>
      <c r="C271" s="570"/>
      <c r="D271" s="570"/>
      <c r="E271" s="268"/>
      <c r="F271" s="268"/>
      <c r="H271" s="405"/>
      <c r="I271" s="268"/>
      <c r="K271" s="827"/>
      <c r="L271" s="823"/>
    </row>
    <row r="272">
      <c r="A272" s="22"/>
      <c r="B272" s="570"/>
      <c r="C272" s="570"/>
      <c r="D272" s="570"/>
      <c r="E272" s="268"/>
      <c r="F272" s="268"/>
      <c r="H272" s="405"/>
      <c r="I272" s="268"/>
      <c r="K272" s="827"/>
      <c r="L272" s="823"/>
    </row>
    <row r="273">
      <c r="A273" s="22"/>
      <c r="B273" s="570"/>
      <c r="C273" s="570"/>
      <c r="D273" s="570"/>
      <c r="E273" s="268"/>
      <c r="F273" s="268"/>
      <c r="H273" s="405"/>
      <c r="I273" s="268"/>
      <c r="K273" s="827"/>
      <c r="L273" s="823"/>
    </row>
    <row r="274">
      <c r="A274" s="22"/>
      <c r="B274" s="570"/>
      <c r="C274" s="570"/>
      <c r="D274" s="570"/>
      <c r="E274" s="268"/>
      <c r="F274" s="268"/>
      <c r="H274" s="405"/>
      <c r="I274" s="268"/>
      <c r="K274" s="827"/>
      <c r="L274" s="823"/>
    </row>
    <row r="275">
      <c r="A275" s="22"/>
      <c r="B275" s="570"/>
      <c r="C275" s="570"/>
      <c r="D275" s="570"/>
      <c r="E275" s="268"/>
      <c r="F275" s="268"/>
      <c r="H275" s="405"/>
      <c r="I275" s="268"/>
      <c r="K275" s="827"/>
      <c r="L275" s="823"/>
    </row>
    <row r="276">
      <c r="A276" s="22"/>
      <c r="B276" s="570"/>
      <c r="C276" s="570"/>
      <c r="D276" s="570"/>
      <c r="E276" s="268"/>
      <c r="F276" s="268"/>
      <c r="H276" s="405"/>
      <c r="I276" s="268"/>
      <c r="K276" s="827"/>
      <c r="L276" s="823"/>
    </row>
    <row r="277">
      <c r="A277" s="22"/>
      <c r="B277" s="570"/>
      <c r="C277" s="570"/>
      <c r="D277" s="570"/>
      <c r="E277" s="268"/>
      <c r="F277" s="268"/>
      <c r="H277" s="405"/>
      <c r="I277" s="268"/>
      <c r="K277" s="827"/>
      <c r="L277" s="823"/>
    </row>
    <row r="278">
      <c r="A278" s="22"/>
      <c r="B278" s="570"/>
      <c r="C278" s="570"/>
      <c r="D278" s="570"/>
      <c r="E278" s="268"/>
      <c r="F278" s="268"/>
      <c r="H278" s="405"/>
      <c r="I278" s="268"/>
      <c r="K278" s="827"/>
      <c r="L278" s="823"/>
    </row>
    <row r="279">
      <c r="A279" s="22"/>
      <c r="B279" s="570"/>
      <c r="C279" s="570"/>
      <c r="D279" s="570"/>
      <c r="E279" s="268"/>
      <c r="F279" s="268"/>
      <c r="H279" s="405"/>
      <c r="I279" s="268"/>
      <c r="K279" s="827"/>
      <c r="L279" s="823"/>
    </row>
    <row r="280">
      <c r="A280" s="22"/>
      <c r="B280" s="570"/>
      <c r="C280" s="570"/>
      <c r="D280" s="570"/>
      <c r="E280" s="268"/>
      <c r="F280" s="268"/>
      <c r="H280" s="405"/>
      <c r="I280" s="268"/>
      <c r="K280" s="827"/>
      <c r="L280" s="823"/>
    </row>
    <row r="281">
      <c r="A281" s="22"/>
      <c r="B281" s="570"/>
      <c r="C281" s="570"/>
      <c r="D281" s="570"/>
      <c r="E281" s="268"/>
      <c r="F281" s="268"/>
      <c r="H281" s="405"/>
      <c r="I281" s="268"/>
      <c r="K281" s="827"/>
      <c r="L281" s="823"/>
    </row>
    <row r="282">
      <c r="A282" s="22"/>
      <c r="B282" s="570"/>
      <c r="C282" s="570"/>
      <c r="D282" s="570"/>
      <c r="E282" s="268"/>
      <c r="F282" s="268"/>
      <c r="H282" s="405"/>
      <c r="I282" s="268"/>
      <c r="K282" s="827"/>
      <c r="L282" s="823"/>
    </row>
    <row r="283">
      <c r="A283" s="22"/>
      <c r="B283" s="570"/>
      <c r="C283" s="570"/>
      <c r="D283" s="570"/>
      <c r="E283" s="268"/>
      <c r="F283" s="268"/>
      <c r="H283" s="405"/>
      <c r="I283" s="268"/>
      <c r="K283" s="827"/>
      <c r="L283" s="823"/>
    </row>
    <row r="284">
      <c r="A284" s="22"/>
      <c r="B284" s="570"/>
      <c r="C284" s="570"/>
      <c r="D284" s="570"/>
      <c r="E284" s="268"/>
      <c r="F284" s="268"/>
      <c r="H284" s="405"/>
      <c r="I284" s="268"/>
      <c r="K284" s="827"/>
      <c r="L284" s="823"/>
    </row>
    <row r="285">
      <c r="A285" s="22"/>
      <c r="B285" s="570"/>
      <c r="C285" s="570"/>
      <c r="D285" s="570"/>
      <c r="E285" s="268"/>
      <c r="F285" s="268"/>
      <c r="H285" s="405"/>
      <c r="I285" s="268"/>
      <c r="K285" s="827"/>
      <c r="L285" s="823"/>
    </row>
    <row r="286">
      <c r="A286" s="22"/>
      <c r="B286" s="570"/>
      <c r="C286" s="570"/>
      <c r="D286" s="570"/>
      <c r="E286" s="268"/>
      <c r="F286" s="268"/>
      <c r="H286" s="405"/>
      <c r="I286" s="268"/>
      <c r="K286" s="827"/>
      <c r="L286" s="823"/>
    </row>
    <row r="287">
      <c r="A287" s="22"/>
      <c r="B287" s="570"/>
      <c r="C287" s="570"/>
      <c r="D287" s="570"/>
      <c r="E287" s="268"/>
      <c r="F287" s="268"/>
      <c r="H287" s="405"/>
      <c r="I287" s="268"/>
      <c r="K287" s="827"/>
      <c r="L287" s="823"/>
    </row>
    <row r="288">
      <c r="A288" s="22"/>
      <c r="B288" s="570"/>
      <c r="C288" s="570"/>
      <c r="D288" s="570"/>
      <c r="E288" s="268"/>
      <c r="F288" s="268"/>
      <c r="H288" s="405"/>
      <c r="I288" s="268"/>
      <c r="K288" s="827"/>
      <c r="L288" s="823"/>
    </row>
    <row r="289">
      <c r="A289" s="22"/>
      <c r="B289" s="570"/>
      <c r="C289" s="570"/>
      <c r="D289" s="570"/>
      <c r="E289" s="268"/>
      <c r="F289" s="268"/>
      <c r="H289" s="405"/>
      <c r="I289" s="268"/>
      <c r="K289" s="827"/>
      <c r="L289" s="823"/>
    </row>
    <row r="290">
      <c r="A290" s="22"/>
      <c r="B290" s="570"/>
      <c r="C290" s="570"/>
      <c r="D290" s="570"/>
      <c r="E290" s="268"/>
      <c r="F290" s="268"/>
      <c r="H290" s="405"/>
      <c r="I290" s="268"/>
      <c r="K290" s="827"/>
      <c r="L290" s="823"/>
    </row>
    <row r="291">
      <c r="A291" s="22"/>
      <c r="B291" s="570"/>
      <c r="C291" s="570"/>
      <c r="D291" s="570"/>
      <c r="E291" s="268"/>
      <c r="F291" s="268"/>
      <c r="H291" s="405"/>
      <c r="I291" s="268"/>
      <c r="K291" s="827"/>
      <c r="L291" s="823"/>
    </row>
    <row r="292">
      <c r="A292" s="22"/>
      <c r="B292" s="570"/>
      <c r="C292" s="570"/>
      <c r="D292" s="570"/>
      <c r="E292" s="268"/>
      <c r="F292" s="268"/>
      <c r="H292" s="405"/>
      <c r="I292" s="268"/>
      <c r="K292" s="827"/>
      <c r="L292" s="823"/>
    </row>
    <row r="293">
      <c r="A293" s="22"/>
      <c r="B293" s="570"/>
      <c r="C293" s="570"/>
      <c r="D293" s="570"/>
      <c r="E293" s="268"/>
      <c r="F293" s="268"/>
      <c r="H293" s="405"/>
      <c r="I293" s="268"/>
      <c r="K293" s="827"/>
      <c r="L293" s="823"/>
    </row>
    <row r="294">
      <c r="A294" s="22"/>
      <c r="B294" s="570"/>
      <c r="C294" s="570"/>
      <c r="D294" s="570"/>
      <c r="E294" s="268"/>
      <c r="F294" s="268"/>
      <c r="H294" s="405"/>
      <c r="I294" s="268"/>
      <c r="K294" s="827"/>
      <c r="L294" s="823"/>
    </row>
    <row r="295">
      <c r="A295" s="22"/>
      <c r="B295" s="570"/>
      <c r="C295" s="570"/>
      <c r="D295" s="570"/>
      <c r="E295" s="268"/>
      <c r="F295" s="268"/>
      <c r="H295" s="405"/>
      <c r="I295" s="268"/>
      <c r="K295" s="827"/>
      <c r="L295" s="823"/>
    </row>
    <row r="296">
      <c r="A296" s="22"/>
      <c r="B296" s="570"/>
      <c r="C296" s="570"/>
      <c r="D296" s="570"/>
      <c r="E296" s="268"/>
      <c r="F296" s="268"/>
      <c r="H296" s="405"/>
      <c r="I296" s="268"/>
      <c r="K296" s="827"/>
      <c r="L296" s="823"/>
    </row>
    <row r="297">
      <c r="A297" s="22"/>
      <c r="B297" s="570"/>
      <c r="C297" s="570"/>
      <c r="D297" s="570"/>
      <c r="E297" s="268"/>
      <c r="F297" s="268"/>
      <c r="H297" s="405"/>
      <c r="I297" s="268"/>
      <c r="K297" s="827"/>
      <c r="L297" s="823"/>
    </row>
    <row r="298">
      <c r="A298" s="22"/>
      <c r="B298" s="570"/>
      <c r="C298" s="570"/>
      <c r="D298" s="570"/>
      <c r="E298" s="268"/>
      <c r="F298" s="268"/>
      <c r="H298" s="405"/>
      <c r="I298" s="268"/>
      <c r="K298" s="827"/>
      <c r="L298" s="823"/>
    </row>
    <row r="299">
      <c r="A299" s="22"/>
      <c r="B299" s="570"/>
      <c r="C299" s="570"/>
      <c r="D299" s="570"/>
      <c r="E299" s="268"/>
      <c r="F299" s="268"/>
      <c r="H299" s="405"/>
      <c r="I299" s="268"/>
      <c r="K299" s="827"/>
      <c r="L299" s="823"/>
    </row>
    <row r="300">
      <c r="A300" s="22"/>
      <c r="B300" s="570"/>
      <c r="C300" s="570"/>
      <c r="D300" s="570"/>
      <c r="E300" s="268"/>
      <c r="F300" s="268"/>
      <c r="H300" s="405"/>
      <c r="I300" s="268"/>
      <c r="K300" s="827"/>
      <c r="L300" s="823"/>
    </row>
    <row r="301">
      <c r="A301" s="22"/>
      <c r="B301" s="570"/>
      <c r="C301" s="570"/>
      <c r="D301" s="570"/>
      <c r="E301" s="268"/>
      <c r="F301" s="268"/>
      <c r="H301" s="405"/>
      <c r="I301" s="268"/>
      <c r="K301" s="827"/>
      <c r="L301" s="823"/>
    </row>
    <row r="302">
      <c r="A302" s="22"/>
      <c r="B302" s="570"/>
      <c r="C302" s="570"/>
      <c r="D302" s="570"/>
      <c r="E302" s="268"/>
      <c r="F302" s="268"/>
      <c r="H302" s="405"/>
      <c r="I302" s="268"/>
      <c r="K302" s="827"/>
      <c r="L302" s="823"/>
    </row>
    <row r="303">
      <c r="A303" s="22"/>
      <c r="B303" s="570"/>
      <c r="C303" s="570"/>
      <c r="D303" s="570"/>
      <c r="E303" s="268"/>
      <c r="F303" s="268"/>
      <c r="H303" s="405"/>
      <c r="I303" s="268"/>
      <c r="K303" s="827"/>
      <c r="L303" s="823"/>
    </row>
    <row r="304">
      <c r="A304" s="22"/>
      <c r="B304" s="570"/>
      <c r="C304" s="570"/>
      <c r="D304" s="570"/>
      <c r="E304" s="268"/>
      <c r="F304" s="268"/>
      <c r="H304" s="405"/>
      <c r="I304" s="268"/>
      <c r="K304" s="827"/>
      <c r="L304" s="823"/>
    </row>
    <row r="305">
      <c r="A305" s="22"/>
      <c r="B305" s="570"/>
      <c r="C305" s="570"/>
      <c r="D305" s="570"/>
      <c r="E305" s="268"/>
      <c r="F305" s="268"/>
      <c r="H305" s="405"/>
      <c r="I305" s="268"/>
      <c r="K305" s="827"/>
      <c r="L305" s="823"/>
    </row>
    <row r="306">
      <c r="A306" s="22"/>
      <c r="B306" s="570"/>
      <c r="C306" s="570"/>
      <c r="D306" s="570"/>
      <c r="E306" s="268"/>
      <c r="F306" s="268"/>
      <c r="H306" s="405"/>
      <c r="I306" s="268"/>
      <c r="K306" s="827"/>
      <c r="L306" s="823"/>
    </row>
    <row r="307">
      <c r="A307" s="22"/>
      <c r="B307" s="570"/>
      <c r="C307" s="570"/>
      <c r="D307" s="570"/>
      <c r="E307" s="268"/>
      <c r="F307" s="268"/>
      <c r="H307" s="405"/>
      <c r="I307" s="268"/>
      <c r="K307" s="827"/>
      <c r="L307" s="823"/>
    </row>
    <row r="308">
      <c r="A308" s="22"/>
      <c r="B308" s="570"/>
      <c r="C308" s="570"/>
      <c r="D308" s="570"/>
      <c r="E308" s="268"/>
      <c r="F308" s="268"/>
      <c r="H308" s="405"/>
      <c r="I308" s="268"/>
      <c r="K308" s="827"/>
      <c r="L308" s="823"/>
    </row>
    <row r="309">
      <c r="A309" s="22"/>
      <c r="B309" s="570"/>
      <c r="C309" s="570"/>
      <c r="D309" s="570"/>
      <c r="E309" s="268"/>
      <c r="F309" s="268"/>
      <c r="H309" s="405"/>
      <c r="I309" s="268"/>
      <c r="K309" s="827"/>
      <c r="L309" s="823"/>
    </row>
    <row r="310">
      <c r="A310" s="22"/>
      <c r="B310" s="570"/>
      <c r="C310" s="570"/>
      <c r="D310" s="570"/>
      <c r="E310" s="268"/>
      <c r="F310" s="268"/>
      <c r="H310" s="405"/>
      <c r="I310" s="268"/>
      <c r="K310" s="827"/>
      <c r="L310" s="823"/>
    </row>
    <row r="311">
      <c r="A311" s="22"/>
      <c r="B311" s="570"/>
      <c r="C311" s="570"/>
      <c r="D311" s="570"/>
      <c r="E311" s="268"/>
      <c r="F311" s="268"/>
      <c r="H311" s="405"/>
      <c r="I311" s="268"/>
      <c r="K311" s="827"/>
      <c r="L311" s="823"/>
    </row>
    <row r="312">
      <c r="A312" s="22"/>
      <c r="B312" s="570"/>
      <c r="C312" s="570"/>
      <c r="D312" s="570"/>
      <c r="E312" s="268"/>
      <c r="F312" s="268"/>
      <c r="H312" s="405"/>
      <c r="I312" s="268"/>
      <c r="K312" s="827"/>
      <c r="L312" s="823"/>
    </row>
    <row r="313">
      <c r="A313" s="22"/>
      <c r="B313" s="570"/>
      <c r="C313" s="570"/>
      <c r="D313" s="570"/>
      <c r="E313" s="268"/>
      <c r="F313" s="268"/>
      <c r="H313" s="405"/>
      <c r="I313" s="268"/>
      <c r="K313" s="827"/>
      <c r="L313" s="823"/>
    </row>
    <row r="314">
      <c r="A314" s="22"/>
      <c r="B314" s="570"/>
      <c r="C314" s="570"/>
      <c r="D314" s="570"/>
      <c r="E314" s="268"/>
      <c r="F314" s="268"/>
      <c r="H314" s="405"/>
      <c r="I314" s="268"/>
      <c r="K314" s="827"/>
      <c r="L314" s="823"/>
    </row>
    <row r="315">
      <c r="A315" s="22"/>
      <c r="B315" s="570"/>
      <c r="C315" s="570"/>
      <c r="D315" s="570"/>
      <c r="E315" s="268"/>
      <c r="F315" s="268"/>
      <c r="H315" s="405"/>
      <c r="I315" s="268"/>
      <c r="K315" s="827"/>
      <c r="L315" s="823"/>
    </row>
    <row r="316">
      <c r="A316" s="22"/>
      <c r="B316" s="570"/>
      <c r="C316" s="570"/>
      <c r="D316" s="570"/>
      <c r="E316" s="268"/>
      <c r="F316" s="268"/>
      <c r="H316" s="405"/>
      <c r="I316" s="268"/>
      <c r="K316" s="827"/>
      <c r="L316" s="823"/>
    </row>
    <row r="317">
      <c r="A317" s="22"/>
      <c r="B317" s="570"/>
      <c r="C317" s="570"/>
      <c r="D317" s="570"/>
      <c r="E317" s="268"/>
      <c r="F317" s="268"/>
      <c r="H317" s="405"/>
      <c r="I317" s="268"/>
      <c r="K317" s="827"/>
      <c r="L317" s="823"/>
    </row>
    <row r="318">
      <c r="A318" s="22"/>
      <c r="B318" s="570"/>
      <c r="C318" s="570"/>
      <c r="D318" s="570"/>
      <c r="E318" s="268"/>
      <c r="F318" s="268"/>
      <c r="H318" s="405"/>
      <c r="I318" s="268"/>
      <c r="K318" s="827"/>
      <c r="L318" s="823"/>
    </row>
    <row r="319">
      <c r="A319" s="22"/>
      <c r="B319" s="570"/>
      <c r="C319" s="570"/>
      <c r="D319" s="570"/>
      <c r="E319" s="268"/>
      <c r="F319" s="268"/>
      <c r="H319" s="405"/>
      <c r="I319" s="268"/>
      <c r="K319" s="827"/>
      <c r="L319" s="823"/>
    </row>
    <row r="320">
      <c r="A320" s="22"/>
      <c r="B320" s="570"/>
      <c r="C320" s="570"/>
      <c r="D320" s="570"/>
      <c r="E320" s="268"/>
      <c r="F320" s="268"/>
      <c r="H320" s="405"/>
      <c r="I320" s="268"/>
      <c r="K320" s="827"/>
      <c r="L320" s="823"/>
    </row>
    <row r="321">
      <c r="A321" s="22"/>
      <c r="B321" s="570"/>
      <c r="C321" s="570"/>
      <c r="D321" s="570"/>
      <c r="E321" s="268"/>
      <c r="F321" s="268"/>
      <c r="H321" s="405"/>
      <c r="I321" s="268"/>
      <c r="K321" s="827"/>
      <c r="L321" s="823"/>
    </row>
    <row r="322">
      <c r="A322" s="22"/>
      <c r="B322" s="570"/>
      <c r="C322" s="570"/>
      <c r="D322" s="570"/>
      <c r="E322" s="268"/>
      <c r="F322" s="268"/>
      <c r="H322" s="405"/>
      <c r="I322" s="268"/>
      <c r="K322" s="827"/>
      <c r="L322" s="823"/>
    </row>
    <row r="323">
      <c r="A323" s="22"/>
      <c r="B323" s="570"/>
      <c r="C323" s="570"/>
      <c r="D323" s="570"/>
      <c r="E323" s="268"/>
      <c r="F323" s="268"/>
      <c r="H323" s="405"/>
      <c r="I323" s="268"/>
      <c r="K323" s="827"/>
      <c r="L323" s="823"/>
    </row>
    <row r="324">
      <c r="A324" s="22"/>
      <c r="B324" s="570"/>
      <c r="C324" s="570"/>
      <c r="D324" s="570"/>
      <c r="E324" s="268"/>
      <c r="F324" s="268"/>
      <c r="H324" s="405"/>
      <c r="I324" s="268"/>
      <c r="K324" s="827"/>
      <c r="L324" s="823"/>
    </row>
    <row r="325">
      <c r="A325" s="22"/>
      <c r="B325" s="570"/>
      <c r="C325" s="570"/>
      <c r="D325" s="570"/>
      <c r="E325" s="268"/>
      <c r="F325" s="268"/>
      <c r="H325" s="405"/>
      <c r="I325" s="268"/>
      <c r="K325" s="827"/>
      <c r="L325" s="823"/>
    </row>
    <row r="326">
      <c r="A326" s="22"/>
      <c r="B326" s="570"/>
      <c r="C326" s="570"/>
      <c r="D326" s="570"/>
      <c r="E326" s="268"/>
      <c r="F326" s="268"/>
      <c r="H326" s="405"/>
      <c r="I326" s="268"/>
      <c r="K326" s="827"/>
      <c r="L326" s="823"/>
    </row>
    <row r="327">
      <c r="A327" s="22"/>
      <c r="B327" s="570"/>
      <c r="C327" s="570"/>
      <c r="D327" s="570"/>
      <c r="E327" s="268"/>
      <c r="F327" s="268"/>
      <c r="H327" s="405"/>
      <c r="I327" s="268"/>
      <c r="K327" s="827"/>
      <c r="L327" s="823"/>
    </row>
    <row r="328">
      <c r="A328" s="22"/>
      <c r="B328" s="570"/>
      <c r="C328" s="570"/>
      <c r="D328" s="570"/>
      <c r="E328" s="268"/>
      <c r="F328" s="268"/>
      <c r="H328" s="405"/>
      <c r="I328" s="268"/>
      <c r="K328" s="827"/>
      <c r="L328" s="823"/>
    </row>
    <row r="329">
      <c r="A329" s="22"/>
      <c r="B329" s="570"/>
      <c r="C329" s="570"/>
      <c r="D329" s="570"/>
      <c r="E329" s="268"/>
      <c r="F329" s="268"/>
      <c r="H329" s="405"/>
      <c r="I329" s="268"/>
      <c r="K329" s="827"/>
      <c r="L329" s="823"/>
    </row>
    <row r="330">
      <c r="A330" s="22"/>
      <c r="B330" s="570"/>
      <c r="C330" s="570"/>
      <c r="D330" s="570"/>
      <c r="E330" s="268"/>
      <c r="F330" s="268"/>
      <c r="H330" s="405"/>
      <c r="I330" s="268"/>
      <c r="K330" s="827"/>
      <c r="L330" s="823"/>
    </row>
    <row r="331">
      <c r="A331" s="22"/>
      <c r="B331" s="570"/>
      <c r="C331" s="570"/>
      <c r="D331" s="570"/>
      <c r="E331" s="268"/>
      <c r="F331" s="268"/>
      <c r="H331" s="405"/>
      <c r="I331" s="268"/>
      <c r="K331" s="827"/>
      <c r="L331" s="823"/>
    </row>
    <row r="332">
      <c r="A332" s="22"/>
      <c r="B332" s="570"/>
      <c r="C332" s="570"/>
      <c r="D332" s="570"/>
      <c r="E332" s="268"/>
      <c r="F332" s="268"/>
      <c r="H332" s="405"/>
      <c r="I332" s="268"/>
      <c r="K332" s="827"/>
      <c r="L332" s="823"/>
    </row>
    <row r="333">
      <c r="A333" s="22"/>
      <c r="B333" s="570"/>
      <c r="C333" s="570"/>
      <c r="D333" s="570"/>
      <c r="E333" s="268"/>
      <c r="F333" s="268"/>
      <c r="H333" s="405"/>
      <c r="I333" s="268"/>
      <c r="K333" s="827"/>
      <c r="L333" s="823"/>
    </row>
    <row r="334">
      <c r="A334" s="22"/>
      <c r="B334" s="570"/>
      <c r="C334" s="570"/>
      <c r="D334" s="570"/>
      <c r="E334" s="268"/>
      <c r="F334" s="268"/>
      <c r="H334" s="405"/>
      <c r="I334" s="268"/>
      <c r="K334" s="827"/>
      <c r="L334" s="823"/>
    </row>
    <row r="335">
      <c r="A335" s="22"/>
      <c r="B335" s="570"/>
      <c r="C335" s="570"/>
      <c r="D335" s="570"/>
      <c r="E335" s="268"/>
      <c r="F335" s="268"/>
      <c r="H335" s="405"/>
      <c r="I335" s="268"/>
      <c r="K335" s="827"/>
      <c r="L335" s="823"/>
    </row>
    <row r="336">
      <c r="A336" s="22"/>
      <c r="B336" s="570"/>
      <c r="C336" s="570"/>
      <c r="D336" s="570"/>
      <c r="E336" s="268"/>
      <c r="F336" s="268"/>
      <c r="H336" s="405"/>
      <c r="I336" s="268"/>
      <c r="K336" s="827"/>
      <c r="L336" s="823"/>
    </row>
    <row r="337">
      <c r="A337" s="22"/>
      <c r="B337" s="570"/>
      <c r="C337" s="570"/>
      <c r="D337" s="570"/>
      <c r="E337" s="268"/>
      <c r="F337" s="268"/>
      <c r="H337" s="405"/>
      <c r="I337" s="268"/>
      <c r="K337" s="827"/>
      <c r="L337" s="823"/>
    </row>
    <row r="338">
      <c r="A338" s="22"/>
      <c r="B338" s="570"/>
      <c r="C338" s="570"/>
      <c r="D338" s="570"/>
      <c r="E338" s="268"/>
      <c r="F338" s="268"/>
      <c r="H338" s="405"/>
      <c r="I338" s="268"/>
      <c r="K338" s="827"/>
      <c r="L338" s="823"/>
    </row>
    <row r="339">
      <c r="A339" s="22"/>
      <c r="B339" s="570"/>
      <c r="C339" s="570"/>
      <c r="D339" s="570"/>
      <c r="E339" s="268"/>
      <c r="F339" s="268"/>
      <c r="H339" s="405"/>
      <c r="I339" s="268"/>
      <c r="K339" s="827"/>
      <c r="L339" s="823"/>
    </row>
    <row r="340">
      <c r="A340" s="22"/>
      <c r="B340" s="570"/>
      <c r="C340" s="570"/>
      <c r="D340" s="570"/>
      <c r="E340" s="268"/>
      <c r="F340" s="268"/>
      <c r="H340" s="405"/>
      <c r="I340" s="268"/>
      <c r="K340" s="827"/>
      <c r="L340" s="823"/>
    </row>
    <row r="341">
      <c r="A341" s="22"/>
      <c r="B341" s="570"/>
      <c r="C341" s="570"/>
      <c r="D341" s="570"/>
      <c r="E341" s="268"/>
      <c r="F341" s="268"/>
      <c r="H341" s="405"/>
      <c r="I341" s="268"/>
      <c r="K341" s="827"/>
      <c r="L341" s="823"/>
    </row>
    <row r="342">
      <c r="A342" s="22"/>
      <c r="B342" s="570"/>
      <c r="C342" s="570"/>
      <c r="D342" s="570"/>
      <c r="E342" s="268"/>
      <c r="F342" s="268"/>
      <c r="H342" s="405"/>
      <c r="I342" s="268"/>
      <c r="K342" s="827"/>
      <c r="L342" s="823"/>
    </row>
    <row r="343">
      <c r="A343" s="22"/>
      <c r="B343" s="570"/>
      <c r="C343" s="570"/>
      <c r="D343" s="570"/>
      <c r="E343" s="268"/>
      <c r="F343" s="268"/>
      <c r="H343" s="405"/>
      <c r="I343" s="268"/>
      <c r="K343" s="827"/>
      <c r="L343" s="823"/>
    </row>
    <row r="344">
      <c r="A344" s="22"/>
      <c r="B344" s="570"/>
      <c r="C344" s="570"/>
      <c r="D344" s="570"/>
      <c r="E344" s="268"/>
      <c r="F344" s="268"/>
      <c r="H344" s="405"/>
      <c r="I344" s="268"/>
      <c r="K344" s="827"/>
      <c r="L344" s="823"/>
    </row>
    <row r="345">
      <c r="A345" s="22"/>
      <c r="B345" s="570"/>
      <c r="C345" s="570"/>
      <c r="D345" s="570"/>
      <c r="E345" s="268"/>
      <c r="F345" s="268"/>
      <c r="H345" s="405"/>
      <c r="I345" s="268"/>
      <c r="K345" s="827"/>
      <c r="L345" s="823"/>
    </row>
    <row r="346">
      <c r="A346" s="22"/>
      <c r="B346" s="570"/>
      <c r="C346" s="570"/>
      <c r="D346" s="570"/>
      <c r="E346" s="268"/>
      <c r="F346" s="268"/>
      <c r="H346" s="405"/>
      <c r="I346" s="268"/>
      <c r="K346" s="827"/>
      <c r="L346" s="823"/>
    </row>
    <row r="347">
      <c r="A347" s="22"/>
      <c r="B347" s="570"/>
      <c r="C347" s="570"/>
      <c r="D347" s="570"/>
      <c r="E347" s="268"/>
      <c r="F347" s="268"/>
      <c r="H347" s="405"/>
      <c r="I347" s="268"/>
      <c r="K347" s="827"/>
      <c r="L347" s="823"/>
    </row>
    <row r="348">
      <c r="A348" s="22"/>
      <c r="B348" s="570"/>
      <c r="C348" s="570"/>
      <c r="D348" s="570"/>
      <c r="E348" s="268"/>
      <c r="F348" s="268"/>
      <c r="H348" s="405"/>
      <c r="I348" s="268"/>
      <c r="K348" s="827"/>
      <c r="L348" s="823"/>
    </row>
    <row r="349">
      <c r="A349" s="22"/>
      <c r="B349" s="570"/>
      <c r="C349" s="570"/>
      <c r="D349" s="570"/>
      <c r="E349" s="268"/>
      <c r="F349" s="268"/>
      <c r="H349" s="405"/>
      <c r="I349" s="268"/>
      <c r="K349" s="827"/>
      <c r="L349" s="823"/>
    </row>
    <row r="350">
      <c r="A350" s="22"/>
      <c r="B350" s="570"/>
      <c r="C350" s="570"/>
      <c r="D350" s="570"/>
      <c r="E350" s="268"/>
      <c r="F350" s="268"/>
      <c r="H350" s="405"/>
      <c r="I350" s="268"/>
      <c r="K350" s="827"/>
      <c r="L350" s="823"/>
    </row>
    <row r="351">
      <c r="A351" s="22"/>
      <c r="B351" s="570"/>
      <c r="C351" s="570"/>
      <c r="D351" s="570"/>
      <c r="E351" s="268"/>
      <c r="F351" s="268"/>
      <c r="H351" s="405"/>
      <c r="I351" s="268"/>
      <c r="K351" s="827"/>
      <c r="L351" s="823"/>
    </row>
    <row r="352">
      <c r="A352" s="22"/>
      <c r="B352" s="570"/>
      <c r="C352" s="570"/>
      <c r="D352" s="570"/>
      <c r="E352" s="268"/>
      <c r="F352" s="268"/>
      <c r="H352" s="405"/>
      <c r="I352" s="268"/>
      <c r="K352" s="827"/>
      <c r="L352" s="823"/>
    </row>
    <row r="353">
      <c r="A353" s="22"/>
      <c r="B353" s="570"/>
      <c r="C353" s="570"/>
      <c r="D353" s="570"/>
      <c r="E353" s="268"/>
      <c r="F353" s="268"/>
      <c r="H353" s="405"/>
      <c r="I353" s="268"/>
      <c r="K353" s="827"/>
      <c r="L353" s="823"/>
    </row>
    <row r="354">
      <c r="A354" s="22"/>
      <c r="B354" s="570"/>
      <c r="C354" s="570"/>
      <c r="D354" s="570"/>
      <c r="E354" s="268"/>
      <c r="F354" s="268"/>
      <c r="H354" s="405"/>
      <c r="I354" s="268"/>
      <c r="K354" s="827"/>
      <c r="L354" s="823"/>
    </row>
    <row r="355">
      <c r="A355" s="22"/>
      <c r="B355" s="570"/>
      <c r="C355" s="570"/>
      <c r="D355" s="570"/>
      <c r="E355" s="268"/>
      <c r="F355" s="268"/>
      <c r="H355" s="405"/>
      <c r="I355" s="268"/>
      <c r="K355" s="827"/>
      <c r="L355" s="823"/>
    </row>
    <row r="356">
      <c r="A356" s="22"/>
      <c r="B356" s="570"/>
      <c r="C356" s="570"/>
      <c r="D356" s="570"/>
      <c r="E356" s="268"/>
      <c r="F356" s="268"/>
      <c r="H356" s="405"/>
      <c r="I356" s="268"/>
      <c r="K356" s="827"/>
      <c r="L356" s="823"/>
    </row>
    <row r="357">
      <c r="A357" s="22"/>
      <c r="B357" s="570"/>
      <c r="C357" s="570"/>
      <c r="D357" s="570"/>
      <c r="E357" s="268"/>
      <c r="F357" s="268"/>
      <c r="H357" s="405"/>
      <c r="I357" s="268"/>
      <c r="K357" s="827"/>
      <c r="L357" s="823"/>
    </row>
    <row r="358">
      <c r="A358" s="22"/>
      <c r="B358" s="570"/>
      <c r="C358" s="570"/>
      <c r="D358" s="570"/>
      <c r="E358" s="268"/>
      <c r="F358" s="268"/>
      <c r="H358" s="405"/>
      <c r="I358" s="268"/>
      <c r="K358" s="827"/>
      <c r="L358" s="823"/>
    </row>
    <row r="359">
      <c r="A359" s="22"/>
      <c r="B359" s="570"/>
      <c r="C359" s="570"/>
      <c r="D359" s="570"/>
      <c r="E359" s="268"/>
      <c r="F359" s="268"/>
      <c r="H359" s="405"/>
      <c r="I359" s="268"/>
      <c r="K359" s="827"/>
      <c r="L359" s="823"/>
    </row>
    <row r="360">
      <c r="A360" s="22"/>
      <c r="B360" s="570"/>
      <c r="C360" s="570"/>
      <c r="D360" s="570"/>
      <c r="E360" s="268"/>
      <c r="F360" s="268"/>
      <c r="H360" s="405"/>
      <c r="I360" s="268"/>
      <c r="K360" s="827"/>
      <c r="L360" s="823"/>
    </row>
    <row r="361">
      <c r="A361" s="22"/>
      <c r="B361" s="570"/>
      <c r="C361" s="570"/>
      <c r="D361" s="570"/>
      <c r="E361" s="268"/>
      <c r="F361" s="268"/>
      <c r="H361" s="405"/>
      <c r="I361" s="268"/>
      <c r="K361" s="827"/>
      <c r="L361" s="823"/>
    </row>
    <row r="362">
      <c r="A362" s="22"/>
      <c r="B362" s="570"/>
      <c r="C362" s="570"/>
      <c r="D362" s="570"/>
      <c r="E362" s="268"/>
      <c r="F362" s="268"/>
      <c r="H362" s="405"/>
      <c r="I362" s="268"/>
      <c r="K362" s="827"/>
      <c r="L362" s="823"/>
    </row>
    <row r="363">
      <c r="A363" s="22"/>
      <c r="B363" s="570"/>
      <c r="C363" s="570"/>
      <c r="D363" s="570"/>
      <c r="E363" s="268"/>
      <c r="F363" s="268"/>
      <c r="H363" s="405"/>
      <c r="I363" s="268"/>
      <c r="K363" s="827"/>
      <c r="L363" s="823"/>
    </row>
    <row r="364">
      <c r="A364" s="22"/>
      <c r="B364" s="570"/>
      <c r="C364" s="570"/>
      <c r="D364" s="570"/>
      <c r="E364" s="268"/>
      <c r="F364" s="268"/>
      <c r="H364" s="405"/>
      <c r="I364" s="268"/>
      <c r="K364" s="827"/>
      <c r="L364" s="823"/>
    </row>
    <row r="365">
      <c r="A365" s="22"/>
      <c r="B365" s="570"/>
      <c r="C365" s="570"/>
      <c r="D365" s="570"/>
      <c r="E365" s="268"/>
      <c r="F365" s="268"/>
      <c r="H365" s="405"/>
      <c r="I365" s="268"/>
      <c r="K365" s="827"/>
      <c r="L365" s="823"/>
    </row>
    <row r="366">
      <c r="A366" s="22"/>
      <c r="B366" s="570"/>
      <c r="C366" s="570"/>
      <c r="D366" s="570"/>
      <c r="E366" s="268"/>
      <c r="F366" s="268"/>
      <c r="H366" s="405"/>
      <c r="I366" s="268"/>
      <c r="K366" s="827"/>
      <c r="L366" s="823"/>
    </row>
    <row r="367">
      <c r="A367" s="22"/>
      <c r="B367" s="570"/>
      <c r="C367" s="570"/>
      <c r="D367" s="570"/>
      <c r="E367" s="268"/>
      <c r="F367" s="268"/>
      <c r="H367" s="405"/>
      <c r="I367" s="268"/>
      <c r="K367" s="827"/>
      <c r="L367" s="823"/>
    </row>
    <row r="368">
      <c r="A368" s="22"/>
      <c r="B368" s="570"/>
      <c r="C368" s="570"/>
      <c r="D368" s="570"/>
      <c r="E368" s="268"/>
      <c r="F368" s="268"/>
      <c r="H368" s="405"/>
      <c r="I368" s="268"/>
      <c r="K368" s="827"/>
      <c r="L368" s="823"/>
    </row>
    <row r="369">
      <c r="A369" s="22"/>
      <c r="B369" s="570"/>
      <c r="C369" s="570"/>
      <c r="D369" s="570"/>
      <c r="E369" s="268"/>
      <c r="F369" s="268"/>
      <c r="H369" s="405"/>
      <c r="I369" s="268"/>
      <c r="K369" s="827"/>
      <c r="L369" s="823"/>
    </row>
    <row r="370">
      <c r="A370" s="22"/>
      <c r="B370" s="570"/>
      <c r="C370" s="570"/>
      <c r="D370" s="570"/>
      <c r="E370" s="268"/>
      <c r="F370" s="268"/>
      <c r="H370" s="405"/>
      <c r="I370" s="268"/>
      <c r="K370" s="827"/>
      <c r="L370" s="823"/>
    </row>
    <row r="371">
      <c r="A371" s="22"/>
      <c r="B371" s="570"/>
      <c r="C371" s="570"/>
      <c r="D371" s="570"/>
      <c r="E371" s="268"/>
      <c r="F371" s="268"/>
      <c r="H371" s="405"/>
      <c r="I371" s="268"/>
      <c r="K371" s="827"/>
      <c r="L371" s="823"/>
    </row>
    <row r="372">
      <c r="A372" s="22"/>
      <c r="B372" s="570"/>
      <c r="C372" s="570"/>
      <c r="D372" s="570"/>
      <c r="E372" s="268"/>
      <c r="F372" s="268"/>
      <c r="H372" s="405"/>
      <c r="I372" s="268"/>
      <c r="K372" s="827"/>
      <c r="L372" s="823"/>
    </row>
    <row r="373">
      <c r="A373" s="22"/>
      <c r="B373" s="570"/>
      <c r="C373" s="570"/>
      <c r="D373" s="570"/>
      <c r="E373" s="268"/>
      <c r="F373" s="268"/>
      <c r="H373" s="405"/>
      <c r="I373" s="268"/>
      <c r="K373" s="827"/>
      <c r="L373" s="823"/>
    </row>
    <row r="374">
      <c r="A374" s="22"/>
      <c r="B374" s="570"/>
      <c r="C374" s="570"/>
      <c r="D374" s="570"/>
      <c r="E374" s="268"/>
      <c r="F374" s="268"/>
      <c r="H374" s="405"/>
      <c r="I374" s="268"/>
      <c r="K374" s="827"/>
      <c r="L374" s="823"/>
    </row>
    <row r="375">
      <c r="A375" s="22"/>
      <c r="B375" s="570"/>
      <c r="C375" s="570"/>
      <c r="D375" s="570"/>
      <c r="E375" s="268"/>
      <c r="F375" s="268"/>
      <c r="H375" s="405"/>
      <c r="I375" s="268"/>
      <c r="K375" s="827"/>
      <c r="L375" s="823"/>
    </row>
    <row r="376">
      <c r="A376" s="22"/>
      <c r="B376" s="570"/>
      <c r="C376" s="570"/>
      <c r="D376" s="570"/>
      <c r="E376" s="268"/>
      <c r="F376" s="268"/>
      <c r="H376" s="405"/>
      <c r="I376" s="268"/>
      <c r="K376" s="827"/>
      <c r="L376" s="823"/>
    </row>
    <row r="377">
      <c r="A377" s="22"/>
      <c r="B377" s="570"/>
      <c r="C377" s="570"/>
      <c r="D377" s="570"/>
      <c r="E377" s="268"/>
      <c r="F377" s="268"/>
      <c r="H377" s="405"/>
      <c r="I377" s="268"/>
      <c r="K377" s="827"/>
      <c r="L377" s="823"/>
    </row>
    <row r="378">
      <c r="A378" s="22"/>
      <c r="B378" s="570"/>
      <c r="C378" s="570"/>
      <c r="D378" s="570"/>
      <c r="E378" s="268"/>
      <c r="F378" s="268"/>
      <c r="H378" s="405"/>
      <c r="I378" s="268"/>
      <c r="K378" s="827"/>
      <c r="L378" s="823"/>
    </row>
    <row r="379">
      <c r="A379" s="22"/>
      <c r="B379" s="570"/>
      <c r="C379" s="570"/>
      <c r="D379" s="570"/>
      <c r="E379" s="268"/>
      <c r="F379" s="268"/>
      <c r="H379" s="405"/>
      <c r="I379" s="268"/>
      <c r="K379" s="827"/>
      <c r="L379" s="823"/>
    </row>
    <row r="380">
      <c r="A380" s="22"/>
      <c r="B380" s="570"/>
      <c r="C380" s="570"/>
      <c r="D380" s="570"/>
      <c r="E380" s="268"/>
      <c r="F380" s="268"/>
      <c r="H380" s="405"/>
      <c r="I380" s="268"/>
      <c r="K380" s="827"/>
      <c r="L380" s="823"/>
    </row>
    <row r="381">
      <c r="A381" s="22"/>
      <c r="B381" s="570"/>
      <c r="C381" s="570"/>
      <c r="D381" s="570"/>
      <c r="E381" s="268"/>
      <c r="F381" s="268"/>
      <c r="H381" s="405"/>
      <c r="I381" s="268"/>
      <c r="K381" s="827"/>
      <c r="L381" s="823"/>
    </row>
    <row r="382">
      <c r="A382" s="22"/>
      <c r="B382" s="570"/>
      <c r="C382" s="570"/>
      <c r="D382" s="570"/>
      <c r="E382" s="268"/>
      <c r="F382" s="268"/>
      <c r="H382" s="405"/>
      <c r="I382" s="268"/>
      <c r="K382" s="827"/>
      <c r="L382" s="823"/>
    </row>
    <row r="383">
      <c r="A383" s="22"/>
      <c r="B383" s="570"/>
      <c r="C383" s="570"/>
      <c r="D383" s="570"/>
      <c r="E383" s="268"/>
      <c r="F383" s="268"/>
      <c r="H383" s="405"/>
      <c r="I383" s="268"/>
      <c r="K383" s="827"/>
      <c r="L383" s="823"/>
    </row>
    <row r="384">
      <c r="A384" s="22"/>
      <c r="B384" s="570"/>
      <c r="C384" s="570"/>
      <c r="D384" s="570"/>
      <c r="E384" s="268"/>
      <c r="F384" s="268"/>
      <c r="H384" s="405"/>
      <c r="I384" s="268"/>
      <c r="K384" s="827"/>
      <c r="L384" s="823"/>
    </row>
    <row r="385">
      <c r="A385" s="22"/>
      <c r="B385" s="570"/>
      <c r="C385" s="570"/>
      <c r="D385" s="570"/>
      <c r="E385" s="268"/>
      <c r="F385" s="268"/>
      <c r="H385" s="405"/>
      <c r="I385" s="268"/>
      <c r="K385" s="827"/>
      <c r="L385" s="823"/>
    </row>
    <row r="386">
      <c r="A386" s="22"/>
      <c r="B386" s="570"/>
      <c r="C386" s="570"/>
      <c r="D386" s="570"/>
      <c r="E386" s="268"/>
      <c r="F386" s="268"/>
      <c r="H386" s="405"/>
      <c r="I386" s="268"/>
      <c r="K386" s="827"/>
      <c r="L386" s="823"/>
    </row>
    <row r="387">
      <c r="A387" s="22"/>
      <c r="B387" s="570"/>
      <c r="C387" s="570"/>
      <c r="D387" s="570"/>
      <c r="E387" s="268"/>
      <c r="F387" s="268"/>
      <c r="H387" s="405"/>
      <c r="I387" s="268"/>
      <c r="K387" s="827"/>
      <c r="L387" s="823"/>
    </row>
    <row r="388">
      <c r="A388" s="22"/>
      <c r="B388" s="570"/>
      <c r="C388" s="570"/>
      <c r="D388" s="570"/>
      <c r="E388" s="268"/>
      <c r="F388" s="268"/>
      <c r="H388" s="405"/>
      <c r="I388" s="268"/>
      <c r="K388" s="827"/>
      <c r="L388" s="823"/>
    </row>
    <row r="389">
      <c r="A389" s="22"/>
      <c r="B389" s="570"/>
      <c r="C389" s="570"/>
      <c r="D389" s="570"/>
      <c r="E389" s="268"/>
      <c r="F389" s="268"/>
      <c r="H389" s="405"/>
      <c r="I389" s="268"/>
      <c r="K389" s="827"/>
      <c r="L389" s="823"/>
    </row>
    <row r="390">
      <c r="A390" s="22"/>
      <c r="B390" s="570"/>
      <c r="C390" s="570"/>
      <c r="D390" s="570"/>
      <c r="E390" s="268"/>
      <c r="F390" s="268"/>
      <c r="H390" s="405"/>
      <c r="I390" s="268"/>
      <c r="K390" s="827"/>
      <c r="L390" s="823"/>
    </row>
    <row r="391">
      <c r="A391" s="22"/>
      <c r="B391" s="570"/>
      <c r="C391" s="570"/>
      <c r="D391" s="570"/>
      <c r="E391" s="268"/>
      <c r="F391" s="268"/>
      <c r="H391" s="405"/>
      <c r="I391" s="268"/>
      <c r="K391" s="827"/>
      <c r="L391" s="823"/>
    </row>
    <row r="392">
      <c r="A392" s="22"/>
      <c r="B392" s="570"/>
      <c r="C392" s="570"/>
      <c r="D392" s="570"/>
      <c r="E392" s="268"/>
      <c r="F392" s="268"/>
      <c r="H392" s="405"/>
      <c r="I392" s="268"/>
      <c r="K392" s="827"/>
      <c r="L392" s="823"/>
    </row>
    <row r="393">
      <c r="A393" s="22"/>
      <c r="B393" s="570"/>
      <c r="C393" s="570"/>
      <c r="D393" s="570"/>
      <c r="E393" s="268"/>
      <c r="F393" s="268"/>
      <c r="H393" s="405"/>
      <c r="I393" s="268"/>
      <c r="K393" s="827"/>
      <c r="L393" s="823"/>
    </row>
    <row r="394">
      <c r="A394" s="22"/>
      <c r="B394" s="570"/>
      <c r="C394" s="570"/>
      <c r="D394" s="570"/>
      <c r="E394" s="268"/>
      <c r="F394" s="268"/>
      <c r="H394" s="405"/>
      <c r="I394" s="268"/>
      <c r="K394" s="827"/>
      <c r="L394" s="823"/>
    </row>
    <row r="395">
      <c r="A395" s="22"/>
      <c r="B395" s="570"/>
      <c r="C395" s="570"/>
      <c r="D395" s="570"/>
      <c r="E395" s="268"/>
      <c r="F395" s="268"/>
      <c r="H395" s="405"/>
      <c r="I395" s="268"/>
      <c r="K395" s="827"/>
      <c r="L395" s="823"/>
    </row>
    <row r="396">
      <c r="A396" s="22"/>
      <c r="B396" s="570"/>
      <c r="C396" s="570"/>
      <c r="D396" s="570"/>
      <c r="E396" s="268"/>
      <c r="F396" s="268"/>
      <c r="H396" s="405"/>
      <c r="I396" s="268"/>
      <c r="K396" s="827"/>
      <c r="L396" s="823"/>
    </row>
    <row r="397">
      <c r="A397" s="22"/>
      <c r="B397" s="570"/>
      <c r="C397" s="570"/>
      <c r="D397" s="570"/>
      <c r="E397" s="268"/>
      <c r="F397" s="268"/>
      <c r="H397" s="405"/>
      <c r="I397" s="268"/>
      <c r="K397" s="827"/>
      <c r="L397" s="823"/>
    </row>
    <row r="398">
      <c r="A398" s="22"/>
      <c r="B398" s="570"/>
      <c r="C398" s="570"/>
      <c r="D398" s="570"/>
      <c r="E398" s="268"/>
      <c r="F398" s="268"/>
      <c r="H398" s="405"/>
      <c r="I398" s="268"/>
      <c r="K398" s="827"/>
      <c r="L398" s="823"/>
    </row>
    <row r="399">
      <c r="A399" s="22"/>
      <c r="B399" s="570"/>
      <c r="C399" s="570"/>
      <c r="D399" s="570"/>
      <c r="E399" s="268"/>
      <c r="F399" s="268"/>
      <c r="H399" s="405"/>
      <c r="I399" s="268"/>
      <c r="K399" s="827"/>
      <c r="L399" s="823"/>
    </row>
    <row r="400">
      <c r="A400" s="22"/>
      <c r="B400" s="570"/>
      <c r="C400" s="570"/>
      <c r="D400" s="570"/>
      <c r="E400" s="268"/>
      <c r="F400" s="268"/>
      <c r="H400" s="405"/>
      <c r="I400" s="268"/>
      <c r="K400" s="827"/>
      <c r="L400" s="823"/>
    </row>
    <row r="401">
      <c r="A401" s="22"/>
      <c r="B401" s="570"/>
      <c r="C401" s="570"/>
      <c r="D401" s="570"/>
      <c r="E401" s="268"/>
      <c r="F401" s="268"/>
      <c r="H401" s="405"/>
      <c r="I401" s="268"/>
      <c r="K401" s="827"/>
      <c r="L401" s="823"/>
    </row>
    <row r="402">
      <c r="A402" s="22"/>
      <c r="B402" s="570"/>
      <c r="C402" s="570"/>
      <c r="D402" s="570"/>
      <c r="E402" s="268"/>
      <c r="F402" s="268"/>
      <c r="H402" s="405"/>
      <c r="I402" s="268"/>
      <c r="K402" s="827"/>
      <c r="L402" s="823"/>
    </row>
    <row r="403">
      <c r="A403" s="22"/>
      <c r="B403" s="570"/>
      <c r="C403" s="570"/>
      <c r="D403" s="570"/>
      <c r="E403" s="268"/>
      <c r="F403" s="268"/>
      <c r="H403" s="405"/>
      <c r="I403" s="268"/>
      <c r="K403" s="827"/>
      <c r="L403" s="823"/>
    </row>
    <row r="404">
      <c r="A404" s="22"/>
      <c r="B404" s="570"/>
      <c r="C404" s="570"/>
      <c r="D404" s="570"/>
      <c r="E404" s="268"/>
      <c r="F404" s="268"/>
      <c r="H404" s="405"/>
      <c r="I404" s="268"/>
      <c r="K404" s="827"/>
      <c r="L404" s="823"/>
    </row>
    <row r="405">
      <c r="A405" s="22"/>
      <c r="B405" s="570"/>
      <c r="C405" s="570"/>
      <c r="D405" s="570"/>
      <c r="E405" s="268"/>
      <c r="F405" s="268"/>
      <c r="H405" s="405"/>
      <c r="I405" s="268"/>
      <c r="K405" s="827"/>
      <c r="L405" s="823"/>
    </row>
    <row r="406">
      <c r="A406" s="22"/>
      <c r="B406" s="570"/>
      <c r="C406" s="570"/>
      <c r="D406" s="570"/>
      <c r="E406" s="268"/>
      <c r="F406" s="268"/>
      <c r="H406" s="405"/>
      <c r="I406" s="268"/>
      <c r="K406" s="827"/>
      <c r="L406" s="823"/>
    </row>
    <row r="407">
      <c r="A407" s="22"/>
      <c r="B407" s="570"/>
      <c r="C407" s="570"/>
      <c r="D407" s="570"/>
      <c r="E407" s="268"/>
      <c r="F407" s="268"/>
      <c r="H407" s="405"/>
      <c r="I407" s="268"/>
      <c r="K407" s="827"/>
      <c r="L407" s="823"/>
    </row>
    <row r="408">
      <c r="A408" s="22"/>
      <c r="B408" s="570"/>
      <c r="C408" s="570"/>
      <c r="D408" s="570"/>
      <c r="E408" s="268"/>
      <c r="F408" s="268"/>
      <c r="H408" s="405"/>
      <c r="I408" s="268"/>
      <c r="K408" s="827"/>
      <c r="L408" s="823"/>
    </row>
    <row r="409">
      <c r="A409" s="22"/>
      <c r="B409" s="570"/>
      <c r="C409" s="570"/>
      <c r="D409" s="570"/>
      <c r="E409" s="268"/>
      <c r="F409" s="268"/>
      <c r="H409" s="405"/>
      <c r="I409" s="268"/>
      <c r="K409" s="827"/>
      <c r="L409" s="823"/>
    </row>
    <row r="410">
      <c r="A410" s="22"/>
      <c r="B410" s="570"/>
      <c r="C410" s="570"/>
      <c r="D410" s="570"/>
      <c r="E410" s="268"/>
      <c r="F410" s="268"/>
      <c r="H410" s="405"/>
      <c r="I410" s="268"/>
      <c r="K410" s="827"/>
      <c r="L410" s="823"/>
    </row>
    <row r="411">
      <c r="A411" s="22"/>
      <c r="B411" s="570"/>
      <c r="C411" s="570"/>
      <c r="D411" s="570"/>
      <c r="E411" s="268"/>
      <c r="F411" s="268"/>
      <c r="H411" s="405"/>
      <c r="I411" s="268"/>
      <c r="K411" s="827"/>
      <c r="L411" s="823"/>
    </row>
    <row r="412">
      <c r="A412" s="22"/>
      <c r="B412" s="570"/>
      <c r="C412" s="570"/>
      <c r="D412" s="570"/>
      <c r="E412" s="268"/>
      <c r="F412" s="268"/>
      <c r="H412" s="405"/>
      <c r="I412" s="268"/>
      <c r="K412" s="827"/>
      <c r="L412" s="823"/>
    </row>
    <row r="413">
      <c r="A413" s="22"/>
      <c r="B413" s="570"/>
      <c r="C413" s="570"/>
      <c r="D413" s="570"/>
      <c r="E413" s="268"/>
      <c r="F413" s="268"/>
      <c r="H413" s="405"/>
      <c r="I413" s="268"/>
      <c r="K413" s="827"/>
      <c r="L413" s="823"/>
    </row>
    <row r="414">
      <c r="A414" s="22"/>
      <c r="B414" s="570"/>
      <c r="C414" s="570"/>
      <c r="D414" s="570"/>
      <c r="E414" s="268"/>
      <c r="F414" s="268"/>
      <c r="H414" s="405"/>
      <c r="I414" s="268"/>
      <c r="K414" s="827"/>
      <c r="L414" s="823"/>
    </row>
    <row r="415">
      <c r="A415" s="22"/>
      <c r="B415" s="570"/>
      <c r="C415" s="570"/>
      <c r="D415" s="570"/>
      <c r="E415" s="268"/>
      <c r="F415" s="268"/>
      <c r="H415" s="405"/>
      <c r="I415" s="268"/>
      <c r="K415" s="827"/>
      <c r="L415" s="823"/>
    </row>
    <row r="416">
      <c r="A416" s="22"/>
      <c r="B416" s="570"/>
      <c r="C416" s="570"/>
      <c r="D416" s="570"/>
      <c r="E416" s="268"/>
      <c r="F416" s="268"/>
      <c r="H416" s="405"/>
      <c r="I416" s="268"/>
      <c r="K416" s="827"/>
      <c r="L416" s="823"/>
    </row>
    <row r="417">
      <c r="A417" s="22"/>
      <c r="B417" s="570"/>
      <c r="C417" s="570"/>
      <c r="D417" s="570"/>
      <c r="E417" s="268"/>
      <c r="F417" s="268"/>
      <c r="H417" s="405"/>
      <c r="I417" s="268"/>
      <c r="K417" s="827"/>
      <c r="L417" s="823"/>
    </row>
    <row r="418">
      <c r="A418" s="22"/>
      <c r="B418" s="570"/>
      <c r="C418" s="570"/>
      <c r="D418" s="570"/>
      <c r="E418" s="268"/>
      <c r="F418" s="268"/>
      <c r="H418" s="405"/>
      <c r="I418" s="268"/>
      <c r="K418" s="827"/>
      <c r="L418" s="823"/>
    </row>
    <row r="419">
      <c r="A419" s="22"/>
      <c r="B419" s="570"/>
      <c r="C419" s="570"/>
      <c r="D419" s="570"/>
      <c r="E419" s="268"/>
      <c r="F419" s="268"/>
      <c r="H419" s="405"/>
      <c r="I419" s="268"/>
      <c r="K419" s="827"/>
      <c r="L419" s="823"/>
    </row>
    <row r="420">
      <c r="A420" s="22"/>
      <c r="B420" s="570"/>
      <c r="C420" s="570"/>
      <c r="D420" s="570"/>
      <c r="E420" s="268"/>
      <c r="F420" s="268"/>
      <c r="H420" s="405"/>
      <c r="I420" s="268"/>
      <c r="K420" s="827"/>
      <c r="L420" s="823"/>
    </row>
    <row r="421">
      <c r="A421" s="22"/>
      <c r="B421" s="570"/>
      <c r="C421" s="570"/>
      <c r="D421" s="570"/>
      <c r="E421" s="268"/>
      <c r="F421" s="268"/>
      <c r="H421" s="405"/>
      <c r="I421" s="268"/>
      <c r="K421" s="827"/>
      <c r="L421" s="823"/>
    </row>
    <row r="422">
      <c r="A422" s="22"/>
      <c r="B422" s="570"/>
      <c r="C422" s="570"/>
      <c r="D422" s="570"/>
      <c r="E422" s="268"/>
      <c r="F422" s="268"/>
      <c r="H422" s="405"/>
      <c r="I422" s="268"/>
      <c r="K422" s="827"/>
      <c r="L422" s="823"/>
    </row>
    <row r="423">
      <c r="A423" s="22"/>
      <c r="B423" s="570"/>
      <c r="C423" s="570"/>
      <c r="D423" s="570"/>
      <c r="E423" s="268"/>
      <c r="F423" s="268"/>
      <c r="H423" s="405"/>
      <c r="I423" s="268"/>
      <c r="K423" s="827"/>
      <c r="L423" s="823"/>
    </row>
    <row r="424">
      <c r="A424" s="22"/>
      <c r="B424" s="570"/>
      <c r="C424" s="570"/>
      <c r="D424" s="570"/>
      <c r="E424" s="268"/>
      <c r="F424" s="268"/>
      <c r="H424" s="405"/>
      <c r="I424" s="268"/>
      <c r="K424" s="827"/>
      <c r="L424" s="823"/>
    </row>
    <row r="425">
      <c r="A425" s="22"/>
      <c r="B425" s="570"/>
      <c r="C425" s="570"/>
      <c r="D425" s="570"/>
      <c r="E425" s="268"/>
      <c r="F425" s="268"/>
      <c r="H425" s="405"/>
      <c r="I425" s="268"/>
      <c r="K425" s="827"/>
      <c r="L425" s="823"/>
    </row>
    <row r="426">
      <c r="A426" s="22"/>
      <c r="B426" s="570"/>
      <c r="C426" s="570"/>
      <c r="D426" s="570"/>
      <c r="E426" s="268"/>
      <c r="F426" s="268"/>
      <c r="H426" s="405"/>
      <c r="I426" s="268"/>
      <c r="K426" s="827"/>
      <c r="L426" s="823"/>
    </row>
    <row r="427">
      <c r="A427" s="22"/>
      <c r="B427" s="570"/>
      <c r="C427" s="570"/>
      <c r="D427" s="570"/>
      <c r="E427" s="268"/>
      <c r="F427" s="268"/>
      <c r="H427" s="405"/>
      <c r="I427" s="268"/>
      <c r="K427" s="827"/>
      <c r="L427" s="823"/>
    </row>
    <row r="428">
      <c r="A428" s="22"/>
      <c r="B428" s="570"/>
      <c r="C428" s="570"/>
      <c r="D428" s="570"/>
      <c r="E428" s="268"/>
      <c r="F428" s="268"/>
      <c r="H428" s="405"/>
      <c r="I428" s="268"/>
      <c r="K428" s="827"/>
      <c r="L428" s="823"/>
    </row>
    <row r="429">
      <c r="A429" s="22"/>
      <c r="B429" s="570"/>
      <c r="C429" s="570"/>
      <c r="D429" s="570"/>
      <c r="E429" s="268"/>
      <c r="F429" s="268"/>
      <c r="H429" s="405"/>
      <c r="I429" s="268"/>
      <c r="K429" s="827"/>
      <c r="L429" s="823"/>
    </row>
    <row r="430">
      <c r="A430" s="22"/>
      <c r="B430" s="570"/>
      <c r="C430" s="570"/>
      <c r="D430" s="570"/>
      <c r="E430" s="268"/>
      <c r="F430" s="268"/>
      <c r="H430" s="405"/>
      <c r="I430" s="268"/>
      <c r="K430" s="827"/>
      <c r="L430" s="823"/>
    </row>
    <row r="431">
      <c r="A431" s="22"/>
      <c r="B431" s="570"/>
      <c r="C431" s="570"/>
      <c r="D431" s="570"/>
      <c r="E431" s="268"/>
      <c r="F431" s="268"/>
      <c r="H431" s="405"/>
      <c r="I431" s="268"/>
      <c r="K431" s="827"/>
      <c r="L431" s="823"/>
    </row>
    <row r="432">
      <c r="A432" s="22"/>
      <c r="B432" s="570"/>
      <c r="C432" s="570"/>
      <c r="D432" s="570"/>
      <c r="E432" s="268"/>
      <c r="F432" s="268"/>
      <c r="H432" s="405"/>
      <c r="I432" s="268"/>
      <c r="K432" s="827"/>
      <c r="L432" s="823"/>
    </row>
    <row r="433">
      <c r="A433" s="22"/>
      <c r="B433" s="570"/>
      <c r="C433" s="570"/>
      <c r="D433" s="570"/>
      <c r="E433" s="268"/>
      <c r="F433" s="268"/>
      <c r="H433" s="405"/>
      <c r="I433" s="268"/>
      <c r="K433" s="827"/>
      <c r="L433" s="823"/>
    </row>
    <row r="434">
      <c r="A434" s="22"/>
      <c r="B434" s="570"/>
      <c r="C434" s="570"/>
      <c r="D434" s="570"/>
      <c r="E434" s="268"/>
      <c r="F434" s="268"/>
      <c r="H434" s="405"/>
      <c r="I434" s="268"/>
      <c r="K434" s="827"/>
      <c r="L434" s="823"/>
    </row>
    <row r="435">
      <c r="A435" s="22"/>
      <c r="B435" s="570"/>
      <c r="C435" s="570"/>
      <c r="D435" s="570"/>
      <c r="E435" s="268"/>
      <c r="F435" s="268"/>
      <c r="H435" s="405"/>
      <c r="I435" s="268"/>
      <c r="K435" s="827"/>
      <c r="L435" s="823"/>
    </row>
    <row r="436">
      <c r="A436" s="22"/>
      <c r="B436" s="570"/>
      <c r="C436" s="570"/>
      <c r="D436" s="570"/>
      <c r="E436" s="268"/>
      <c r="F436" s="268"/>
      <c r="H436" s="405"/>
      <c r="I436" s="268"/>
      <c r="K436" s="827"/>
      <c r="L436" s="823"/>
    </row>
    <row r="437">
      <c r="A437" s="22"/>
      <c r="B437" s="570"/>
      <c r="C437" s="570"/>
      <c r="D437" s="570"/>
      <c r="E437" s="268"/>
      <c r="F437" s="268"/>
      <c r="H437" s="405"/>
      <c r="I437" s="268"/>
      <c r="K437" s="827"/>
      <c r="L437" s="823"/>
    </row>
    <row r="438">
      <c r="A438" s="22"/>
      <c r="B438" s="570"/>
      <c r="C438" s="570"/>
      <c r="D438" s="570"/>
      <c r="E438" s="268"/>
      <c r="F438" s="268"/>
      <c r="H438" s="405"/>
      <c r="I438" s="268"/>
      <c r="K438" s="827"/>
      <c r="L438" s="823"/>
    </row>
    <row r="439">
      <c r="A439" s="22"/>
      <c r="B439" s="570"/>
      <c r="C439" s="570"/>
      <c r="D439" s="570"/>
      <c r="E439" s="268"/>
      <c r="F439" s="268"/>
      <c r="H439" s="405"/>
      <c r="I439" s="268"/>
      <c r="K439" s="827"/>
      <c r="L439" s="823"/>
    </row>
    <row r="440">
      <c r="A440" s="22"/>
      <c r="B440" s="570"/>
      <c r="C440" s="570"/>
      <c r="D440" s="570"/>
      <c r="E440" s="268"/>
      <c r="F440" s="268"/>
      <c r="H440" s="405"/>
      <c r="I440" s="268"/>
      <c r="K440" s="827"/>
      <c r="L440" s="823"/>
    </row>
    <row r="441">
      <c r="A441" s="22"/>
      <c r="B441" s="570"/>
      <c r="C441" s="570"/>
      <c r="D441" s="570"/>
      <c r="E441" s="268"/>
      <c r="F441" s="268"/>
      <c r="H441" s="405"/>
      <c r="I441" s="268"/>
      <c r="K441" s="827"/>
      <c r="L441" s="823"/>
    </row>
    <row r="442">
      <c r="A442" s="22"/>
      <c r="B442" s="570"/>
      <c r="C442" s="570"/>
      <c r="D442" s="570"/>
      <c r="E442" s="268"/>
      <c r="F442" s="268"/>
      <c r="H442" s="405"/>
      <c r="I442" s="268"/>
      <c r="K442" s="827"/>
      <c r="L442" s="823"/>
    </row>
    <row r="443">
      <c r="A443" s="22"/>
      <c r="B443" s="570"/>
      <c r="C443" s="570"/>
      <c r="D443" s="570"/>
      <c r="E443" s="268"/>
      <c r="F443" s="268"/>
      <c r="H443" s="405"/>
      <c r="I443" s="268"/>
      <c r="K443" s="827"/>
      <c r="L443" s="823"/>
    </row>
    <row r="444">
      <c r="A444" s="22"/>
      <c r="B444" s="570"/>
      <c r="C444" s="570"/>
      <c r="D444" s="570"/>
      <c r="E444" s="268"/>
      <c r="F444" s="268"/>
      <c r="H444" s="405"/>
      <c r="I444" s="268"/>
      <c r="K444" s="827"/>
      <c r="L444" s="823"/>
    </row>
    <row r="445">
      <c r="A445" s="22"/>
      <c r="B445" s="570"/>
      <c r="C445" s="570"/>
      <c r="D445" s="570"/>
      <c r="E445" s="268"/>
      <c r="F445" s="268"/>
      <c r="H445" s="405"/>
      <c r="I445" s="268"/>
      <c r="K445" s="827"/>
      <c r="L445" s="823"/>
    </row>
    <row r="446">
      <c r="A446" s="22"/>
      <c r="B446" s="570"/>
      <c r="C446" s="570"/>
      <c r="D446" s="570"/>
      <c r="E446" s="268"/>
      <c r="F446" s="268"/>
      <c r="H446" s="405"/>
      <c r="I446" s="268"/>
      <c r="K446" s="827"/>
      <c r="L446" s="823"/>
    </row>
    <row r="447">
      <c r="A447" s="22"/>
      <c r="B447" s="570"/>
      <c r="C447" s="570"/>
      <c r="D447" s="570"/>
      <c r="E447" s="268"/>
      <c r="F447" s="268"/>
      <c r="H447" s="405"/>
      <c r="I447" s="268"/>
      <c r="K447" s="827"/>
      <c r="L447" s="823"/>
    </row>
    <row r="448">
      <c r="A448" s="22"/>
      <c r="B448" s="570"/>
      <c r="C448" s="570"/>
      <c r="D448" s="570"/>
      <c r="E448" s="268"/>
      <c r="F448" s="268"/>
      <c r="H448" s="405"/>
      <c r="I448" s="268"/>
      <c r="K448" s="827"/>
      <c r="L448" s="823"/>
    </row>
    <row r="449">
      <c r="A449" s="22"/>
      <c r="B449" s="570"/>
      <c r="C449" s="570"/>
      <c r="D449" s="570"/>
      <c r="E449" s="268"/>
      <c r="F449" s="268"/>
      <c r="H449" s="405"/>
      <c r="I449" s="268"/>
      <c r="K449" s="827"/>
      <c r="L449" s="823"/>
    </row>
    <row r="450">
      <c r="A450" s="22"/>
      <c r="B450" s="570"/>
      <c r="C450" s="570"/>
      <c r="D450" s="570"/>
      <c r="E450" s="268"/>
      <c r="F450" s="268"/>
      <c r="H450" s="405"/>
      <c r="I450" s="268"/>
      <c r="K450" s="827"/>
      <c r="L450" s="823"/>
    </row>
    <row r="451">
      <c r="A451" s="22"/>
      <c r="B451" s="570"/>
      <c r="C451" s="570"/>
      <c r="D451" s="570"/>
      <c r="E451" s="268"/>
      <c r="F451" s="268"/>
      <c r="H451" s="405"/>
      <c r="I451" s="268"/>
      <c r="K451" s="827"/>
      <c r="L451" s="823"/>
    </row>
    <row r="452">
      <c r="A452" s="22"/>
      <c r="B452" s="570"/>
      <c r="C452" s="570"/>
      <c r="D452" s="570"/>
      <c r="E452" s="268"/>
      <c r="F452" s="268"/>
      <c r="H452" s="405"/>
      <c r="I452" s="268"/>
      <c r="K452" s="827"/>
      <c r="L452" s="823"/>
    </row>
    <row r="453">
      <c r="A453" s="22"/>
      <c r="B453" s="570"/>
      <c r="C453" s="570"/>
      <c r="D453" s="570"/>
      <c r="E453" s="268"/>
      <c r="F453" s="268"/>
      <c r="H453" s="405"/>
      <c r="I453" s="268"/>
      <c r="K453" s="827"/>
      <c r="L453" s="823"/>
    </row>
    <row r="454">
      <c r="A454" s="22"/>
      <c r="B454" s="570"/>
      <c r="C454" s="570"/>
      <c r="D454" s="570"/>
      <c r="E454" s="268"/>
      <c r="F454" s="268"/>
      <c r="H454" s="405"/>
      <c r="I454" s="268"/>
      <c r="K454" s="827"/>
      <c r="L454" s="823"/>
    </row>
    <row r="455">
      <c r="A455" s="22"/>
      <c r="B455" s="570"/>
      <c r="C455" s="570"/>
      <c r="D455" s="570"/>
      <c r="E455" s="268"/>
      <c r="F455" s="268"/>
      <c r="H455" s="405"/>
      <c r="I455" s="268"/>
      <c r="K455" s="827"/>
      <c r="L455" s="823"/>
    </row>
    <row r="456">
      <c r="A456" s="22"/>
      <c r="B456" s="570"/>
      <c r="C456" s="570"/>
      <c r="D456" s="570"/>
      <c r="E456" s="268"/>
      <c r="F456" s="268"/>
      <c r="H456" s="405"/>
      <c r="I456" s="268"/>
      <c r="K456" s="827"/>
      <c r="L456" s="823"/>
    </row>
    <row r="457">
      <c r="A457" s="22"/>
      <c r="B457" s="570"/>
      <c r="C457" s="570"/>
      <c r="D457" s="570"/>
      <c r="E457" s="268"/>
      <c r="F457" s="268"/>
      <c r="H457" s="405"/>
      <c r="I457" s="268"/>
      <c r="K457" s="827"/>
      <c r="L457" s="823"/>
    </row>
    <row r="458">
      <c r="A458" s="22"/>
      <c r="B458" s="570"/>
      <c r="C458" s="570"/>
      <c r="D458" s="570"/>
      <c r="E458" s="268"/>
      <c r="F458" s="268"/>
      <c r="H458" s="405"/>
      <c r="I458" s="268"/>
      <c r="K458" s="827"/>
      <c r="L458" s="823"/>
    </row>
    <row r="459">
      <c r="A459" s="22"/>
      <c r="B459" s="570"/>
      <c r="C459" s="570"/>
      <c r="D459" s="570"/>
      <c r="E459" s="268"/>
      <c r="F459" s="268"/>
      <c r="H459" s="405"/>
      <c r="I459" s="268"/>
      <c r="K459" s="827"/>
      <c r="L459" s="823"/>
    </row>
    <row r="460">
      <c r="A460" s="22"/>
      <c r="B460" s="570"/>
      <c r="C460" s="570"/>
      <c r="D460" s="570"/>
      <c r="E460" s="268"/>
      <c r="F460" s="268"/>
      <c r="H460" s="405"/>
      <c r="I460" s="268"/>
      <c r="K460" s="827"/>
      <c r="L460" s="823"/>
    </row>
    <row r="461">
      <c r="A461" s="22"/>
      <c r="B461" s="570"/>
      <c r="C461" s="570"/>
      <c r="D461" s="570"/>
      <c r="E461" s="268"/>
      <c r="F461" s="268"/>
      <c r="H461" s="405"/>
      <c r="I461" s="268"/>
      <c r="K461" s="827"/>
      <c r="L461" s="823"/>
    </row>
    <row r="462">
      <c r="A462" s="22"/>
      <c r="B462" s="570"/>
      <c r="C462" s="570"/>
      <c r="D462" s="570"/>
      <c r="E462" s="268"/>
      <c r="F462" s="268"/>
      <c r="H462" s="405"/>
      <c r="I462" s="268"/>
      <c r="K462" s="827"/>
      <c r="L462" s="823"/>
    </row>
    <row r="463">
      <c r="A463" s="22"/>
      <c r="B463" s="570"/>
      <c r="C463" s="570"/>
      <c r="D463" s="570"/>
      <c r="E463" s="268"/>
      <c r="F463" s="268"/>
      <c r="H463" s="405"/>
      <c r="I463" s="268"/>
      <c r="K463" s="827"/>
      <c r="L463" s="823"/>
    </row>
    <row r="464">
      <c r="A464" s="22"/>
      <c r="B464" s="570"/>
      <c r="C464" s="570"/>
      <c r="D464" s="570"/>
      <c r="E464" s="268"/>
      <c r="F464" s="268"/>
      <c r="H464" s="405"/>
      <c r="I464" s="268"/>
      <c r="K464" s="827"/>
      <c r="L464" s="823"/>
    </row>
    <row r="465">
      <c r="A465" s="22"/>
      <c r="B465" s="570"/>
      <c r="C465" s="570"/>
      <c r="D465" s="570"/>
      <c r="E465" s="268"/>
      <c r="F465" s="268"/>
      <c r="H465" s="405"/>
      <c r="I465" s="268"/>
      <c r="K465" s="827"/>
      <c r="L465" s="823"/>
    </row>
    <row r="466">
      <c r="A466" s="22"/>
      <c r="B466" s="570"/>
      <c r="C466" s="570"/>
      <c r="D466" s="570"/>
      <c r="E466" s="268"/>
      <c r="F466" s="268"/>
      <c r="H466" s="405"/>
      <c r="I466" s="268"/>
      <c r="K466" s="827"/>
      <c r="L466" s="823"/>
    </row>
    <row r="467">
      <c r="A467" s="22"/>
      <c r="B467" s="570"/>
      <c r="C467" s="570"/>
      <c r="D467" s="570"/>
      <c r="E467" s="268"/>
      <c r="F467" s="268"/>
      <c r="H467" s="405"/>
      <c r="I467" s="268"/>
      <c r="K467" s="827"/>
      <c r="L467" s="823"/>
    </row>
    <row r="468">
      <c r="A468" s="22"/>
      <c r="B468" s="570"/>
      <c r="C468" s="570"/>
      <c r="D468" s="570"/>
      <c r="E468" s="268"/>
      <c r="F468" s="268"/>
      <c r="H468" s="405"/>
      <c r="I468" s="268"/>
      <c r="K468" s="827"/>
      <c r="L468" s="823"/>
    </row>
    <row r="469">
      <c r="A469" s="22"/>
      <c r="B469" s="570"/>
      <c r="C469" s="570"/>
      <c r="D469" s="570"/>
      <c r="E469" s="268"/>
      <c r="F469" s="268"/>
      <c r="H469" s="405"/>
      <c r="I469" s="268"/>
      <c r="K469" s="827"/>
      <c r="L469" s="823"/>
    </row>
    <row r="470">
      <c r="A470" s="22"/>
      <c r="B470" s="570"/>
      <c r="C470" s="570"/>
      <c r="D470" s="570"/>
      <c r="E470" s="268"/>
      <c r="F470" s="268"/>
      <c r="H470" s="405"/>
      <c r="I470" s="268"/>
      <c r="K470" s="827"/>
      <c r="L470" s="823"/>
    </row>
    <row r="471">
      <c r="A471" s="22"/>
      <c r="B471" s="570"/>
      <c r="C471" s="570"/>
      <c r="D471" s="570"/>
      <c r="E471" s="268"/>
      <c r="F471" s="268"/>
      <c r="H471" s="405"/>
      <c r="I471" s="268"/>
      <c r="K471" s="827"/>
      <c r="L471" s="823"/>
    </row>
    <row r="472">
      <c r="A472" s="22"/>
      <c r="B472" s="570"/>
      <c r="C472" s="570"/>
      <c r="D472" s="570"/>
      <c r="E472" s="268"/>
      <c r="F472" s="268"/>
      <c r="H472" s="405"/>
      <c r="I472" s="268"/>
      <c r="K472" s="827"/>
      <c r="L472" s="823"/>
    </row>
    <row r="473">
      <c r="A473" s="22"/>
      <c r="B473" s="570"/>
      <c r="C473" s="570"/>
      <c r="D473" s="570"/>
      <c r="E473" s="268"/>
      <c r="F473" s="268"/>
      <c r="H473" s="405"/>
      <c r="I473" s="268"/>
      <c r="K473" s="827"/>
      <c r="L473" s="823"/>
    </row>
    <row r="474">
      <c r="A474" s="22"/>
      <c r="B474" s="570"/>
      <c r="C474" s="570"/>
      <c r="D474" s="570"/>
      <c r="E474" s="268"/>
      <c r="F474" s="268"/>
      <c r="H474" s="405"/>
      <c r="I474" s="268"/>
      <c r="K474" s="827"/>
      <c r="L474" s="823"/>
    </row>
    <row r="475">
      <c r="A475" s="22"/>
      <c r="B475" s="570"/>
      <c r="C475" s="570"/>
      <c r="D475" s="570"/>
      <c r="E475" s="268"/>
      <c r="F475" s="268"/>
      <c r="H475" s="405"/>
      <c r="I475" s="268"/>
      <c r="K475" s="827"/>
      <c r="L475" s="823"/>
    </row>
    <row r="476">
      <c r="A476" s="22"/>
      <c r="B476" s="570"/>
      <c r="C476" s="570"/>
      <c r="D476" s="570"/>
      <c r="E476" s="268"/>
      <c r="F476" s="268"/>
      <c r="H476" s="405"/>
      <c r="I476" s="268"/>
      <c r="K476" s="827"/>
      <c r="L476" s="823"/>
    </row>
    <row r="477">
      <c r="A477" s="22"/>
      <c r="B477" s="570"/>
      <c r="C477" s="570"/>
      <c r="D477" s="570"/>
      <c r="E477" s="268"/>
      <c r="F477" s="268"/>
      <c r="H477" s="405"/>
      <c r="I477" s="268"/>
      <c r="K477" s="827"/>
      <c r="L477" s="823"/>
    </row>
    <row r="478">
      <c r="A478" s="22"/>
      <c r="B478" s="570"/>
      <c r="C478" s="570"/>
      <c r="D478" s="570"/>
      <c r="E478" s="268"/>
      <c r="F478" s="268"/>
      <c r="H478" s="405"/>
      <c r="I478" s="268"/>
      <c r="K478" s="827"/>
      <c r="L478" s="823"/>
    </row>
    <row r="479">
      <c r="A479" s="22"/>
      <c r="B479" s="570"/>
      <c r="C479" s="570"/>
      <c r="D479" s="570"/>
      <c r="E479" s="268"/>
      <c r="F479" s="268"/>
      <c r="H479" s="405"/>
      <c r="I479" s="268"/>
      <c r="K479" s="827"/>
      <c r="L479" s="823"/>
    </row>
    <row r="480">
      <c r="A480" s="22"/>
      <c r="B480" s="570"/>
      <c r="C480" s="570"/>
      <c r="D480" s="570"/>
      <c r="E480" s="268"/>
      <c r="F480" s="268"/>
      <c r="H480" s="405"/>
      <c r="I480" s="268"/>
      <c r="K480" s="827"/>
      <c r="L480" s="823"/>
    </row>
    <row r="481">
      <c r="A481" s="22"/>
      <c r="B481" s="570"/>
      <c r="C481" s="570"/>
      <c r="D481" s="570"/>
      <c r="E481" s="268"/>
      <c r="F481" s="268"/>
      <c r="H481" s="405"/>
      <c r="I481" s="268"/>
      <c r="K481" s="827"/>
      <c r="L481" s="823"/>
    </row>
    <row r="482">
      <c r="A482" s="22"/>
      <c r="B482" s="570"/>
      <c r="C482" s="570"/>
      <c r="D482" s="570"/>
      <c r="E482" s="268"/>
      <c r="F482" s="268"/>
      <c r="H482" s="405"/>
      <c r="I482" s="268"/>
      <c r="K482" s="827"/>
      <c r="L482" s="823"/>
    </row>
    <row r="483">
      <c r="A483" s="22"/>
      <c r="B483" s="570"/>
      <c r="C483" s="570"/>
      <c r="D483" s="570"/>
      <c r="E483" s="268"/>
      <c r="F483" s="268"/>
      <c r="H483" s="405"/>
      <c r="I483" s="268"/>
      <c r="K483" s="827"/>
      <c r="L483" s="823"/>
    </row>
    <row r="484">
      <c r="A484" s="22"/>
      <c r="B484" s="570"/>
      <c r="C484" s="570"/>
      <c r="D484" s="570"/>
      <c r="E484" s="268"/>
      <c r="F484" s="268"/>
      <c r="H484" s="405"/>
      <c r="I484" s="268"/>
      <c r="K484" s="827"/>
      <c r="L484" s="823"/>
    </row>
    <row r="485">
      <c r="A485" s="22"/>
      <c r="B485" s="570"/>
      <c r="C485" s="570"/>
      <c r="D485" s="570"/>
      <c r="E485" s="268"/>
      <c r="F485" s="268"/>
      <c r="H485" s="405"/>
      <c r="I485" s="268"/>
      <c r="K485" s="827"/>
      <c r="L485" s="823"/>
    </row>
    <row r="486">
      <c r="A486" s="22"/>
      <c r="B486" s="570"/>
      <c r="C486" s="570"/>
      <c r="D486" s="570"/>
      <c r="E486" s="268"/>
      <c r="F486" s="268"/>
      <c r="H486" s="405"/>
      <c r="I486" s="268"/>
      <c r="K486" s="827"/>
      <c r="L486" s="823"/>
    </row>
    <row r="487">
      <c r="A487" s="22"/>
      <c r="B487" s="570"/>
      <c r="C487" s="570"/>
      <c r="D487" s="570"/>
      <c r="E487" s="268"/>
      <c r="F487" s="268"/>
      <c r="H487" s="405"/>
      <c r="I487" s="268"/>
      <c r="K487" s="827"/>
      <c r="L487" s="823"/>
    </row>
    <row r="488">
      <c r="A488" s="22"/>
      <c r="B488" s="570"/>
      <c r="C488" s="570"/>
      <c r="D488" s="570"/>
      <c r="E488" s="268"/>
      <c r="F488" s="268"/>
      <c r="H488" s="405"/>
      <c r="I488" s="268"/>
      <c r="K488" s="827"/>
      <c r="L488" s="823"/>
    </row>
    <row r="489">
      <c r="A489" s="22"/>
      <c r="B489" s="570"/>
      <c r="C489" s="570"/>
      <c r="D489" s="570"/>
      <c r="E489" s="268"/>
      <c r="F489" s="268"/>
      <c r="H489" s="405"/>
      <c r="I489" s="268"/>
      <c r="K489" s="827"/>
      <c r="L489" s="823"/>
    </row>
    <row r="490">
      <c r="A490" s="22"/>
      <c r="B490" s="570"/>
      <c r="C490" s="570"/>
      <c r="D490" s="570"/>
      <c r="E490" s="268"/>
      <c r="F490" s="268"/>
      <c r="H490" s="405"/>
      <c r="I490" s="268"/>
      <c r="K490" s="827"/>
      <c r="L490" s="823"/>
    </row>
    <row r="491">
      <c r="A491" s="22"/>
      <c r="B491" s="570"/>
      <c r="C491" s="570"/>
      <c r="D491" s="570"/>
      <c r="E491" s="268"/>
      <c r="F491" s="268"/>
      <c r="H491" s="405"/>
      <c r="I491" s="268"/>
      <c r="K491" s="827"/>
      <c r="L491" s="823"/>
    </row>
    <row r="492">
      <c r="A492" s="22"/>
      <c r="B492" s="570"/>
      <c r="C492" s="570"/>
      <c r="D492" s="570"/>
      <c r="E492" s="268"/>
      <c r="F492" s="268"/>
      <c r="H492" s="405"/>
      <c r="I492" s="268"/>
      <c r="K492" s="827"/>
      <c r="L492" s="823"/>
    </row>
    <row r="493">
      <c r="A493" s="22"/>
      <c r="B493" s="570"/>
      <c r="C493" s="570"/>
      <c r="D493" s="570"/>
      <c r="E493" s="268"/>
      <c r="F493" s="268"/>
      <c r="H493" s="405"/>
      <c r="I493" s="268"/>
      <c r="K493" s="827"/>
      <c r="L493" s="823"/>
    </row>
    <row r="494">
      <c r="A494" s="22"/>
      <c r="B494" s="570"/>
      <c r="C494" s="570"/>
      <c r="D494" s="570"/>
      <c r="E494" s="268"/>
      <c r="F494" s="268"/>
      <c r="H494" s="405"/>
      <c r="I494" s="268"/>
      <c r="K494" s="827"/>
      <c r="L494" s="823"/>
    </row>
    <row r="495">
      <c r="A495" s="22"/>
      <c r="B495" s="570"/>
      <c r="C495" s="570"/>
      <c r="D495" s="570"/>
      <c r="E495" s="268"/>
      <c r="F495" s="268"/>
      <c r="H495" s="405"/>
      <c r="I495" s="268"/>
      <c r="K495" s="827"/>
      <c r="L495" s="823"/>
    </row>
    <row r="496">
      <c r="A496" s="22"/>
      <c r="B496" s="570"/>
      <c r="C496" s="570"/>
      <c r="D496" s="570"/>
      <c r="E496" s="268"/>
      <c r="F496" s="268"/>
      <c r="H496" s="405"/>
      <c r="I496" s="268"/>
      <c r="K496" s="827"/>
      <c r="L496" s="823"/>
    </row>
    <row r="497">
      <c r="A497" s="22"/>
      <c r="B497" s="570"/>
      <c r="C497" s="570"/>
      <c r="D497" s="570"/>
      <c r="E497" s="268"/>
      <c r="F497" s="268"/>
      <c r="H497" s="405"/>
      <c r="I497" s="268"/>
      <c r="K497" s="827"/>
      <c r="L497" s="823"/>
    </row>
    <row r="498">
      <c r="A498" s="22"/>
      <c r="B498" s="570"/>
      <c r="C498" s="570"/>
      <c r="D498" s="570"/>
      <c r="E498" s="268"/>
      <c r="F498" s="268"/>
      <c r="H498" s="405"/>
      <c r="I498" s="268"/>
      <c r="K498" s="827"/>
      <c r="L498" s="823"/>
    </row>
    <row r="499">
      <c r="A499" s="22"/>
      <c r="B499" s="570"/>
      <c r="C499" s="570"/>
      <c r="D499" s="570"/>
      <c r="E499" s="268"/>
      <c r="F499" s="268"/>
      <c r="H499" s="405"/>
      <c r="I499" s="268"/>
      <c r="K499" s="827"/>
      <c r="L499" s="823"/>
    </row>
    <row r="500">
      <c r="A500" s="22"/>
      <c r="B500" s="570"/>
      <c r="C500" s="570"/>
      <c r="D500" s="570"/>
      <c r="E500" s="268"/>
      <c r="F500" s="268"/>
      <c r="H500" s="405"/>
      <c r="I500" s="268"/>
      <c r="K500" s="827"/>
      <c r="L500" s="823"/>
    </row>
    <row r="501">
      <c r="A501" s="22"/>
      <c r="B501" s="570"/>
      <c r="C501" s="570"/>
      <c r="D501" s="570"/>
      <c r="E501" s="268"/>
      <c r="F501" s="268"/>
      <c r="H501" s="405"/>
      <c r="I501" s="268"/>
      <c r="K501" s="827"/>
      <c r="L501" s="823"/>
    </row>
    <row r="502">
      <c r="A502" s="22"/>
      <c r="B502" s="570"/>
      <c r="C502" s="570"/>
      <c r="D502" s="570"/>
      <c r="E502" s="268"/>
      <c r="F502" s="268"/>
      <c r="H502" s="405"/>
      <c r="I502" s="268"/>
      <c r="K502" s="827"/>
      <c r="L502" s="823"/>
    </row>
    <row r="503">
      <c r="A503" s="22"/>
      <c r="B503" s="570"/>
      <c r="C503" s="570"/>
      <c r="D503" s="570"/>
      <c r="E503" s="268"/>
      <c r="F503" s="268"/>
      <c r="H503" s="405"/>
      <c r="I503" s="268"/>
      <c r="K503" s="827"/>
      <c r="L503" s="823"/>
    </row>
    <row r="504">
      <c r="A504" s="22"/>
      <c r="B504" s="570"/>
      <c r="C504" s="570"/>
      <c r="D504" s="570"/>
      <c r="E504" s="268"/>
      <c r="F504" s="268"/>
      <c r="H504" s="405"/>
      <c r="I504" s="268"/>
      <c r="K504" s="827"/>
      <c r="L504" s="823"/>
    </row>
    <row r="505">
      <c r="A505" s="22"/>
      <c r="B505" s="570"/>
      <c r="C505" s="570"/>
      <c r="D505" s="570"/>
      <c r="E505" s="268"/>
      <c r="F505" s="268"/>
      <c r="H505" s="405"/>
      <c r="I505" s="268"/>
      <c r="K505" s="827"/>
      <c r="L505" s="823"/>
    </row>
    <row r="506">
      <c r="A506" s="22"/>
      <c r="B506" s="570"/>
      <c r="C506" s="570"/>
      <c r="D506" s="570"/>
      <c r="E506" s="268"/>
      <c r="F506" s="268"/>
      <c r="H506" s="405"/>
      <c r="I506" s="268"/>
      <c r="K506" s="827"/>
      <c r="L506" s="823"/>
    </row>
    <row r="507">
      <c r="A507" s="22"/>
      <c r="B507" s="570"/>
      <c r="C507" s="570"/>
      <c r="D507" s="570"/>
      <c r="E507" s="268"/>
      <c r="F507" s="268"/>
      <c r="H507" s="405"/>
      <c r="I507" s="268"/>
      <c r="K507" s="827"/>
      <c r="L507" s="823"/>
    </row>
    <row r="508">
      <c r="A508" s="22"/>
      <c r="B508" s="570"/>
      <c r="C508" s="570"/>
      <c r="D508" s="570"/>
      <c r="E508" s="268"/>
      <c r="F508" s="268"/>
      <c r="H508" s="405"/>
      <c r="I508" s="268"/>
      <c r="K508" s="827"/>
      <c r="L508" s="823"/>
    </row>
    <row r="509">
      <c r="A509" s="22"/>
      <c r="B509" s="570"/>
      <c r="C509" s="570"/>
      <c r="D509" s="570"/>
      <c r="E509" s="268"/>
      <c r="F509" s="268"/>
      <c r="H509" s="405"/>
      <c r="I509" s="268"/>
      <c r="K509" s="827"/>
      <c r="L509" s="823"/>
    </row>
    <row r="510">
      <c r="A510" s="22"/>
      <c r="B510" s="570"/>
      <c r="C510" s="570"/>
      <c r="D510" s="570"/>
      <c r="E510" s="268"/>
      <c r="F510" s="268"/>
      <c r="H510" s="405"/>
      <c r="I510" s="268"/>
      <c r="K510" s="827"/>
      <c r="L510" s="823"/>
    </row>
    <row r="511">
      <c r="A511" s="22"/>
      <c r="B511" s="570"/>
      <c r="C511" s="570"/>
      <c r="D511" s="570"/>
      <c r="E511" s="268"/>
      <c r="F511" s="268"/>
      <c r="H511" s="405"/>
      <c r="I511" s="268"/>
      <c r="K511" s="827"/>
      <c r="L511" s="823"/>
    </row>
    <row r="512">
      <c r="A512" s="22"/>
      <c r="B512" s="570"/>
      <c r="C512" s="570"/>
      <c r="D512" s="570"/>
      <c r="E512" s="268"/>
      <c r="F512" s="268"/>
      <c r="H512" s="405"/>
      <c r="I512" s="268"/>
      <c r="K512" s="827"/>
      <c r="L512" s="823"/>
    </row>
    <row r="513">
      <c r="A513" s="22"/>
      <c r="B513" s="570"/>
      <c r="C513" s="570"/>
      <c r="D513" s="570"/>
      <c r="E513" s="268"/>
      <c r="F513" s="268"/>
      <c r="H513" s="405"/>
      <c r="I513" s="268"/>
      <c r="K513" s="827"/>
      <c r="L513" s="823"/>
    </row>
    <row r="514">
      <c r="A514" s="22"/>
      <c r="B514" s="570"/>
      <c r="C514" s="570"/>
      <c r="D514" s="570"/>
      <c r="E514" s="268"/>
      <c r="F514" s="268"/>
      <c r="H514" s="405"/>
      <c r="I514" s="268"/>
      <c r="K514" s="827"/>
      <c r="L514" s="823"/>
    </row>
    <row r="515">
      <c r="A515" s="22"/>
      <c r="B515" s="570"/>
      <c r="C515" s="570"/>
      <c r="D515" s="570"/>
      <c r="E515" s="268"/>
      <c r="F515" s="268"/>
      <c r="H515" s="405"/>
      <c r="I515" s="268"/>
      <c r="K515" s="827"/>
      <c r="L515" s="823"/>
    </row>
    <row r="516">
      <c r="A516" s="22"/>
      <c r="B516" s="570"/>
      <c r="C516" s="570"/>
      <c r="D516" s="570"/>
      <c r="E516" s="268"/>
      <c r="F516" s="268"/>
      <c r="H516" s="405"/>
      <c r="I516" s="268"/>
      <c r="K516" s="827"/>
      <c r="L516" s="823"/>
    </row>
    <row r="517">
      <c r="A517" s="22"/>
      <c r="B517" s="570"/>
      <c r="C517" s="570"/>
      <c r="D517" s="570"/>
      <c r="E517" s="268"/>
      <c r="F517" s="268"/>
      <c r="H517" s="405"/>
      <c r="I517" s="268"/>
      <c r="K517" s="827"/>
      <c r="L517" s="823"/>
    </row>
    <row r="518">
      <c r="A518" s="22"/>
      <c r="B518" s="570"/>
      <c r="C518" s="570"/>
      <c r="D518" s="570"/>
      <c r="E518" s="268"/>
      <c r="F518" s="268"/>
      <c r="H518" s="405"/>
      <c r="I518" s="268"/>
      <c r="K518" s="827"/>
      <c r="L518" s="823"/>
    </row>
    <row r="519">
      <c r="A519" s="22"/>
      <c r="B519" s="570"/>
      <c r="C519" s="570"/>
      <c r="D519" s="570"/>
      <c r="E519" s="268"/>
      <c r="F519" s="268"/>
      <c r="H519" s="405"/>
      <c r="I519" s="268"/>
      <c r="K519" s="827"/>
      <c r="L519" s="823"/>
    </row>
    <row r="520">
      <c r="A520" s="22"/>
      <c r="B520" s="570"/>
      <c r="C520" s="570"/>
      <c r="D520" s="570"/>
      <c r="E520" s="268"/>
      <c r="F520" s="268"/>
      <c r="H520" s="405"/>
      <c r="I520" s="268"/>
      <c r="K520" s="827"/>
      <c r="L520" s="823"/>
    </row>
    <row r="521">
      <c r="A521" s="22"/>
      <c r="B521" s="570"/>
      <c r="C521" s="570"/>
      <c r="D521" s="570"/>
      <c r="E521" s="268"/>
      <c r="F521" s="268"/>
      <c r="H521" s="405"/>
      <c r="I521" s="268"/>
      <c r="K521" s="827"/>
      <c r="L521" s="823"/>
    </row>
    <row r="522">
      <c r="A522" s="22"/>
      <c r="B522" s="570"/>
      <c r="C522" s="570"/>
      <c r="D522" s="570"/>
      <c r="E522" s="268"/>
      <c r="F522" s="268"/>
      <c r="H522" s="405"/>
      <c r="I522" s="268"/>
      <c r="K522" s="827"/>
      <c r="L522" s="823"/>
    </row>
    <row r="523">
      <c r="A523" s="22"/>
      <c r="B523" s="570"/>
      <c r="C523" s="570"/>
      <c r="D523" s="570"/>
      <c r="E523" s="268"/>
      <c r="F523" s="268"/>
      <c r="H523" s="405"/>
      <c r="I523" s="268"/>
      <c r="K523" s="827"/>
      <c r="L523" s="823"/>
    </row>
    <row r="524">
      <c r="A524" s="22"/>
      <c r="B524" s="570"/>
      <c r="C524" s="570"/>
      <c r="D524" s="570"/>
      <c r="E524" s="268"/>
      <c r="F524" s="268"/>
      <c r="H524" s="405"/>
      <c r="I524" s="268"/>
      <c r="K524" s="827"/>
      <c r="L524" s="823"/>
    </row>
    <row r="525">
      <c r="A525" s="22"/>
      <c r="B525" s="570"/>
      <c r="C525" s="570"/>
      <c r="D525" s="570"/>
      <c r="E525" s="268"/>
      <c r="F525" s="268"/>
      <c r="H525" s="405"/>
      <c r="I525" s="268"/>
      <c r="K525" s="827"/>
      <c r="L525" s="823"/>
    </row>
    <row r="526">
      <c r="A526" s="22"/>
      <c r="B526" s="570"/>
      <c r="C526" s="570"/>
      <c r="D526" s="570"/>
      <c r="E526" s="268"/>
      <c r="F526" s="268"/>
      <c r="H526" s="405"/>
      <c r="I526" s="268"/>
      <c r="K526" s="827"/>
      <c r="L526" s="823"/>
    </row>
    <row r="527">
      <c r="A527" s="22"/>
      <c r="B527" s="570"/>
      <c r="C527" s="570"/>
      <c r="D527" s="570"/>
      <c r="E527" s="268"/>
      <c r="F527" s="268"/>
      <c r="H527" s="405"/>
      <c r="I527" s="268"/>
      <c r="K527" s="827"/>
      <c r="L527" s="823"/>
    </row>
    <row r="528">
      <c r="A528" s="22"/>
      <c r="B528" s="570"/>
      <c r="C528" s="570"/>
      <c r="D528" s="570"/>
      <c r="E528" s="268"/>
      <c r="F528" s="268"/>
      <c r="H528" s="405"/>
      <c r="I528" s="268"/>
      <c r="K528" s="827"/>
      <c r="L528" s="823"/>
    </row>
    <row r="529">
      <c r="A529" s="22"/>
      <c r="B529" s="570"/>
      <c r="C529" s="570"/>
      <c r="D529" s="570"/>
      <c r="E529" s="268"/>
      <c r="F529" s="268"/>
      <c r="H529" s="405"/>
      <c r="I529" s="268"/>
      <c r="K529" s="827"/>
      <c r="L529" s="823"/>
    </row>
    <row r="530">
      <c r="A530" s="22"/>
      <c r="B530" s="570"/>
      <c r="C530" s="570"/>
      <c r="D530" s="570"/>
      <c r="E530" s="268"/>
      <c r="F530" s="268"/>
      <c r="H530" s="405"/>
      <c r="I530" s="268"/>
      <c r="K530" s="827"/>
      <c r="L530" s="823"/>
    </row>
    <row r="531">
      <c r="A531" s="22"/>
      <c r="B531" s="570"/>
      <c r="C531" s="570"/>
      <c r="D531" s="570"/>
      <c r="E531" s="268"/>
      <c r="F531" s="268"/>
      <c r="H531" s="405"/>
      <c r="I531" s="268"/>
      <c r="K531" s="827"/>
      <c r="L531" s="823"/>
    </row>
    <row r="532">
      <c r="A532" s="22"/>
      <c r="B532" s="570"/>
      <c r="C532" s="570"/>
      <c r="D532" s="570"/>
      <c r="E532" s="268"/>
      <c r="F532" s="268"/>
      <c r="H532" s="405"/>
      <c r="I532" s="268"/>
      <c r="K532" s="827"/>
      <c r="L532" s="823"/>
    </row>
    <row r="533">
      <c r="A533" s="22"/>
      <c r="B533" s="570"/>
      <c r="C533" s="570"/>
      <c r="D533" s="570"/>
      <c r="E533" s="268"/>
      <c r="F533" s="268"/>
      <c r="H533" s="405"/>
      <c r="I533" s="268"/>
      <c r="K533" s="827"/>
      <c r="L533" s="823"/>
    </row>
    <row r="534">
      <c r="A534" s="22"/>
      <c r="B534" s="570"/>
      <c r="C534" s="570"/>
      <c r="D534" s="570"/>
      <c r="E534" s="268"/>
      <c r="F534" s="268"/>
      <c r="H534" s="405"/>
      <c r="I534" s="268"/>
      <c r="K534" s="827"/>
      <c r="L534" s="823"/>
    </row>
    <row r="535">
      <c r="A535" s="22"/>
      <c r="B535" s="570"/>
      <c r="C535" s="570"/>
      <c r="D535" s="570"/>
      <c r="E535" s="268"/>
      <c r="F535" s="268"/>
      <c r="H535" s="405"/>
      <c r="I535" s="268"/>
      <c r="K535" s="827"/>
      <c r="L535" s="823"/>
    </row>
    <row r="536">
      <c r="A536" s="22"/>
      <c r="B536" s="570"/>
      <c r="C536" s="570"/>
      <c r="D536" s="570"/>
      <c r="E536" s="268"/>
      <c r="F536" s="268"/>
      <c r="H536" s="405"/>
      <c r="I536" s="268"/>
      <c r="K536" s="827"/>
      <c r="L536" s="823"/>
    </row>
    <row r="537">
      <c r="A537" s="22"/>
      <c r="B537" s="570"/>
      <c r="C537" s="570"/>
      <c r="D537" s="570"/>
      <c r="E537" s="268"/>
      <c r="F537" s="268"/>
      <c r="H537" s="405"/>
      <c r="I537" s="268"/>
      <c r="K537" s="827"/>
      <c r="L537" s="823"/>
    </row>
    <row r="538">
      <c r="A538" s="22"/>
      <c r="B538" s="570"/>
      <c r="C538" s="570"/>
      <c r="D538" s="570"/>
      <c r="E538" s="268"/>
      <c r="F538" s="268"/>
      <c r="H538" s="405"/>
      <c r="I538" s="268"/>
      <c r="K538" s="827"/>
      <c r="L538" s="823"/>
    </row>
    <row r="539">
      <c r="A539" s="22"/>
      <c r="B539" s="570"/>
      <c r="C539" s="570"/>
      <c r="D539" s="570"/>
      <c r="E539" s="268"/>
      <c r="F539" s="268"/>
      <c r="H539" s="405"/>
      <c r="I539" s="268"/>
      <c r="K539" s="827"/>
      <c r="L539" s="823"/>
    </row>
    <row r="540">
      <c r="A540" s="22"/>
      <c r="B540" s="570"/>
      <c r="C540" s="570"/>
      <c r="D540" s="570"/>
      <c r="E540" s="268"/>
      <c r="F540" s="268"/>
      <c r="H540" s="405"/>
      <c r="I540" s="268"/>
      <c r="K540" s="827"/>
      <c r="L540" s="823"/>
    </row>
    <row r="541">
      <c r="A541" s="22"/>
      <c r="B541" s="570"/>
      <c r="C541" s="570"/>
      <c r="D541" s="570"/>
      <c r="E541" s="268"/>
      <c r="F541" s="268"/>
      <c r="H541" s="405"/>
      <c r="I541" s="268"/>
      <c r="K541" s="827"/>
      <c r="L541" s="823"/>
    </row>
    <row r="542">
      <c r="A542" s="22"/>
      <c r="B542" s="570"/>
      <c r="C542" s="570"/>
      <c r="D542" s="570"/>
      <c r="E542" s="268"/>
      <c r="F542" s="268"/>
      <c r="H542" s="405"/>
      <c r="I542" s="268"/>
      <c r="K542" s="827"/>
      <c r="L542" s="823"/>
    </row>
    <row r="543">
      <c r="A543" s="22"/>
      <c r="B543" s="570"/>
      <c r="C543" s="570"/>
      <c r="D543" s="570"/>
      <c r="E543" s="268"/>
      <c r="F543" s="268"/>
      <c r="H543" s="405"/>
      <c r="I543" s="268"/>
      <c r="K543" s="827"/>
      <c r="L543" s="823"/>
    </row>
    <row r="544">
      <c r="A544" s="22"/>
      <c r="B544" s="570"/>
      <c r="C544" s="570"/>
      <c r="D544" s="570"/>
      <c r="E544" s="268"/>
      <c r="F544" s="268"/>
      <c r="H544" s="405"/>
      <c r="I544" s="268"/>
      <c r="K544" s="827"/>
      <c r="L544" s="823"/>
    </row>
    <row r="545">
      <c r="A545" s="22"/>
      <c r="B545" s="570"/>
      <c r="C545" s="570"/>
      <c r="D545" s="570"/>
      <c r="E545" s="268"/>
      <c r="F545" s="268"/>
      <c r="H545" s="405"/>
      <c r="I545" s="268"/>
      <c r="K545" s="827"/>
      <c r="L545" s="823"/>
    </row>
    <row r="546">
      <c r="A546" s="22"/>
      <c r="B546" s="570"/>
      <c r="C546" s="570"/>
      <c r="D546" s="570"/>
      <c r="E546" s="268"/>
      <c r="F546" s="268"/>
      <c r="H546" s="405"/>
      <c r="I546" s="268"/>
      <c r="K546" s="827"/>
      <c r="L546" s="823"/>
    </row>
    <row r="547">
      <c r="A547" s="22"/>
      <c r="B547" s="570"/>
      <c r="C547" s="570"/>
      <c r="D547" s="570"/>
      <c r="E547" s="268"/>
      <c r="F547" s="268"/>
      <c r="H547" s="405"/>
      <c r="I547" s="268"/>
      <c r="K547" s="827"/>
      <c r="L547" s="823"/>
    </row>
    <row r="548">
      <c r="A548" s="22"/>
      <c r="B548" s="570"/>
      <c r="C548" s="570"/>
      <c r="D548" s="570"/>
      <c r="E548" s="268"/>
      <c r="F548" s="268"/>
      <c r="H548" s="405"/>
      <c r="I548" s="268"/>
      <c r="K548" s="827"/>
      <c r="L548" s="823"/>
    </row>
    <row r="549">
      <c r="A549" s="22"/>
      <c r="B549" s="570"/>
      <c r="C549" s="570"/>
      <c r="D549" s="570"/>
      <c r="E549" s="268"/>
      <c r="F549" s="268"/>
      <c r="H549" s="405"/>
      <c r="I549" s="268"/>
      <c r="K549" s="827"/>
      <c r="L549" s="823"/>
    </row>
    <row r="550">
      <c r="A550" s="22"/>
      <c r="B550" s="570"/>
      <c r="C550" s="570"/>
      <c r="D550" s="570"/>
      <c r="E550" s="268"/>
      <c r="F550" s="268"/>
      <c r="H550" s="405"/>
      <c r="I550" s="268"/>
      <c r="K550" s="827"/>
      <c r="L550" s="823"/>
    </row>
    <row r="551">
      <c r="A551" s="22"/>
      <c r="B551" s="570"/>
      <c r="C551" s="570"/>
      <c r="D551" s="570"/>
      <c r="E551" s="268"/>
      <c r="F551" s="268"/>
      <c r="H551" s="405"/>
      <c r="I551" s="268"/>
      <c r="K551" s="827"/>
      <c r="L551" s="823"/>
    </row>
    <row r="552">
      <c r="A552" s="22"/>
      <c r="B552" s="570"/>
      <c r="C552" s="570"/>
      <c r="D552" s="570"/>
      <c r="E552" s="268"/>
      <c r="F552" s="268"/>
      <c r="H552" s="405"/>
      <c r="I552" s="268"/>
      <c r="K552" s="827"/>
      <c r="L552" s="823"/>
    </row>
    <row r="553">
      <c r="A553" s="22"/>
      <c r="B553" s="570"/>
      <c r="C553" s="570"/>
      <c r="D553" s="570"/>
      <c r="E553" s="268"/>
      <c r="F553" s="268"/>
      <c r="H553" s="405"/>
      <c r="I553" s="268"/>
      <c r="K553" s="827"/>
      <c r="L553" s="823"/>
    </row>
    <row r="554">
      <c r="A554" s="22"/>
      <c r="B554" s="570"/>
      <c r="C554" s="570"/>
      <c r="D554" s="570"/>
      <c r="E554" s="268"/>
      <c r="F554" s="268"/>
      <c r="H554" s="405"/>
      <c r="I554" s="268"/>
      <c r="K554" s="827"/>
      <c r="L554" s="823"/>
    </row>
    <row r="555">
      <c r="A555" s="22"/>
      <c r="B555" s="570"/>
      <c r="C555" s="570"/>
      <c r="D555" s="570"/>
      <c r="E555" s="268"/>
      <c r="F555" s="268"/>
      <c r="H555" s="405"/>
      <c r="I555" s="268"/>
      <c r="K555" s="827"/>
      <c r="L555" s="823"/>
    </row>
    <row r="556">
      <c r="A556" s="22"/>
      <c r="B556" s="570"/>
      <c r="C556" s="570"/>
      <c r="D556" s="570"/>
      <c r="E556" s="268"/>
      <c r="F556" s="268"/>
      <c r="H556" s="405"/>
      <c r="I556" s="268"/>
      <c r="K556" s="827"/>
      <c r="L556" s="823"/>
    </row>
    <row r="557">
      <c r="A557" s="22"/>
      <c r="B557" s="570"/>
      <c r="C557" s="570"/>
      <c r="D557" s="570"/>
      <c r="E557" s="268"/>
      <c r="F557" s="268"/>
      <c r="H557" s="405"/>
      <c r="I557" s="268"/>
      <c r="K557" s="827"/>
      <c r="L557" s="823"/>
    </row>
    <row r="558">
      <c r="A558" s="22"/>
      <c r="B558" s="570"/>
      <c r="C558" s="570"/>
      <c r="D558" s="570"/>
      <c r="E558" s="268"/>
      <c r="F558" s="268"/>
      <c r="H558" s="405"/>
      <c r="I558" s="268"/>
      <c r="K558" s="827"/>
      <c r="L558" s="823"/>
    </row>
    <row r="559">
      <c r="A559" s="22"/>
      <c r="B559" s="570"/>
      <c r="C559" s="570"/>
      <c r="D559" s="570"/>
      <c r="E559" s="268"/>
      <c r="F559" s="268"/>
      <c r="H559" s="405"/>
      <c r="I559" s="268"/>
      <c r="K559" s="827"/>
      <c r="L559" s="823"/>
    </row>
    <row r="560">
      <c r="A560" s="22"/>
      <c r="B560" s="570"/>
      <c r="C560" s="570"/>
      <c r="D560" s="570"/>
      <c r="E560" s="268"/>
      <c r="F560" s="268"/>
      <c r="H560" s="405"/>
      <c r="I560" s="268"/>
      <c r="K560" s="827"/>
      <c r="L560" s="823"/>
    </row>
    <row r="561">
      <c r="A561" s="22"/>
      <c r="B561" s="570"/>
      <c r="C561" s="570"/>
      <c r="D561" s="570"/>
      <c r="E561" s="268"/>
      <c r="F561" s="268"/>
      <c r="H561" s="405"/>
      <c r="I561" s="268"/>
      <c r="K561" s="827"/>
      <c r="L561" s="823"/>
    </row>
    <row r="562">
      <c r="A562" s="22"/>
      <c r="B562" s="570"/>
      <c r="C562" s="570"/>
      <c r="D562" s="570"/>
      <c r="E562" s="268"/>
      <c r="F562" s="268"/>
      <c r="H562" s="405"/>
      <c r="I562" s="268"/>
      <c r="K562" s="827"/>
      <c r="L562" s="823"/>
    </row>
    <row r="563">
      <c r="A563" s="22"/>
      <c r="B563" s="570"/>
      <c r="C563" s="570"/>
      <c r="D563" s="570"/>
      <c r="E563" s="268"/>
      <c r="F563" s="268"/>
      <c r="H563" s="405"/>
      <c r="I563" s="268"/>
      <c r="K563" s="827"/>
      <c r="L563" s="823"/>
    </row>
    <row r="564">
      <c r="A564" s="22"/>
      <c r="B564" s="570"/>
      <c r="C564" s="570"/>
      <c r="D564" s="570"/>
      <c r="E564" s="268"/>
      <c r="F564" s="268"/>
      <c r="H564" s="405"/>
      <c r="I564" s="268"/>
      <c r="K564" s="827"/>
      <c r="L564" s="823"/>
    </row>
    <row r="565">
      <c r="A565" s="22"/>
      <c r="B565" s="570"/>
      <c r="C565" s="570"/>
      <c r="D565" s="570"/>
      <c r="E565" s="268"/>
      <c r="F565" s="268"/>
      <c r="H565" s="405"/>
      <c r="I565" s="268"/>
      <c r="K565" s="827"/>
      <c r="L565" s="823"/>
    </row>
    <row r="566">
      <c r="A566" s="22"/>
      <c r="B566" s="570"/>
      <c r="C566" s="570"/>
      <c r="D566" s="570"/>
      <c r="E566" s="268"/>
      <c r="F566" s="268"/>
      <c r="H566" s="405"/>
      <c r="I566" s="268"/>
      <c r="K566" s="827"/>
      <c r="L566" s="823"/>
    </row>
    <row r="567">
      <c r="A567" s="22"/>
      <c r="B567" s="570"/>
      <c r="C567" s="570"/>
      <c r="D567" s="570"/>
      <c r="E567" s="268"/>
      <c r="F567" s="268"/>
      <c r="H567" s="405"/>
      <c r="I567" s="268"/>
      <c r="K567" s="827"/>
      <c r="L567" s="823"/>
    </row>
    <row r="568">
      <c r="A568" s="22"/>
      <c r="B568" s="570"/>
      <c r="C568" s="570"/>
      <c r="D568" s="570"/>
      <c r="E568" s="268"/>
      <c r="F568" s="268"/>
      <c r="H568" s="405"/>
      <c r="I568" s="268"/>
      <c r="K568" s="827"/>
      <c r="L568" s="823"/>
    </row>
    <row r="569">
      <c r="A569" s="22"/>
      <c r="B569" s="570"/>
      <c r="C569" s="570"/>
      <c r="D569" s="570"/>
      <c r="E569" s="268"/>
      <c r="F569" s="268"/>
      <c r="H569" s="405"/>
      <c r="I569" s="268"/>
      <c r="K569" s="827"/>
      <c r="L569" s="823"/>
    </row>
    <row r="570">
      <c r="A570" s="22"/>
      <c r="B570" s="570"/>
      <c r="C570" s="570"/>
      <c r="D570" s="570"/>
      <c r="E570" s="268"/>
      <c r="F570" s="268"/>
      <c r="H570" s="405"/>
      <c r="I570" s="268"/>
      <c r="K570" s="827"/>
      <c r="L570" s="823"/>
    </row>
    <row r="571">
      <c r="A571" s="22"/>
      <c r="B571" s="570"/>
      <c r="C571" s="570"/>
      <c r="D571" s="570"/>
      <c r="E571" s="268"/>
      <c r="F571" s="268"/>
      <c r="H571" s="405"/>
      <c r="I571" s="268"/>
      <c r="K571" s="827"/>
      <c r="L571" s="823"/>
    </row>
    <row r="572">
      <c r="A572" s="22"/>
      <c r="B572" s="570"/>
      <c r="C572" s="570"/>
      <c r="D572" s="570"/>
      <c r="E572" s="268"/>
      <c r="F572" s="268"/>
      <c r="H572" s="405"/>
      <c r="I572" s="268"/>
      <c r="K572" s="827"/>
      <c r="L572" s="823"/>
    </row>
    <row r="573">
      <c r="A573" s="22"/>
      <c r="B573" s="570"/>
      <c r="C573" s="570"/>
      <c r="D573" s="570"/>
      <c r="E573" s="268"/>
      <c r="F573" s="268"/>
      <c r="H573" s="405"/>
      <c r="I573" s="268"/>
      <c r="K573" s="827"/>
      <c r="L573" s="823"/>
    </row>
    <row r="574">
      <c r="A574" s="22"/>
      <c r="B574" s="570"/>
      <c r="C574" s="570"/>
      <c r="D574" s="570"/>
      <c r="E574" s="268"/>
      <c r="F574" s="268"/>
      <c r="H574" s="405"/>
      <c r="I574" s="268"/>
      <c r="K574" s="827"/>
      <c r="L574" s="823"/>
    </row>
    <row r="575">
      <c r="A575" s="22"/>
      <c r="B575" s="570"/>
      <c r="C575" s="570"/>
      <c r="D575" s="570"/>
      <c r="E575" s="268"/>
      <c r="F575" s="268"/>
      <c r="H575" s="405"/>
      <c r="I575" s="268"/>
      <c r="K575" s="827"/>
      <c r="L575" s="823"/>
    </row>
    <row r="576">
      <c r="A576" s="22"/>
      <c r="B576" s="570"/>
      <c r="C576" s="570"/>
      <c r="D576" s="570"/>
      <c r="E576" s="268"/>
      <c r="F576" s="268"/>
      <c r="H576" s="405"/>
      <c r="I576" s="268"/>
      <c r="K576" s="827"/>
      <c r="L576" s="823"/>
    </row>
    <row r="577">
      <c r="A577" s="22"/>
      <c r="B577" s="570"/>
      <c r="C577" s="570"/>
      <c r="D577" s="570"/>
      <c r="E577" s="268"/>
      <c r="F577" s="268"/>
      <c r="H577" s="405"/>
      <c r="I577" s="268"/>
      <c r="K577" s="827"/>
      <c r="L577" s="823"/>
    </row>
    <row r="578">
      <c r="A578" s="22"/>
      <c r="B578" s="570"/>
      <c r="C578" s="570"/>
      <c r="D578" s="570"/>
      <c r="E578" s="268"/>
      <c r="F578" s="268"/>
      <c r="H578" s="405"/>
      <c r="I578" s="268"/>
      <c r="K578" s="827"/>
      <c r="L578" s="823"/>
    </row>
    <row r="579">
      <c r="A579" s="22"/>
      <c r="B579" s="570"/>
      <c r="C579" s="570"/>
      <c r="D579" s="570"/>
      <c r="E579" s="268"/>
      <c r="F579" s="268"/>
      <c r="H579" s="405"/>
      <c r="I579" s="268"/>
      <c r="K579" s="827"/>
      <c r="L579" s="823"/>
    </row>
    <row r="580">
      <c r="A580" s="22"/>
      <c r="B580" s="570"/>
      <c r="C580" s="570"/>
      <c r="D580" s="570"/>
      <c r="E580" s="268"/>
      <c r="F580" s="268"/>
      <c r="H580" s="405"/>
      <c r="I580" s="268"/>
      <c r="K580" s="827"/>
      <c r="L580" s="823"/>
    </row>
    <row r="581">
      <c r="A581" s="22"/>
      <c r="B581" s="570"/>
      <c r="C581" s="570"/>
      <c r="D581" s="570"/>
      <c r="E581" s="268"/>
      <c r="F581" s="268"/>
      <c r="H581" s="405"/>
      <c r="I581" s="268"/>
      <c r="K581" s="827"/>
      <c r="L581" s="823"/>
    </row>
    <row r="582">
      <c r="A582" s="22"/>
      <c r="B582" s="570"/>
      <c r="C582" s="570"/>
      <c r="D582" s="570"/>
      <c r="E582" s="268"/>
      <c r="F582" s="268"/>
      <c r="H582" s="405"/>
      <c r="I582" s="268"/>
      <c r="K582" s="827"/>
      <c r="L582" s="823"/>
    </row>
    <row r="583">
      <c r="A583" s="22"/>
      <c r="B583" s="570"/>
      <c r="C583" s="570"/>
      <c r="D583" s="570"/>
      <c r="E583" s="268"/>
      <c r="F583" s="268"/>
      <c r="H583" s="405"/>
      <c r="I583" s="268"/>
      <c r="K583" s="827"/>
      <c r="L583" s="823"/>
    </row>
    <row r="584">
      <c r="A584" s="22"/>
      <c r="B584" s="570"/>
      <c r="C584" s="570"/>
      <c r="D584" s="570"/>
      <c r="E584" s="268"/>
      <c r="F584" s="268"/>
      <c r="H584" s="405"/>
      <c r="I584" s="268"/>
      <c r="K584" s="827"/>
      <c r="L584" s="823"/>
    </row>
    <row r="585">
      <c r="A585" s="22"/>
      <c r="B585" s="570"/>
      <c r="C585" s="570"/>
      <c r="D585" s="570"/>
      <c r="E585" s="268"/>
      <c r="F585" s="268"/>
      <c r="H585" s="405"/>
      <c r="I585" s="268"/>
      <c r="K585" s="827"/>
      <c r="L585" s="823"/>
    </row>
    <row r="586">
      <c r="A586" s="22"/>
      <c r="B586" s="570"/>
      <c r="C586" s="570"/>
      <c r="D586" s="570"/>
      <c r="E586" s="268"/>
      <c r="F586" s="268"/>
      <c r="H586" s="405"/>
      <c r="I586" s="268"/>
      <c r="K586" s="827"/>
      <c r="L586" s="823"/>
    </row>
    <row r="587">
      <c r="A587" s="22"/>
      <c r="B587" s="570"/>
      <c r="C587" s="570"/>
      <c r="D587" s="570"/>
      <c r="E587" s="268"/>
      <c r="F587" s="268"/>
      <c r="H587" s="405"/>
      <c r="I587" s="268"/>
      <c r="K587" s="827"/>
      <c r="L587" s="823"/>
    </row>
    <row r="588">
      <c r="A588" s="22"/>
      <c r="B588" s="570"/>
      <c r="C588" s="570"/>
      <c r="D588" s="570"/>
      <c r="E588" s="268"/>
      <c r="F588" s="268"/>
      <c r="H588" s="405"/>
      <c r="I588" s="268"/>
      <c r="K588" s="827"/>
      <c r="L588" s="823"/>
    </row>
    <row r="589">
      <c r="A589" s="22"/>
      <c r="B589" s="570"/>
      <c r="C589" s="570"/>
      <c r="D589" s="570"/>
      <c r="E589" s="268"/>
      <c r="F589" s="268"/>
      <c r="H589" s="405"/>
      <c r="I589" s="268"/>
      <c r="K589" s="827"/>
      <c r="L589" s="823"/>
    </row>
    <row r="590">
      <c r="A590" s="22"/>
      <c r="B590" s="570"/>
      <c r="C590" s="570"/>
      <c r="D590" s="570"/>
      <c r="E590" s="268"/>
      <c r="F590" s="268"/>
      <c r="H590" s="405"/>
      <c r="I590" s="268"/>
      <c r="K590" s="827"/>
      <c r="L590" s="823"/>
    </row>
    <row r="591">
      <c r="A591" s="22"/>
      <c r="B591" s="570"/>
      <c r="C591" s="570"/>
      <c r="D591" s="570"/>
      <c r="E591" s="268"/>
      <c r="F591" s="268"/>
      <c r="H591" s="405"/>
      <c r="I591" s="268"/>
      <c r="K591" s="827"/>
      <c r="L591" s="823"/>
    </row>
    <row r="592">
      <c r="A592" s="22"/>
      <c r="B592" s="570"/>
      <c r="C592" s="570"/>
      <c r="D592" s="570"/>
      <c r="E592" s="268"/>
      <c r="F592" s="268"/>
      <c r="H592" s="405"/>
      <c r="I592" s="268"/>
      <c r="K592" s="827"/>
      <c r="L592" s="823"/>
    </row>
    <row r="593">
      <c r="A593" s="22"/>
      <c r="B593" s="570"/>
      <c r="C593" s="570"/>
      <c r="D593" s="570"/>
      <c r="E593" s="268"/>
      <c r="F593" s="268"/>
      <c r="H593" s="405"/>
      <c r="I593" s="268"/>
      <c r="K593" s="827"/>
      <c r="L593" s="823"/>
    </row>
    <row r="594">
      <c r="A594" s="22"/>
      <c r="B594" s="570"/>
      <c r="C594" s="570"/>
      <c r="D594" s="570"/>
      <c r="E594" s="268"/>
      <c r="F594" s="268"/>
      <c r="H594" s="405"/>
      <c r="I594" s="268"/>
      <c r="K594" s="827"/>
      <c r="L594" s="823"/>
    </row>
    <row r="595">
      <c r="A595" s="22"/>
      <c r="B595" s="570"/>
      <c r="C595" s="570"/>
      <c r="D595" s="570"/>
      <c r="E595" s="268"/>
      <c r="F595" s="268"/>
      <c r="H595" s="405"/>
      <c r="I595" s="268"/>
      <c r="K595" s="827"/>
      <c r="L595" s="823"/>
    </row>
    <row r="596">
      <c r="A596" s="22"/>
      <c r="B596" s="570"/>
      <c r="C596" s="570"/>
      <c r="D596" s="570"/>
      <c r="E596" s="268"/>
      <c r="F596" s="268"/>
      <c r="H596" s="405"/>
      <c r="I596" s="268"/>
      <c r="K596" s="827"/>
      <c r="L596" s="823"/>
    </row>
    <row r="597">
      <c r="A597" s="22"/>
      <c r="B597" s="570"/>
      <c r="C597" s="570"/>
      <c r="D597" s="570"/>
      <c r="E597" s="268"/>
      <c r="F597" s="268"/>
      <c r="H597" s="405"/>
      <c r="I597" s="268"/>
      <c r="K597" s="827"/>
      <c r="L597" s="823"/>
    </row>
    <row r="598">
      <c r="A598" s="22"/>
      <c r="B598" s="570"/>
      <c r="C598" s="570"/>
      <c r="D598" s="570"/>
      <c r="E598" s="268"/>
      <c r="F598" s="268"/>
      <c r="H598" s="405"/>
      <c r="I598" s="268"/>
      <c r="K598" s="827"/>
      <c r="L598" s="823"/>
    </row>
    <row r="599">
      <c r="A599" s="22"/>
      <c r="B599" s="570"/>
      <c r="C599" s="570"/>
      <c r="D599" s="570"/>
      <c r="E599" s="268"/>
      <c r="F599" s="268"/>
      <c r="H599" s="405"/>
      <c r="I599" s="268"/>
      <c r="K599" s="827"/>
      <c r="L599" s="823"/>
    </row>
    <row r="600">
      <c r="A600" s="22"/>
      <c r="B600" s="570"/>
      <c r="C600" s="570"/>
      <c r="D600" s="570"/>
      <c r="E600" s="268"/>
      <c r="F600" s="268"/>
      <c r="H600" s="405"/>
      <c r="I600" s="268"/>
      <c r="K600" s="827"/>
      <c r="L600" s="823"/>
    </row>
    <row r="601">
      <c r="A601" s="22"/>
      <c r="B601" s="570"/>
      <c r="C601" s="570"/>
      <c r="D601" s="570"/>
      <c r="E601" s="268"/>
      <c r="F601" s="268"/>
      <c r="H601" s="405"/>
      <c r="I601" s="268"/>
      <c r="K601" s="827"/>
      <c r="L601" s="823"/>
    </row>
    <row r="602">
      <c r="A602" s="22"/>
      <c r="B602" s="570"/>
      <c r="C602" s="570"/>
      <c r="D602" s="570"/>
      <c r="E602" s="268"/>
      <c r="F602" s="268"/>
      <c r="H602" s="405"/>
      <c r="I602" s="268"/>
      <c r="K602" s="827"/>
      <c r="L602" s="823"/>
    </row>
    <row r="603">
      <c r="A603" s="22"/>
      <c r="B603" s="570"/>
      <c r="C603" s="570"/>
      <c r="D603" s="570"/>
      <c r="E603" s="268"/>
      <c r="F603" s="268"/>
      <c r="H603" s="405"/>
      <c r="I603" s="268"/>
      <c r="K603" s="827"/>
      <c r="L603" s="823"/>
    </row>
    <row r="604">
      <c r="A604" s="22"/>
      <c r="B604" s="570"/>
      <c r="C604" s="570"/>
      <c r="D604" s="570"/>
      <c r="E604" s="268"/>
      <c r="F604" s="268"/>
      <c r="H604" s="405"/>
      <c r="I604" s="268"/>
      <c r="K604" s="827"/>
      <c r="L604" s="823"/>
    </row>
    <row r="605">
      <c r="A605" s="22"/>
      <c r="B605" s="570"/>
      <c r="C605" s="570"/>
      <c r="D605" s="570"/>
      <c r="E605" s="268"/>
      <c r="F605" s="268"/>
      <c r="H605" s="405"/>
      <c r="I605" s="268"/>
      <c r="K605" s="827"/>
      <c r="L605" s="823"/>
    </row>
    <row r="606">
      <c r="A606" s="22"/>
      <c r="B606" s="570"/>
      <c r="C606" s="570"/>
      <c r="D606" s="570"/>
      <c r="E606" s="268"/>
      <c r="F606" s="268"/>
      <c r="H606" s="405"/>
      <c r="I606" s="268"/>
      <c r="K606" s="827"/>
      <c r="L606" s="823"/>
    </row>
    <row r="607">
      <c r="A607" s="22"/>
      <c r="B607" s="570"/>
      <c r="C607" s="570"/>
      <c r="D607" s="570"/>
      <c r="E607" s="268"/>
      <c r="F607" s="268"/>
      <c r="H607" s="405"/>
      <c r="I607" s="268"/>
      <c r="K607" s="827"/>
      <c r="L607" s="823"/>
    </row>
    <row r="608">
      <c r="A608" s="22"/>
      <c r="B608" s="570"/>
      <c r="C608" s="570"/>
      <c r="D608" s="570"/>
      <c r="E608" s="268"/>
      <c r="F608" s="268"/>
      <c r="H608" s="405"/>
      <c r="I608" s="268"/>
      <c r="K608" s="827"/>
      <c r="L608" s="823"/>
    </row>
    <row r="609">
      <c r="A609" s="22"/>
      <c r="B609" s="570"/>
      <c r="C609" s="570"/>
      <c r="D609" s="570"/>
      <c r="E609" s="268"/>
      <c r="F609" s="268"/>
      <c r="H609" s="405"/>
      <c r="I609" s="268"/>
      <c r="K609" s="827"/>
      <c r="L609" s="823"/>
    </row>
    <row r="610">
      <c r="A610" s="22"/>
      <c r="B610" s="570"/>
      <c r="C610" s="570"/>
      <c r="D610" s="570"/>
      <c r="E610" s="268"/>
      <c r="F610" s="268"/>
      <c r="H610" s="405"/>
      <c r="I610" s="268"/>
      <c r="K610" s="827"/>
      <c r="L610" s="823"/>
    </row>
    <row r="611">
      <c r="A611" s="22"/>
      <c r="B611" s="570"/>
      <c r="C611" s="570"/>
      <c r="D611" s="570"/>
      <c r="E611" s="268"/>
      <c r="F611" s="268"/>
      <c r="H611" s="405"/>
      <c r="I611" s="268"/>
      <c r="K611" s="827"/>
      <c r="L611" s="823"/>
    </row>
    <row r="612">
      <c r="A612" s="22"/>
      <c r="B612" s="570"/>
      <c r="C612" s="570"/>
      <c r="D612" s="570"/>
      <c r="E612" s="268"/>
      <c r="F612" s="268"/>
      <c r="H612" s="405"/>
      <c r="I612" s="268"/>
      <c r="K612" s="827"/>
      <c r="L612" s="823"/>
    </row>
    <row r="613">
      <c r="A613" s="22"/>
      <c r="B613" s="570"/>
      <c r="C613" s="570"/>
      <c r="D613" s="570"/>
      <c r="E613" s="268"/>
      <c r="F613" s="268"/>
      <c r="H613" s="405"/>
      <c r="I613" s="268"/>
      <c r="K613" s="827"/>
      <c r="L613" s="823"/>
    </row>
    <row r="614">
      <c r="A614" s="22"/>
      <c r="B614" s="570"/>
      <c r="C614" s="570"/>
      <c r="D614" s="570"/>
      <c r="E614" s="268"/>
      <c r="F614" s="268"/>
      <c r="H614" s="405"/>
      <c r="I614" s="268"/>
      <c r="K614" s="827"/>
      <c r="L614" s="823"/>
    </row>
    <row r="615">
      <c r="A615" s="22"/>
      <c r="B615" s="570"/>
      <c r="C615" s="570"/>
      <c r="D615" s="570"/>
      <c r="E615" s="268"/>
      <c r="F615" s="268"/>
      <c r="H615" s="405"/>
      <c r="I615" s="268"/>
      <c r="K615" s="827"/>
      <c r="L615" s="823"/>
    </row>
    <row r="616">
      <c r="A616" s="22"/>
      <c r="B616" s="570"/>
      <c r="C616" s="570"/>
      <c r="D616" s="570"/>
      <c r="E616" s="268"/>
      <c r="F616" s="268"/>
      <c r="H616" s="405"/>
      <c r="I616" s="268"/>
      <c r="K616" s="827"/>
      <c r="L616" s="823"/>
    </row>
    <row r="617">
      <c r="A617" s="22"/>
      <c r="B617" s="570"/>
      <c r="C617" s="570"/>
      <c r="D617" s="570"/>
      <c r="E617" s="268"/>
      <c r="F617" s="268"/>
      <c r="H617" s="405"/>
      <c r="I617" s="268"/>
      <c r="K617" s="827"/>
      <c r="L617" s="823"/>
    </row>
    <row r="618">
      <c r="A618" s="22"/>
      <c r="B618" s="570"/>
      <c r="C618" s="570"/>
      <c r="D618" s="570"/>
      <c r="E618" s="268"/>
      <c r="F618" s="268"/>
      <c r="H618" s="405"/>
      <c r="I618" s="268"/>
      <c r="K618" s="827"/>
      <c r="L618" s="823"/>
    </row>
    <row r="619">
      <c r="A619" s="22"/>
      <c r="B619" s="570"/>
      <c r="C619" s="570"/>
      <c r="D619" s="570"/>
      <c r="E619" s="268"/>
      <c r="F619" s="268"/>
      <c r="H619" s="405"/>
      <c r="I619" s="268"/>
      <c r="K619" s="827"/>
      <c r="L619" s="823"/>
    </row>
    <row r="620">
      <c r="A620" s="22"/>
      <c r="B620" s="570"/>
      <c r="C620" s="570"/>
      <c r="D620" s="570"/>
      <c r="E620" s="268"/>
      <c r="F620" s="268"/>
      <c r="H620" s="405"/>
      <c r="I620" s="268"/>
      <c r="K620" s="827"/>
      <c r="L620" s="823"/>
    </row>
    <row r="621">
      <c r="A621" s="22"/>
      <c r="B621" s="570"/>
      <c r="C621" s="570"/>
      <c r="D621" s="570"/>
      <c r="E621" s="268"/>
      <c r="F621" s="268"/>
      <c r="H621" s="405"/>
      <c r="I621" s="268"/>
      <c r="K621" s="827"/>
      <c r="L621" s="823"/>
    </row>
    <row r="622">
      <c r="A622" s="22"/>
      <c r="B622" s="570"/>
      <c r="C622" s="570"/>
      <c r="D622" s="570"/>
      <c r="E622" s="268"/>
      <c r="F622" s="268"/>
      <c r="H622" s="405"/>
      <c r="I622" s="268"/>
      <c r="K622" s="827"/>
      <c r="L622" s="823"/>
    </row>
    <row r="623">
      <c r="A623" s="22"/>
      <c r="B623" s="570"/>
      <c r="C623" s="570"/>
      <c r="D623" s="570"/>
      <c r="E623" s="268"/>
      <c r="F623" s="268"/>
      <c r="H623" s="405"/>
      <c r="I623" s="268"/>
      <c r="K623" s="827"/>
      <c r="L623" s="823"/>
    </row>
    <row r="624">
      <c r="A624" s="22"/>
      <c r="B624" s="570"/>
      <c r="C624" s="570"/>
      <c r="D624" s="570"/>
      <c r="E624" s="268"/>
      <c r="F624" s="268"/>
      <c r="H624" s="405"/>
      <c r="I624" s="268"/>
      <c r="K624" s="827"/>
      <c r="L624" s="823"/>
    </row>
    <row r="625">
      <c r="A625" s="22"/>
      <c r="B625" s="570"/>
      <c r="C625" s="570"/>
      <c r="D625" s="570"/>
      <c r="E625" s="268"/>
      <c r="F625" s="268"/>
      <c r="H625" s="405"/>
      <c r="I625" s="268"/>
      <c r="K625" s="827"/>
      <c r="L625" s="823"/>
    </row>
    <row r="626">
      <c r="A626" s="22"/>
      <c r="B626" s="570"/>
      <c r="C626" s="570"/>
      <c r="D626" s="570"/>
      <c r="E626" s="268"/>
      <c r="F626" s="268"/>
      <c r="H626" s="405"/>
      <c r="I626" s="268"/>
      <c r="K626" s="827"/>
      <c r="L626" s="823"/>
    </row>
    <row r="627">
      <c r="A627" s="22"/>
      <c r="B627" s="570"/>
      <c r="C627" s="570"/>
      <c r="D627" s="570"/>
      <c r="E627" s="268"/>
      <c r="F627" s="268"/>
      <c r="H627" s="405"/>
      <c r="I627" s="268"/>
      <c r="K627" s="827"/>
      <c r="L627" s="823"/>
    </row>
    <row r="628">
      <c r="A628" s="22"/>
      <c r="B628" s="570"/>
      <c r="C628" s="570"/>
      <c r="D628" s="570"/>
      <c r="E628" s="268"/>
      <c r="F628" s="268"/>
      <c r="H628" s="405"/>
      <c r="I628" s="268"/>
      <c r="K628" s="827"/>
      <c r="L628" s="823"/>
    </row>
    <row r="629">
      <c r="A629" s="22"/>
      <c r="B629" s="570"/>
      <c r="C629" s="570"/>
      <c r="D629" s="570"/>
      <c r="E629" s="268"/>
      <c r="F629" s="268"/>
      <c r="H629" s="405"/>
      <c r="I629" s="268"/>
      <c r="K629" s="827"/>
      <c r="L629" s="823"/>
    </row>
    <row r="630">
      <c r="A630" s="22"/>
      <c r="B630" s="570"/>
      <c r="C630" s="570"/>
      <c r="D630" s="570"/>
      <c r="E630" s="268"/>
      <c r="F630" s="268"/>
      <c r="H630" s="405"/>
      <c r="I630" s="268"/>
      <c r="K630" s="827"/>
      <c r="L630" s="823"/>
    </row>
    <row r="631">
      <c r="A631" s="22"/>
      <c r="B631" s="570"/>
      <c r="C631" s="570"/>
      <c r="D631" s="570"/>
      <c r="E631" s="268"/>
      <c r="F631" s="268"/>
      <c r="H631" s="405"/>
      <c r="I631" s="268"/>
      <c r="K631" s="827"/>
      <c r="L631" s="823"/>
    </row>
    <row r="632">
      <c r="A632" s="22"/>
      <c r="B632" s="570"/>
      <c r="C632" s="570"/>
      <c r="D632" s="570"/>
      <c r="E632" s="268"/>
      <c r="F632" s="268"/>
      <c r="H632" s="405"/>
      <c r="I632" s="268"/>
      <c r="K632" s="827"/>
      <c r="L632" s="823"/>
    </row>
    <row r="633">
      <c r="A633" s="22"/>
      <c r="B633" s="570"/>
      <c r="C633" s="570"/>
      <c r="D633" s="570"/>
      <c r="E633" s="268"/>
      <c r="F633" s="268"/>
      <c r="H633" s="405"/>
      <c r="I633" s="268"/>
      <c r="K633" s="827"/>
      <c r="L633" s="823"/>
    </row>
    <row r="634">
      <c r="A634" s="22"/>
      <c r="B634" s="570"/>
      <c r="C634" s="570"/>
      <c r="D634" s="570"/>
      <c r="E634" s="268"/>
      <c r="F634" s="268"/>
      <c r="H634" s="405"/>
      <c r="I634" s="268"/>
      <c r="K634" s="827"/>
      <c r="L634" s="823"/>
    </row>
    <row r="635">
      <c r="A635" s="22"/>
      <c r="B635" s="570"/>
      <c r="C635" s="570"/>
      <c r="D635" s="570"/>
      <c r="E635" s="268"/>
      <c r="F635" s="268"/>
      <c r="H635" s="405"/>
      <c r="I635" s="268"/>
      <c r="K635" s="827"/>
      <c r="L635" s="823"/>
    </row>
    <row r="636">
      <c r="A636" s="22"/>
      <c r="B636" s="570"/>
      <c r="C636" s="570"/>
      <c r="D636" s="570"/>
      <c r="E636" s="268"/>
      <c r="F636" s="268"/>
      <c r="H636" s="405"/>
      <c r="I636" s="268"/>
      <c r="K636" s="827"/>
      <c r="L636" s="823"/>
    </row>
    <row r="637">
      <c r="A637" s="22"/>
      <c r="B637" s="570"/>
      <c r="C637" s="570"/>
      <c r="D637" s="570"/>
      <c r="E637" s="268"/>
      <c r="F637" s="268"/>
      <c r="H637" s="405"/>
      <c r="I637" s="268"/>
      <c r="K637" s="827"/>
      <c r="L637" s="823"/>
    </row>
    <row r="638">
      <c r="A638" s="22"/>
      <c r="B638" s="570"/>
      <c r="C638" s="570"/>
      <c r="D638" s="570"/>
      <c r="E638" s="268"/>
      <c r="F638" s="268"/>
      <c r="H638" s="405"/>
      <c r="I638" s="268"/>
      <c r="K638" s="827"/>
      <c r="L638" s="823"/>
    </row>
    <row r="639">
      <c r="A639" s="22"/>
      <c r="B639" s="570"/>
      <c r="C639" s="570"/>
      <c r="D639" s="570"/>
      <c r="E639" s="268"/>
      <c r="F639" s="268"/>
      <c r="H639" s="405"/>
      <c r="I639" s="268"/>
      <c r="K639" s="827"/>
      <c r="L639" s="823"/>
    </row>
    <row r="640">
      <c r="A640" s="22"/>
      <c r="B640" s="570"/>
      <c r="C640" s="570"/>
      <c r="D640" s="570"/>
      <c r="E640" s="268"/>
      <c r="F640" s="268"/>
      <c r="H640" s="405"/>
      <c r="I640" s="268"/>
      <c r="K640" s="827"/>
      <c r="L640" s="823"/>
    </row>
    <row r="641">
      <c r="A641" s="22"/>
      <c r="B641" s="570"/>
      <c r="C641" s="570"/>
      <c r="D641" s="570"/>
      <c r="E641" s="268"/>
      <c r="F641" s="268"/>
      <c r="H641" s="405"/>
      <c r="I641" s="268"/>
      <c r="K641" s="827"/>
      <c r="L641" s="823"/>
    </row>
    <row r="642">
      <c r="A642" s="22"/>
      <c r="B642" s="570"/>
      <c r="C642" s="570"/>
      <c r="D642" s="570"/>
      <c r="E642" s="268"/>
      <c r="F642" s="268"/>
      <c r="H642" s="405"/>
      <c r="I642" s="268"/>
      <c r="K642" s="827"/>
      <c r="L642" s="823"/>
    </row>
    <row r="643">
      <c r="A643" s="22"/>
      <c r="B643" s="570"/>
      <c r="C643" s="570"/>
      <c r="D643" s="570"/>
      <c r="E643" s="268"/>
      <c r="F643" s="268"/>
      <c r="H643" s="405"/>
      <c r="I643" s="268"/>
      <c r="K643" s="827"/>
      <c r="L643" s="823"/>
    </row>
    <row r="644">
      <c r="A644" s="22"/>
      <c r="B644" s="570"/>
      <c r="C644" s="570"/>
      <c r="D644" s="570"/>
      <c r="E644" s="268"/>
      <c r="F644" s="268"/>
      <c r="H644" s="405"/>
      <c r="I644" s="268"/>
      <c r="K644" s="827"/>
      <c r="L644" s="823"/>
    </row>
    <row r="645">
      <c r="A645" s="22"/>
      <c r="B645" s="570"/>
      <c r="C645" s="570"/>
      <c r="D645" s="570"/>
      <c r="E645" s="268"/>
      <c r="F645" s="268"/>
      <c r="H645" s="405"/>
      <c r="I645" s="268"/>
      <c r="K645" s="827"/>
      <c r="L645" s="823"/>
    </row>
    <row r="646">
      <c r="A646" s="22"/>
      <c r="B646" s="570"/>
      <c r="C646" s="570"/>
      <c r="D646" s="570"/>
      <c r="E646" s="268"/>
      <c r="F646" s="268"/>
      <c r="H646" s="405"/>
      <c r="I646" s="268"/>
      <c r="K646" s="827"/>
      <c r="L646" s="823"/>
    </row>
    <row r="647">
      <c r="A647" s="22"/>
      <c r="B647" s="570"/>
      <c r="C647" s="570"/>
      <c r="D647" s="570"/>
      <c r="E647" s="268"/>
      <c r="F647" s="268"/>
      <c r="H647" s="405"/>
      <c r="I647" s="268"/>
      <c r="K647" s="827"/>
      <c r="L647" s="823"/>
    </row>
    <row r="648">
      <c r="A648" s="22"/>
      <c r="B648" s="570"/>
      <c r="C648" s="570"/>
      <c r="D648" s="570"/>
      <c r="E648" s="268"/>
      <c r="F648" s="268"/>
      <c r="H648" s="405"/>
      <c r="I648" s="268"/>
      <c r="K648" s="827"/>
      <c r="L648" s="823"/>
    </row>
    <row r="649">
      <c r="A649" s="22"/>
      <c r="B649" s="570"/>
      <c r="C649" s="570"/>
      <c r="D649" s="570"/>
      <c r="E649" s="268"/>
      <c r="F649" s="268"/>
      <c r="H649" s="405"/>
      <c r="I649" s="268"/>
      <c r="K649" s="827"/>
      <c r="L649" s="823"/>
    </row>
    <row r="650">
      <c r="A650" s="22"/>
      <c r="B650" s="570"/>
      <c r="C650" s="570"/>
      <c r="D650" s="570"/>
      <c r="E650" s="268"/>
      <c r="F650" s="268"/>
      <c r="H650" s="405"/>
      <c r="I650" s="268"/>
      <c r="K650" s="827"/>
      <c r="L650" s="823"/>
    </row>
    <row r="651">
      <c r="A651" s="22"/>
      <c r="B651" s="570"/>
      <c r="C651" s="570"/>
      <c r="D651" s="570"/>
      <c r="E651" s="268"/>
      <c r="F651" s="268"/>
      <c r="H651" s="405"/>
      <c r="I651" s="268"/>
      <c r="K651" s="827"/>
      <c r="L651" s="823"/>
    </row>
    <row r="652">
      <c r="A652" s="22"/>
      <c r="B652" s="570"/>
      <c r="C652" s="570"/>
      <c r="D652" s="570"/>
      <c r="E652" s="268"/>
      <c r="F652" s="268"/>
      <c r="H652" s="405"/>
      <c r="I652" s="268"/>
      <c r="K652" s="827"/>
      <c r="L652" s="823"/>
    </row>
    <row r="653">
      <c r="A653" s="22"/>
      <c r="B653" s="570"/>
      <c r="C653" s="570"/>
      <c r="D653" s="570"/>
      <c r="E653" s="268"/>
      <c r="F653" s="268"/>
      <c r="H653" s="405"/>
      <c r="I653" s="268"/>
      <c r="K653" s="827"/>
      <c r="L653" s="823"/>
    </row>
    <row r="654">
      <c r="A654" s="22"/>
      <c r="B654" s="570"/>
      <c r="C654" s="570"/>
      <c r="D654" s="570"/>
      <c r="E654" s="268"/>
      <c r="F654" s="268"/>
      <c r="H654" s="405"/>
      <c r="I654" s="268"/>
      <c r="K654" s="827"/>
      <c r="L654" s="823"/>
    </row>
    <row r="655">
      <c r="A655" s="22"/>
      <c r="B655" s="570"/>
      <c r="C655" s="570"/>
      <c r="D655" s="570"/>
      <c r="E655" s="268"/>
      <c r="F655" s="268"/>
      <c r="H655" s="405"/>
      <c r="I655" s="268"/>
      <c r="K655" s="827"/>
      <c r="L655" s="823"/>
    </row>
    <row r="656">
      <c r="A656" s="22"/>
      <c r="B656" s="570"/>
      <c r="C656" s="570"/>
      <c r="D656" s="570"/>
      <c r="E656" s="268"/>
      <c r="F656" s="268"/>
      <c r="H656" s="405"/>
      <c r="I656" s="268"/>
      <c r="K656" s="827"/>
      <c r="L656" s="823"/>
    </row>
    <row r="657">
      <c r="A657" s="22"/>
      <c r="B657" s="570"/>
      <c r="C657" s="570"/>
      <c r="D657" s="570"/>
      <c r="E657" s="268"/>
      <c r="F657" s="268"/>
      <c r="H657" s="405"/>
      <c r="I657" s="268"/>
      <c r="K657" s="827"/>
      <c r="L657" s="823"/>
    </row>
    <row r="658">
      <c r="A658" s="22"/>
      <c r="B658" s="570"/>
      <c r="C658" s="570"/>
      <c r="D658" s="570"/>
      <c r="E658" s="268"/>
      <c r="F658" s="268"/>
      <c r="H658" s="405"/>
      <c r="I658" s="268"/>
      <c r="K658" s="827"/>
      <c r="L658" s="823"/>
    </row>
    <row r="659">
      <c r="A659" s="22"/>
      <c r="B659" s="570"/>
      <c r="C659" s="570"/>
      <c r="D659" s="570"/>
      <c r="E659" s="268"/>
      <c r="F659" s="268"/>
      <c r="H659" s="405"/>
      <c r="I659" s="268"/>
      <c r="K659" s="827"/>
      <c r="L659" s="823"/>
    </row>
    <row r="660">
      <c r="A660" s="22"/>
      <c r="B660" s="570"/>
      <c r="C660" s="570"/>
      <c r="D660" s="570"/>
      <c r="E660" s="268"/>
      <c r="F660" s="268"/>
      <c r="H660" s="405"/>
      <c r="I660" s="268"/>
      <c r="K660" s="827"/>
      <c r="L660" s="823"/>
    </row>
    <row r="661">
      <c r="A661" s="22"/>
      <c r="B661" s="570"/>
      <c r="C661" s="570"/>
      <c r="D661" s="570"/>
      <c r="E661" s="268"/>
      <c r="F661" s="268"/>
      <c r="H661" s="405"/>
      <c r="I661" s="268"/>
      <c r="K661" s="827"/>
      <c r="L661" s="823"/>
    </row>
    <row r="662">
      <c r="A662" s="22"/>
      <c r="B662" s="570"/>
      <c r="C662" s="570"/>
      <c r="D662" s="570"/>
      <c r="E662" s="268"/>
      <c r="F662" s="268"/>
      <c r="H662" s="405"/>
      <c r="I662" s="268"/>
      <c r="K662" s="827"/>
      <c r="L662" s="823"/>
    </row>
    <row r="663">
      <c r="A663" s="22"/>
      <c r="B663" s="570"/>
      <c r="C663" s="570"/>
      <c r="D663" s="570"/>
      <c r="E663" s="268"/>
      <c r="F663" s="268"/>
      <c r="H663" s="405"/>
      <c r="I663" s="268"/>
      <c r="K663" s="827"/>
      <c r="L663" s="823"/>
    </row>
    <row r="664">
      <c r="A664" s="22"/>
      <c r="B664" s="570"/>
      <c r="C664" s="570"/>
      <c r="D664" s="570"/>
      <c r="E664" s="268"/>
      <c r="F664" s="268"/>
      <c r="H664" s="405"/>
      <c r="I664" s="268"/>
      <c r="K664" s="827"/>
      <c r="L664" s="823"/>
    </row>
    <row r="665">
      <c r="A665" s="22"/>
      <c r="B665" s="570"/>
      <c r="C665" s="570"/>
      <c r="D665" s="570"/>
      <c r="E665" s="268"/>
      <c r="F665" s="268"/>
      <c r="H665" s="405"/>
      <c r="I665" s="268"/>
      <c r="K665" s="827"/>
      <c r="L665" s="823"/>
    </row>
    <row r="666">
      <c r="A666" s="22"/>
      <c r="B666" s="570"/>
      <c r="C666" s="570"/>
      <c r="D666" s="570"/>
      <c r="E666" s="268"/>
      <c r="F666" s="268"/>
      <c r="H666" s="405"/>
      <c r="I666" s="268"/>
      <c r="K666" s="827"/>
      <c r="L666" s="823"/>
    </row>
    <row r="667">
      <c r="A667" s="22"/>
      <c r="B667" s="570"/>
      <c r="C667" s="570"/>
      <c r="D667" s="570"/>
      <c r="E667" s="268"/>
      <c r="F667" s="268"/>
      <c r="H667" s="405"/>
      <c r="I667" s="268"/>
      <c r="K667" s="827"/>
      <c r="L667" s="823"/>
    </row>
    <row r="668">
      <c r="A668" s="22"/>
      <c r="B668" s="570"/>
      <c r="C668" s="570"/>
      <c r="D668" s="570"/>
      <c r="E668" s="268"/>
      <c r="F668" s="268"/>
      <c r="H668" s="405"/>
      <c r="I668" s="268"/>
      <c r="K668" s="827"/>
      <c r="L668" s="823"/>
    </row>
    <row r="669">
      <c r="A669" s="22"/>
      <c r="B669" s="570"/>
      <c r="C669" s="570"/>
      <c r="D669" s="570"/>
      <c r="E669" s="268"/>
      <c r="F669" s="268"/>
      <c r="H669" s="405"/>
      <c r="I669" s="268"/>
      <c r="K669" s="827"/>
      <c r="L669" s="823"/>
    </row>
    <row r="670">
      <c r="A670" s="22"/>
      <c r="B670" s="570"/>
      <c r="C670" s="570"/>
      <c r="D670" s="570"/>
      <c r="E670" s="268"/>
      <c r="F670" s="268"/>
      <c r="H670" s="405"/>
      <c r="I670" s="268"/>
      <c r="K670" s="827"/>
      <c r="L670" s="823"/>
    </row>
    <row r="671">
      <c r="A671" s="22"/>
      <c r="B671" s="570"/>
      <c r="C671" s="570"/>
      <c r="D671" s="570"/>
      <c r="E671" s="268"/>
      <c r="F671" s="268"/>
      <c r="H671" s="405"/>
      <c r="I671" s="268"/>
      <c r="K671" s="827"/>
      <c r="L671" s="823"/>
    </row>
    <row r="672">
      <c r="A672" s="22"/>
      <c r="B672" s="570"/>
      <c r="C672" s="570"/>
      <c r="D672" s="570"/>
      <c r="E672" s="268"/>
      <c r="F672" s="268"/>
      <c r="H672" s="405"/>
      <c r="I672" s="268"/>
      <c r="K672" s="827"/>
      <c r="L672" s="823"/>
    </row>
    <row r="673">
      <c r="A673" s="22"/>
      <c r="B673" s="570"/>
      <c r="C673" s="570"/>
      <c r="D673" s="570"/>
      <c r="E673" s="268"/>
      <c r="F673" s="268"/>
      <c r="H673" s="405"/>
      <c r="I673" s="268"/>
      <c r="K673" s="827"/>
      <c r="L673" s="823"/>
    </row>
    <row r="674">
      <c r="A674" s="22"/>
      <c r="B674" s="570"/>
      <c r="C674" s="570"/>
      <c r="D674" s="570"/>
      <c r="E674" s="268"/>
      <c r="F674" s="268"/>
      <c r="H674" s="405"/>
      <c r="I674" s="268"/>
      <c r="K674" s="827"/>
      <c r="L674" s="823"/>
    </row>
    <row r="675">
      <c r="A675" s="22"/>
      <c r="B675" s="570"/>
      <c r="C675" s="570"/>
      <c r="D675" s="570"/>
      <c r="E675" s="268"/>
      <c r="F675" s="268"/>
      <c r="H675" s="405"/>
      <c r="I675" s="268"/>
      <c r="K675" s="827"/>
      <c r="L675" s="823"/>
    </row>
    <row r="676">
      <c r="A676" s="22"/>
      <c r="B676" s="570"/>
      <c r="C676" s="570"/>
      <c r="D676" s="570"/>
      <c r="E676" s="268"/>
      <c r="F676" s="268"/>
      <c r="H676" s="405"/>
      <c r="I676" s="268"/>
      <c r="K676" s="827"/>
      <c r="L676" s="823"/>
    </row>
    <row r="677">
      <c r="A677" s="22"/>
      <c r="B677" s="570"/>
      <c r="C677" s="570"/>
      <c r="D677" s="570"/>
      <c r="E677" s="268"/>
      <c r="F677" s="268"/>
      <c r="H677" s="405"/>
      <c r="I677" s="268"/>
      <c r="K677" s="827"/>
      <c r="L677" s="823"/>
    </row>
    <row r="678">
      <c r="A678" s="22"/>
      <c r="B678" s="570"/>
      <c r="C678" s="570"/>
      <c r="D678" s="570"/>
      <c r="E678" s="268"/>
      <c r="F678" s="268"/>
      <c r="H678" s="405"/>
      <c r="I678" s="268"/>
      <c r="K678" s="827"/>
      <c r="L678" s="823"/>
    </row>
    <row r="679">
      <c r="A679" s="22"/>
      <c r="B679" s="570"/>
      <c r="C679" s="570"/>
      <c r="D679" s="570"/>
      <c r="E679" s="268"/>
      <c r="F679" s="268"/>
      <c r="H679" s="405"/>
      <c r="I679" s="268"/>
      <c r="K679" s="827"/>
      <c r="L679" s="823"/>
    </row>
    <row r="680">
      <c r="A680" s="22"/>
      <c r="B680" s="570"/>
      <c r="C680" s="570"/>
      <c r="D680" s="570"/>
      <c r="E680" s="268"/>
      <c r="F680" s="268"/>
      <c r="H680" s="405"/>
      <c r="I680" s="268"/>
      <c r="K680" s="827"/>
      <c r="L680" s="823"/>
    </row>
    <row r="681">
      <c r="A681" s="22"/>
      <c r="B681" s="570"/>
      <c r="C681" s="570"/>
      <c r="D681" s="570"/>
      <c r="E681" s="268"/>
      <c r="F681" s="268"/>
      <c r="H681" s="405"/>
      <c r="I681" s="268"/>
      <c r="K681" s="827"/>
      <c r="L681" s="823"/>
    </row>
    <row r="682">
      <c r="A682" s="22"/>
      <c r="B682" s="570"/>
      <c r="C682" s="570"/>
      <c r="D682" s="570"/>
      <c r="E682" s="268"/>
      <c r="F682" s="268"/>
      <c r="H682" s="405"/>
      <c r="I682" s="268"/>
      <c r="K682" s="827"/>
      <c r="L682" s="823"/>
    </row>
    <row r="683">
      <c r="A683" s="22"/>
      <c r="B683" s="570"/>
      <c r="C683" s="570"/>
      <c r="D683" s="570"/>
      <c r="E683" s="268"/>
      <c r="F683" s="268"/>
      <c r="H683" s="405"/>
      <c r="I683" s="268"/>
      <c r="K683" s="827"/>
      <c r="L683" s="823"/>
    </row>
    <row r="684">
      <c r="A684" s="22"/>
      <c r="B684" s="570"/>
      <c r="C684" s="570"/>
      <c r="D684" s="570"/>
      <c r="E684" s="268"/>
      <c r="F684" s="268"/>
      <c r="H684" s="405"/>
      <c r="I684" s="268"/>
      <c r="K684" s="827"/>
      <c r="L684" s="823"/>
    </row>
    <row r="685">
      <c r="A685" s="22"/>
      <c r="B685" s="570"/>
      <c r="C685" s="570"/>
      <c r="D685" s="570"/>
      <c r="E685" s="268"/>
      <c r="F685" s="268"/>
      <c r="H685" s="405"/>
      <c r="I685" s="268"/>
      <c r="K685" s="827"/>
      <c r="L685" s="823"/>
    </row>
    <row r="686">
      <c r="A686" s="22"/>
      <c r="B686" s="570"/>
      <c r="C686" s="570"/>
      <c r="D686" s="570"/>
      <c r="E686" s="268"/>
      <c r="F686" s="268"/>
      <c r="H686" s="405"/>
      <c r="I686" s="268"/>
      <c r="K686" s="827"/>
      <c r="L686" s="823"/>
    </row>
    <row r="687">
      <c r="A687" s="22"/>
      <c r="B687" s="570"/>
      <c r="C687" s="570"/>
      <c r="D687" s="570"/>
      <c r="E687" s="268"/>
      <c r="F687" s="268"/>
      <c r="H687" s="405"/>
      <c r="I687" s="268"/>
      <c r="K687" s="827"/>
      <c r="L687" s="823"/>
    </row>
    <row r="688">
      <c r="A688" s="22"/>
      <c r="B688" s="570"/>
      <c r="C688" s="570"/>
      <c r="D688" s="570"/>
      <c r="E688" s="268"/>
      <c r="F688" s="268"/>
      <c r="H688" s="405"/>
      <c r="I688" s="268"/>
      <c r="K688" s="827"/>
      <c r="L688" s="823"/>
    </row>
    <row r="689">
      <c r="A689" s="22"/>
      <c r="B689" s="570"/>
      <c r="C689" s="570"/>
      <c r="D689" s="570"/>
      <c r="E689" s="268"/>
      <c r="F689" s="268"/>
      <c r="H689" s="405"/>
      <c r="I689" s="268"/>
      <c r="K689" s="827"/>
      <c r="L689" s="823"/>
    </row>
    <row r="690">
      <c r="A690" s="22"/>
      <c r="B690" s="570"/>
      <c r="C690" s="570"/>
      <c r="D690" s="570"/>
      <c r="E690" s="268"/>
      <c r="F690" s="268"/>
      <c r="H690" s="405"/>
      <c r="I690" s="268"/>
      <c r="K690" s="827"/>
      <c r="L690" s="823"/>
    </row>
    <row r="691">
      <c r="A691" s="22"/>
      <c r="B691" s="570"/>
      <c r="C691" s="570"/>
      <c r="D691" s="570"/>
      <c r="E691" s="268"/>
      <c r="F691" s="268"/>
      <c r="H691" s="405"/>
      <c r="I691" s="268"/>
      <c r="K691" s="827"/>
      <c r="L691" s="823"/>
    </row>
    <row r="692">
      <c r="A692" s="22"/>
      <c r="B692" s="570"/>
      <c r="C692" s="570"/>
      <c r="D692" s="570"/>
      <c r="E692" s="268"/>
      <c r="F692" s="268"/>
      <c r="H692" s="405"/>
      <c r="I692" s="268"/>
      <c r="K692" s="827"/>
      <c r="L692" s="823"/>
    </row>
    <row r="693">
      <c r="A693" s="22"/>
      <c r="B693" s="570"/>
      <c r="C693" s="570"/>
      <c r="D693" s="570"/>
      <c r="E693" s="268"/>
      <c r="F693" s="268"/>
      <c r="H693" s="405"/>
      <c r="I693" s="268"/>
      <c r="K693" s="827"/>
      <c r="L693" s="823"/>
    </row>
    <row r="694">
      <c r="A694" s="22"/>
      <c r="B694" s="570"/>
      <c r="C694" s="570"/>
      <c r="D694" s="570"/>
      <c r="E694" s="268"/>
      <c r="F694" s="268"/>
      <c r="H694" s="405"/>
      <c r="I694" s="268"/>
      <c r="K694" s="827"/>
      <c r="L694" s="823"/>
    </row>
    <row r="695">
      <c r="A695" s="22"/>
      <c r="B695" s="570"/>
      <c r="C695" s="570"/>
      <c r="D695" s="570"/>
      <c r="E695" s="268"/>
      <c r="F695" s="268"/>
      <c r="H695" s="405"/>
      <c r="I695" s="268"/>
      <c r="K695" s="827"/>
      <c r="L695" s="823"/>
    </row>
    <row r="696">
      <c r="A696" s="22"/>
      <c r="B696" s="570"/>
      <c r="C696" s="570"/>
      <c r="D696" s="570"/>
      <c r="E696" s="268"/>
      <c r="F696" s="268"/>
      <c r="H696" s="405"/>
      <c r="I696" s="268"/>
      <c r="K696" s="827"/>
      <c r="L696" s="823"/>
    </row>
    <row r="697">
      <c r="A697" s="22"/>
      <c r="B697" s="570"/>
      <c r="C697" s="570"/>
      <c r="D697" s="570"/>
      <c r="E697" s="268"/>
      <c r="F697" s="268"/>
      <c r="H697" s="405"/>
      <c r="I697" s="268"/>
      <c r="K697" s="827"/>
      <c r="L697" s="823"/>
    </row>
    <row r="698">
      <c r="A698" s="22"/>
      <c r="B698" s="570"/>
      <c r="C698" s="570"/>
      <c r="D698" s="570"/>
      <c r="E698" s="268"/>
      <c r="F698" s="268"/>
      <c r="H698" s="405"/>
      <c r="I698" s="268"/>
      <c r="K698" s="827"/>
      <c r="L698" s="823"/>
    </row>
    <row r="699">
      <c r="A699" s="22"/>
      <c r="B699" s="570"/>
      <c r="C699" s="570"/>
      <c r="D699" s="570"/>
      <c r="E699" s="268"/>
      <c r="F699" s="268"/>
      <c r="H699" s="405"/>
      <c r="I699" s="268"/>
      <c r="K699" s="827"/>
      <c r="L699" s="823"/>
    </row>
    <row r="700">
      <c r="A700" s="22"/>
      <c r="B700" s="570"/>
      <c r="C700" s="570"/>
      <c r="D700" s="570"/>
      <c r="E700" s="268"/>
      <c r="F700" s="268"/>
      <c r="H700" s="405"/>
      <c r="I700" s="268"/>
      <c r="K700" s="827"/>
      <c r="L700" s="823"/>
    </row>
    <row r="701">
      <c r="A701" s="22"/>
      <c r="B701" s="570"/>
      <c r="C701" s="570"/>
      <c r="D701" s="570"/>
      <c r="E701" s="268"/>
      <c r="F701" s="268"/>
      <c r="H701" s="405"/>
      <c r="I701" s="268"/>
      <c r="K701" s="827"/>
      <c r="L701" s="823"/>
    </row>
    <row r="702">
      <c r="A702" s="22"/>
      <c r="B702" s="570"/>
      <c r="C702" s="570"/>
      <c r="D702" s="570"/>
      <c r="E702" s="268"/>
      <c r="F702" s="268"/>
      <c r="H702" s="405"/>
      <c r="I702" s="268"/>
      <c r="K702" s="827"/>
      <c r="L702" s="823"/>
    </row>
    <row r="703">
      <c r="A703" s="22"/>
      <c r="B703" s="570"/>
      <c r="C703" s="570"/>
      <c r="D703" s="570"/>
      <c r="E703" s="268"/>
      <c r="F703" s="268"/>
      <c r="H703" s="405"/>
      <c r="I703" s="268"/>
      <c r="K703" s="827"/>
      <c r="L703" s="823"/>
    </row>
    <row r="704">
      <c r="A704" s="22"/>
      <c r="B704" s="570"/>
      <c r="C704" s="570"/>
      <c r="D704" s="570"/>
      <c r="E704" s="268"/>
      <c r="F704" s="268"/>
      <c r="H704" s="405"/>
      <c r="I704" s="268"/>
      <c r="K704" s="827"/>
      <c r="L704" s="823"/>
    </row>
    <row r="705">
      <c r="A705" s="22"/>
      <c r="B705" s="570"/>
      <c r="C705" s="570"/>
      <c r="D705" s="570"/>
      <c r="E705" s="268"/>
      <c r="F705" s="268"/>
      <c r="H705" s="405"/>
      <c r="I705" s="268"/>
      <c r="K705" s="827"/>
      <c r="L705" s="823"/>
    </row>
    <row r="706">
      <c r="A706" s="22"/>
      <c r="B706" s="570"/>
      <c r="C706" s="570"/>
      <c r="D706" s="570"/>
      <c r="E706" s="268"/>
      <c r="F706" s="268"/>
      <c r="H706" s="405"/>
      <c r="I706" s="268"/>
      <c r="K706" s="827"/>
      <c r="L706" s="823"/>
    </row>
    <row r="707">
      <c r="A707" s="22"/>
      <c r="B707" s="570"/>
      <c r="C707" s="570"/>
      <c r="D707" s="570"/>
      <c r="E707" s="268"/>
      <c r="F707" s="268"/>
      <c r="H707" s="405"/>
      <c r="I707" s="268"/>
      <c r="K707" s="827"/>
      <c r="L707" s="823"/>
    </row>
    <row r="708">
      <c r="A708" s="22"/>
      <c r="B708" s="570"/>
      <c r="C708" s="570"/>
      <c r="D708" s="570"/>
      <c r="E708" s="268"/>
      <c r="F708" s="268"/>
      <c r="H708" s="405"/>
      <c r="I708" s="268"/>
      <c r="K708" s="827"/>
      <c r="L708" s="823"/>
    </row>
    <row r="709">
      <c r="A709" s="22"/>
      <c r="B709" s="570"/>
      <c r="C709" s="570"/>
      <c r="D709" s="570"/>
      <c r="E709" s="268"/>
      <c r="F709" s="268"/>
      <c r="H709" s="405"/>
      <c r="I709" s="268"/>
      <c r="K709" s="827"/>
      <c r="L709" s="823"/>
    </row>
    <row r="710">
      <c r="A710" s="22"/>
      <c r="B710" s="570"/>
      <c r="C710" s="570"/>
      <c r="D710" s="570"/>
      <c r="E710" s="268"/>
      <c r="F710" s="268"/>
      <c r="H710" s="405"/>
      <c r="I710" s="268"/>
      <c r="K710" s="827"/>
      <c r="L710" s="823"/>
    </row>
    <row r="711">
      <c r="A711" s="22"/>
      <c r="B711" s="570"/>
      <c r="C711" s="570"/>
      <c r="D711" s="570"/>
      <c r="E711" s="268"/>
      <c r="F711" s="268"/>
      <c r="H711" s="405"/>
      <c r="I711" s="268"/>
      <c r="K711" s="827"/>
      <c r="L711" s="823"/>
    </row>
    <row r="712">
      <c r="A712" s="22"/>
      <c r="B712" s="570"/>
      <c r="C712" s="570"/>
      <c r="D712" s="570"/>
      <c r="E712" s="268"/>
      <c r="F712" s="268"/>
      <c r="H712" s="405"/>
      <c r="I712" s="268"/>
      <c r="K712" s="827"/>
      <c r="L712" s="823"/>
    </row>
    <row r="713">
      <c r="A713" s="22"/>
      <c r="B713" s="570"/>
      <c r="C713" s="570"/>
      <c r="D713" s="570"/>
      <c r="E713" s="268"/>
      <c r="F713" s="268"/>
      <c r="H713" s="405"/>
      <c r="I713" s="268"/>
      <c r="K713" s="827"/>
      <c r="L713" s="823"/>
    </row>
    <row r="714">
      <c r="A714" s="22"/>
      <c r="B714" s="570"/>
      <c r="C714" s="570"/>
      <c r="D714" s="570"/>
      <c r="E714" s="268"/>
      <c r="F714" s="268"/>
      <c r="H714" s="405"/>
      <c r="I714" s="268"/>
      <c r="K714" s="827"/>
      <c r="L714" s="823"/>
    </row>
    <row r="715">
      <c r="A715" s="22"/>
      <c r="B715" s="570"/>
      <c r="C715" s="570"/>
      <c r="D715" s="570"/>
      <c r="E715" s="268"/>
      <c r="F715" s="268"/>
      <c r="H715" s="405"/>
      <c r="I715" s="268"/>
      <c r="K715" s="827"/>
      <c r="L715" s="823"/>
    </row>
    <row r="716">
      <c r="A716" s="22"/>
      <c r="B716" s="570"/>
      <c r="C716" s="570"/>
      <c r="D716" s="570"/>
      <c r="E716" s="268"/>
      <c r="F716" s="268"/>
      <c r="H716" s="405"/>
      <c r="I716" s="268"/>
      <c r="K716" s="827"/>
      <c r="L716" s="823"/>
    </row>
    <row r="717">
      <c r="A717" s="22"/>
      <c r="B717" s="570"/>
      <c r="C717" s="570"/>
      <c r="D717" s="570"/>
      <c r="E717" s="268"/>
      <c r="F717" s="268"/>
      <c r="H717" s="405"/>
      <c r="I717" s="268"/>
      <c r="K717" s="827"/>
      <c r="L717" s="823"/>
    </row>
    <row r="718">
      <c r="A718" s="22"/>
      <c r="B718" s="570"/>
      <c r="C718" s="570"/>
      <c r="D718" s="570"/>
      <c r="E718" s="268"/>
      <c r="F718" s="268"/>
      <c r="H718" s="405"/>
      <c r="I718" s="268"/>
      <c r="K718" s="827"/>
      <c r="L718" s="823"/>
    </row>
    <row r="719">
      <c r="A719" s="22"/>
      <c r="B719" s="570"/>
      <c r="C719" s="570"/>
      <c r="D719" s="570"/>
      <c r="E719" s="268"/>
      <c r="F719" s="268"/>
      <c r="H719" s="405"/>
      <c r="I719" s="268"/>
      <c r="K719" s="827"/>
      <c r="L719" s="823"/>
    </row>
    <row r="720">
      <c r="A720" s="22"/>
      <c r="B720" s="570"/>
      <c r="C720" s="570"/>
      <c r="D720" s="570"/>
      <c r="E720" s="268"/>
      <c r="F720" s="268"/>
      <c r="H720" s="405"/>
      <c r="I720" s="268"/>
      <c r="K720" s="827"/>
      <c r="L720" s="823"/>
    </row>
    <row r="721">
      <c r="A721" s="22"/>
      <c r="B721" s="570"/>
      <c r="C721" s="570"/>
      <c r="D721" s="570"/>
      <c r="E721" s="268"/>
      <c r="F721" s="268"/>
      <c r="H721" s="405"/>
      <c r="I721" s="268"/>
      <c r="K721" s="827"/>
      <c r="L721" s="823"/>
    </row>
    <row r="722">
      <c r="A722" s="22"/>
      <c r="B722" s="570"/>
      <c r="C722" s="570"/>
      <c r="D722" s="570"/>
      <c r="E722" s="268"/>
      <c r="F722" s="268"/>
      <c r="H722" s="405"/>
      <c r="I722" s="268"/>
      <c r="K722" s="827"/>
      <c r="L722" s="823"/>
    </row>
    <row r="723">
      <c r="A723" s="22"/>
      <c r="B723" s="570"/>
      <c r="C723" s="570"/>
      <c r="D723" s="570"/>
      <c r="E723" s="268"/>
      <c r="F723" s="268"/>
      <c r="H723" s="405"/>
      <c r="I723" s="268"/>
      <c r="K723" s="827"/>
      <c r="L723" s="823"/>
    </row>
    <row r="724">
      <c r="A724" s="22"/>
      <c r="B724" s="570"/>
      <c r="C724" s="570"/>
      <c r="D724" s="570"/>
      <c r="E724" s="268"/>
      <c r="F724" s="268"/>
      <c r="H724" s="405"/>
      <c r="I724" s="268"/>
      <c r="K724" s="827"/>
      <c r="L724" s="823"/>
    </row>
    <row r="725">
      <c r="A725" s="22"/>
      <c r="B725" s="570"/>
      <c r="C725" s="570"/>
      <c r="D725" s="570"/>
      <c r="E725" s="268"/>
      <c r="F725" s="268"/>
      <c r="H725" s="405"/>
      <c r="I725" s="268"/>
      <c r="K725" s="827"/>
      <c r="L725" s="823"/>
    </row>
    <row r="726">
      <c r="A726" s="22"/>
      <c r="B726" s="570"/>
      <c r="C726" s="570"/>
      <c r="D726" s="570"/>
      <c r="E726" s="268"/>
      <c r="F726" s="268"/>
      <c r="H726" s="405"/>
      <c r="I726" s="268"/>
      <c r="K726" s="827"/>
      <c r="L726" s="823"/>
    </row>
    <row r="727">
      <c r="A727" s="22"/>
      <c r="B727" s="570"/>
      <c r="C727" s="570"/>
      <c r="D727" s="570"/>
      <c r="E727" s="268"/>
      <c r="F727" s="268"/>
      <c r="H727" s="405"/>
      <c r="I727" s="268"/>
      <c r="K727" s="827"/>
      <c r="L727" s="823"/>
    </row>
    <row r="728">
      <c r="A728" s="22"/>
      <c r="B728" s="570"/>
      <c r="C728" s="570"/>
      <c r="D728" s="570"/>
      <c r="E728" s="268"/>
      <c r="F728" s="268"/>
      <c r="H728" s="405"/>
      <c r="I728" s="268"/>
      <c r="K728" s="827"/>
      <c r="L728" s="823"/>
    </row>
    <row r="729">
      <c r="A729" s="22"/>
      <c r="B729" s="570"/>
      <c r="C729" s="570"/>
      <c r="D729" s="570"/>
      <c r="E729" s="268"/>
      <c r="F729" s="268"/>
      <c r="H729" s="405"/>
      <c r="I729" s="268"/>
      <c r="K729" s="827"/>
      <c r="L729" s="823"/>
    </row>
    <row r="730">
      <c r="A730" s="22"/>
      <c r="B730" s="570"/>
      <c r="C730" s="570"/>
      <c r="D730" s="570"/>
      <c r="E730" s="268"/>
      <c r="F730" s="268"/>
      <c r="H730" s="405"/>
      <c r="I730" s="268"/>
      <c r="K730" s="827"/>
      <c r="L730" s="823"/>
    </row>
    <row r="731">
      <c r="A731" s="22"/>
      <c r="B731" s="570"/>
      <c r="C731" s="570"/>
      <c r="D731" s="570"/>
      <c r="E731" s="268"/>
      <c r="F731" s="268"/>
      <c r="H731" s="405"/>
      <c r="I731" s="268"/>
      <c r="K731" s="827"/>
      <c r="L731" s="823"/>
    </row>
    <row r="732">
      <c r="A732" s="22"/>
      <c r="B732" s="570"/>
      <c r="C732" s="570"/>
      <c r="D732" s="570"/>
      <c r="E732" s="268"/>
      <c r="F732" s="268"/>
      <c r="H732" s="405"/>
      <c r="I732" s="268"/>
      <c r="K732" s="827"/>
      <c r="L732" s="823"/>
    </row>
    <row r="733">
      <c r="A733" s="22"/>
      <c r="B733" s="570"/>
      <c r="C733" s="570"/>
      <c r="D733" s="570"/>
      <c r="E733" s="268"/>
      <c r="F733" s="268"/>
      <c r="H733" s="405"/>
      <c r="I733" s="268"/>
      <c r="K733" s="827"/>
      <c r="L733" s="823"/>
    </row>
    <row r="734">
      <c r="A734" s="22"/>
      <c r="B734" s="570"/>
      <c r="C734" s="570"/>
      <c r="D734" s="570"/>
      <c r="E734" s="268"/>
      <c r="F734" s="268"/>
      <c r="H734" s="405"/>
      <c r="I734" s="268"/>
      <c r="K734" s="827"/>
      <c r="L734" s="823"/>
    </row>
    <row r="735">
      <c r="A735" s="22"/>
      <c r="B735" s="570"/>
      <c r="C735" s="570"/>
      <c r="D735" s="570"/>
      <c r="E735" s="268"/>
      <c r="F735" s="268"/>
      <c r="H735" s="405"/>
      <c r="I735" s="268"/>
      <c r="K735" s="827"/>
      <c r="L735" s="823"/>
    </row>
    <row r="736">
      <c r="A736" s="22"/>
      <c r="B736" s="570"/>
      <c r="C736" s="570"/>
      <c r="D736" s="570"/>
      <c r="E736" s="268"/>
      <c r="F736" s="268"/>
      <c r="H736" s="405"/>
      <c r="I736" s="268"/>
      <c r="K736" s="827"/>
      <c r="L736" s="823"/>
    </row>
    <row r="737">
      <c r="A737" s="22"/>
      <c r="B737" s="570"/>
      <c r="C737" s="570"/>
      <c r="D737" s="570"/>
      <c r="E737" s="268"/>
      <c r="F737" s="268"/>
      <c r="H737" s="405"/>
      <c r="I737" s="268"/>
      <c r="K737" s="827"/>
      <c r="L737" s="823"/>
    </row>
    <row r="738">
      <c r="A738" s="22"/>
      <c r="B738" s="570"/>
      <c r="C738" s="570"/>
      <c r="D738" s="570"/>
      <c r="E738" s="268"/>
      <c r="F738" s="268"/>
      <c r="H738" s="405"/>
      <c r="I738" s="268"/>
      <c r="K738" s="827"/>
      <c r="L738" s="823"/>
    </row>
    <row r="739">
      <c r="A739" s="22"/>
      <c r="B739" s="570"/>
      <c r="C739" s="570"/>
      <c r="D739" s="570"/>
      <c r="E739" s="268"/>
      <c r="F739" s="268"/>
      <c r="H739" s="405"/>
      <c r="I739" s="268"/>
      <c r="K739" s="827"/>
      <c r="L739" s="823"/>
    </row>
    <row r="740">
      <c r="A740" s="22"/>
      <c r="B740" s="570"/>
      <c r="C740" s="570"/>
      <c r="D740" s="570"/>
      <c r="E740" s="268"/>
      <c r="F740" s="268"/>
      <c r="H740" s="405"/>
      <c r="I740" s="268"/>
      <c r="K740" s="827"/>
      <c r="L740" s="823"/>
    </row>
    <row r="741">
      <c r="A741" s="22"/>
      <c r="B741" s="570"/>
      <c r="C741" s="570"/>
      <c r="D741" s="570"/>
      <c r="E741" s="268"/>
      <c r="F741" s="268"/>
      <c r="H741" s="405"/>
      <c r="I741" s="268"/>
      <c r="K741" s="827"/>
      <c r="L741" s="823"/>
    </row>
    <row r="742">
      <c r="A742" s="22"/>
      <c r="B742" s="570"/>
      <c r="C742" s="570"/>
      <c r="D742" s="570"/>
      <c r="E742" s="268"/>
      <c r="F742" s="268"/>
      <c r="H742" s="405"/>
      <c r="I742" s="268"/>
      <c r="K742" s="827"/>
      <c r="L742" s="823"/>
    </row>
    <row r="743">
      <c r="A743" s="22"/>
      <c r="B743" s="570"/>
      <c r="C743" s="570"/>
      <c r="D743" s="570"/>
      <c r="E743" s="268"/>
      <c r="F743" s="268"/>
      <c r="H743" s="405"/>
      <c r="I743" s="268"/>
      <c r="K743" s="827"/>
      <c r="L743" s="823"/>
    </row>
    <row r="744">
      <c r="A744" s="22"/>
      <c r="B744" s="570"/>
      <c r="C744" s="570"/>
      <c r="D744" s="570"/>
      <c r="E744" s="268"/>
      <c r="F744" s="268"/>
      <c r="H744" s="405"/>
      <c r="I744" s="268"/>
      <c r="K744" s="827"/>
      <c r="L744" s="823"/>
    </row>
    <row r="745">
      <c r="A745" s="22"/>
      <c r="B745" s="570"/>
      <c r="C745" s="570"/>
      <c r="D745" s="570"/>
      <c r="E745" s="268"/>
      <c r="F745" s="268"/>
      <c r="H745" s="405"/>
      <c r="I745" s="268"/>
      <c r="K745" s="827"/>
      <c r="L745" s="823"/>
    </row>
    <row r="746">
      <c r="A746" s="22"/>
      <c r="B746" s="570"/>
      <c r="C746" s="570"/>
      <c r="D746" s="570"/>
      <c r="E746" s="268"/>
      <c r="F746" s="268"/>
      <c r="H746" s="405"/>
      <c r="I746" s="268"/>
      <c r="K746" s="827"/>
      <c r="L746" s="823"/>
    </row>
    <row r="747">
      <c r="A747" s="22"/>
      <c r="B747" s="570"/>
      <c r="C747" s="570"/>
      <c r="D747" s="570"/>
      <c r="E747" s="268"/>
      <c r="F747" s="268"/>
      <c r="H747" s="405"/>
      <c r="I747" s="268"/>
      <c r="K747" s="827"/>
      <c r="L747" s="823"/>
    </row>
    <row r="748">
      <c r="A748" s="22"/>
      <c r="B748" s="570"/>
      <c r="C748" s="570"/>
      <c r="D748" s="570"/>
      <c r="E748" s="268"/>
      <c r="F748" s="268"/>
      <c r="H748" s="405"/>
      <c r="I748" s="268"/>
      <c r="K748" s="827"/>
      <c r="L748" s="823"/>
    </row>
    <row r="749">
      <c r="A749" s="22"/>
      <c r="B749" s="570"/>
      <c r="C749" s="570"/>
      <c r="D749" s="570"/>
      <c r="E749" s="268"/>
      <c r="F749" s="268"/>
      <c r="H749" s="405"/>
      <c r="I749" s="268"/>
      <c r="K749" s="827"/>
      <c r="L749" s="823"/>
    </row>
    <row r="750">
      <c r="A750" s="22"/>
      <c r="B750" s="570"/>
      <c r="C750" s="570"/>
      <c r="D750" s="570"/>
      <c r="E750" s="268"/>
      <c r="F750" s="268"/>
      <c r="H750" s="405"/>
      <c r="I750" s="268"/>
      <c r="K750" s="827"/>
      <c r="L750" s="823"/>
    </row>
    <row r="751">
      <c r="A751" s="22"/>
      <c r="B751" s="570"/>
      <c r="C751" s="570"/>
      <c r="D751" s="570"/>
      <c r="E751" s="268"/>
      <c r="F751" s="268"/>
      <c r="H751" s="405"/>
      <c r="I751" s="268"/>
      <c r="K751" s="827"/>
      <c r="L751" s="823"/>
    </row>
    <row r="752">
      <c r="A752" s="22"/>
      <c r="B752" s="570"/>
      <c r="C752" s="570"/>
      <c r="D752" s="570"/>
      <c r="E752" s="268"/>
      <c r="F752" s="268"/>
      <c r="H752" s="405"/>
      <c r="I752" s="268"/>
      <c r="K752" s="827"/>
      <c r="L752" s="823"/>
    </row>
    <row r="753">
      <c r="A753" s="22"/>
      <c r="B753" s="570"/>
      <c r="C753" s="570"/>
      <c r="D753" s="570"/>
      <c r="E753" s="268"/>
      <c r="F753" s="268"/>
      <c r="H753" s="405"/>
      <c r="I753" s="268"/>
      <c r="K753" s="827"/>
      <c r="L753" s="823"/>
    </row>
    <row r="754">
      <c r="A754" s="22"/>
      <c r="B754" s="570"/>
      <c r="C754" s="570"/>
      <c r="D754" s="570"/>
      <c r="E754" s="268"/>
      <c r="F754" s="268"/>
      <c r="H754" s="405"/>
      <c r="I754" s="268"/>
      <c r="K754" s="827"/>
      <c r="L754" s="823"/>
    </row>
    <row r="755">
      <c r="A755" s="22"/>
      <c r="B755" s="570"/>
      <c r="C755" s="570"/>
      <c r="D755" s="570"/>
      <c r="E755" s="268"/>
      <c r="F755" s="268"/>
      <c r="H755" s="405"/>
      <c r="I755" s="268"/>
      <c r="K755" s="827"/>
      <c r="L755" s="823"/>
    </row>
    <row r="756">
      <c r="A756" s="22"/>
      <c r="B756" s="570"/>
      <c r="C756" s="570"/>
      <c r="D756" s="570"/>
      <c r="E756" s="268"/>
      <c r="F756" s="268"/>
      <c r="H756" s="405"/>
      <c r="I756" s="268"/>
      <c r="K756" s="827"/>
      <c r="L756" s="823"/>
    </row>
    <row r="757">
      <c r="A757" s="22"/>
      <c r="B757" s="570"/>
      <c r="C757" s="570"/>
      <c r="D757" s="570"/>
      <c r="E757" s="268"/>
      <c r="F757" s="268"/>
      <c r="H757" s="405"/>
      <c r="I757" s="268"/>
      <c r="K757" s="827"/>
      <c r="L757" s="823"/>
    </row>
    <row r="758">
      <c r="A758" s="22"/>
      <c r="B758" s="570"/>
      <c r="C758" s="570"/>
      <c r="D758" s="570"/>
      <c r="E758" s="268"/>
      <c r="F758" s="268"/>
      <c r="H758" s="405"/>
      <c r="I758" s="268"/>
      <c r="K758" s="827"/>
      <c r="L758" s="823"/>
    </row>
    <row r="759">
      <c r="A759" s="22"/>
      <c r="B759" s="570"/>
      <c r="C759" s="570"/>
      <c r="D759" s="570"/>
      <c r="E759" s="268"/>
      <c r="F759" s="268"/>
      <c r="H759" s="405"/>
      <c r="I759" s="268"/>
      <c r="K759" s="827"/>
      <c r="L759" s="823"/>
    </row>
    <row r="760">
      <c r="A760" s="22"/>
      <c r="B760" s="570"/>
      <c r="C760" s="570"/>
      <c r="D760" s="570"/>
      <c r="E760" s="268"/>
      <c r="F760" s="268"/>
      <c r="H760" s="405"/>
      <c r="I760" s="268"/>
      <c r="K760" s="827"/>
      <c r="L760" s="823"/>
    </row>
    <row r="761">
      <c r="A761" s="22"/>
      <c r="B761" s="570"/>
      <c r="C761" s="570"/>
      <c r="D761" s="570"/>
      <c r="E761" s="268"/>
      <c r="F761" s="268"/>
      <c r="H761" s="405"/>
      <c r="I761" s="268"/>
      <c r="K761" s="827"/>
      <c r="L761" s="823"/>
    </row>
    <row r="762">
      <c r="A762" s="22"/>
      <c r="B762" s="570"/>
      <c r="C762" s="570"/>
      <c r="D762" s="570"/>
      <c r="E762" s="268"/>
      <c r="F762" s="268"/>
      <c r="H762" s="405"/>
      <c r="I762" s="268"/>
      <c r="K762" s="827"/>
      <c r="L762" s="823"/>
    </row>
    <row r="763">
      <c r="A763" s="22"/>
      <c r="B763" s="570"/>
      <c r="C763" s="570"/>
      <c r="D763" s="570"/>
      <c r="E763" s="268"/>
      <c r="F763" s="268"/>
      <c r="H763" s="405"/>
      <c r="I763" s="268"/>
      <c r="K763" s="827"/>
      <c r="L763" s="823"/>
    </row>
    <row r="764">
      <c r="A764" s="22"/>
      <c r="B764" s="570"/>
      <c r="C764" s="570"/>
      <c r="D764" s="570"/>
      <c r="E764" s="268"/>
      <c r="F764" s="268"/>
      <c r="H764" s="405"/>
      <c r="I764" s="268"/>
      <c r="K764" s="827"/>
      <c r="L764" s="823"/>
    </row>
    <row r="765">
      <c r="A765" s="22"/>
      <c r="B765" s="570"/>
      <c r="C765" s="570"/>
      <c r="D765" s="570"/>
      <c r="E765" s="268"/>
      <c r="F765" s="268"/>
      <c r="H765" s="405"/>
      <c r="I765" s="268"/>
      <c r="K765" s="827"/>
      <c r="L765" s="823"/>
    </row>
    <row r="766">
      <c r="A766" s="22"/>
      <c r="B766" s="570"/>
      <c r="C766" s="570"/>
      <c r="D766" s="570"/>
      <c r="E766" s="268"/>
      <c r="F766" s="268"/>
      <c r="H766" s="405"/>
      <c r="I766" s="268"/>
      <c r="K766" s="827"/>
      <c r="L766" s="823"/>
    </row>
    <row r="767">
      <c r="A767" s="22"/>
      <c r="B767" s="570"/>
      <c r="C767" s="570"/>
      <c r="D767" s="570"/>
      <c r="E767" s="268"/>
      <c r="F767" s="268"/>
      <c r="H767" s="405"/>
      <c r="I767" s="268"/>
      <c r="K767" s="827"/>
      <c r="L767" s="823"/>
    </row>
    <row r="768">
      <c r="A768" s="22"/>
      <c r="B768" s="570"/>
      <c r="C768" s="570"/>
      <c r="D768" s="570"/>
      <c r="E768" s="268"/>
      <c r="F768" s="268"/>
      <c r="H768" s="405"/>
      <c r="I768" s="268"/>
      <c r="K768" s="827"/>
      <c r="L768" s="823"/>
    </row>
    <row r="769">
      <c r="A769" s="22"/>
      <c r="B769" s="570"/>
      <c r="C769" s="570"/>
      <c r="D769" s="570"/>
      <c r="E769" s="268"/>
      <c r="F769" s="268"/>
      <c r="H769" s="405"/>
      <c r="I769" s="268"/>
      <c r="K769" s="827"/>
      <c r="L769" s="823"/>
    </row>
    <row r="770">
      <c r="A770" s="22"/>
      <c r="B770" s="570"/>
      <c r="C770" s="570"/>
      <c r="D770" s="570"/>
      <c r="E770" s="268"/>
      <c r="F770" s="268"/>
      <c r="H770" s="405"/>
      <c r="I770" s="268"/>
      <c r="K770" s="827"/>
      <c r="L770" s="823"/>
    </row>
    <row r="771">
      <c r="A771" s="22"/>
      <c r="B771" s="570"/>
      <c r="C771" s="570"/>
      <c r="D771" s="570"/>
      <c r="E771" s="268"/>
      <c r="F771" s="268"/>
      <c r="H771" s="405"/>
      <c r="I771" s="268"/>
      <c r="K771" s="827"/>
      <c r="L771" s="823"/>
    </row>
    <row r="772">
      <c r="A772" s="22"/>
      <c r="B772" s="570"/>
      <c r="C772" s="570"/>
      <c r="D772" s="570"/>
      <c r="E772" s="268"/>
      <c r="F772" s="268"/>
      <c r="H772" s="405"/>
      <c r="I772" s="268"/>
      <c r="K772" s="827"/>
      <c r="L772" s="823"/>
    </row>
    <row r="773">
      <c r="A773" s="22"/>
      <c r="B773" s="570"/>
      <c r="C773" s="570"/>
      <c r="D773" s="570"/>
      <c r="E773" s="268"/>
      <c r="F773" s="268"/>
      <c r="H773" s="405"/>
      <c r="I773" s="268"/>
      <c r="K773" s="827"/>
      <c r="L773" s="823"/>
    </row>
    <row r="774">
      <c r="A774" s="22"/>
      <c r="B774" s="570"/>
      <c r="C774" s="570"/>
      <c r="D774" s="570"/>
      <c r="E774" s="268"/>
      <c r="F774" s="268"/>
      <c r="H774" s="405"/>
      <c r="I774" s="268"/>
      <c r="K774" s="827"/>
      <c r="L774" s="823"/>
    </row>
    <row r="775">
      <c r="A775" s="22"/>
      <c r="B775" s="570"/>
      <c r="C775" s="570"/>
      <c r="D775" s="570"/>
      <c r="E775" s="268"/>
      <c r="F775" s="268"/>
      <c r="H775" s="405"/>
      <c r="I775" s="268"/>
      <c r="K775" s="827"/>
      <c r="L775" s="823"/>
    </row>
    <row r="776">
      <c r="A776" s="22"/>
      <c r="B776" s="570"/>
      <c r="C776" s="570"/>
      <c r="D776" s="570"/>
      <c r="E776" s="268"/>
      <c r="F776" s="268"/>
      <c r="H776" s="405"/>
      <c r="I776" s="268"/>
      <c r="K776" s="827"/>
      <c r="L776" s="823"/>
    </row>
    <row r="777">
      <c r="A777" s="22"/>
      <c r="B777" s="570"/>
      <c r="C777" s="570"/>
      <c r="D777" s="570"/>
      <c r="E777" s="268"/>
      <c r="F777" s="268"/>
      <c r="H777" s="405"/>
      <c r="I777" s="268"/>
      <c r="K777" s="827"/>
      <c r="L777" s="823"/>
    </row>
    <row r="778">
      <c r="A778" s="22"/>
      <c r="B778" s="570"/>
      <c r="C778" s="570"/>
      <c r="D778" s="570"/>
      <c r="E778" s="268"/>
      <c r="F778" s="268"/>
      <c r="H778" s="405"/>
      <c r="I778" s="268"/>
      <c r="K778" s="827"/>
      <c r="L778" s="823"/>
    </row>
    <row r="779">
      <c r="A779" s="22"/>
      <c r="B779" s="570"/>
      <c r="C779" s="570"/>
      <c r="D779" s="570"/>
      <c r="E779" s="268"/>
      <c r="F779" s="268"/>
      <c r="H779" s="405"/>
      <c r="I779" s="268"/>
      <c r="K779" s="827"/>
      <c r="L779" s="823"/>
    </row>
    <row r="780">
      <c r="A780" s="22"/>
      <c r="B780" s="570"/>
      <c r="C780" s="570"/>
      <c r="D780" s="570"/>
      <c r="E780" s="268"/>
      <c r="F780" s="268"/>
      <c r="H780" s="405"/>
      <c r="I780" s="268"/>
      <c r="K780" s="827"/>
      <c r="L780" s="823"/>
    </row>
    <row r="781">
      <c r="A781" s="22"/>
      <c r="B781" s="570"/>
      <c r="C781" s="570"/>
      <c r="D781" s="570"/>
      <c r="E781" s="268"/>
      <c r="F781" s="268"/>
      <c r="H781" s="405"/>
      <c r="I781" s="268"/>
      <c r="K781" s="827"/>
      <c r="L781" s="823"/>
    </row>
    <row r="782">
      <c r="A782" s="22"/>
      <c r="B782" s="570"/>
      <c r="C782" s="570"/>
      <c r="D782" s="570"/>
      <c r="E782" s="268"/>
      <c r="F782" s="268"/>
      <c r="H782" s="405"/>
      <c r="I782" s="268"/>
      <c r="K782" s="827"/>
      <c r="L782" s="823"/>
    </row>
    <row r="783">
      <c r="A783" s="22"/>
      <c r="B783" s="570"/>
      <c r="C783" s="570"/>
      <c r="D783" s="570"/>
      <c r="E783" s="268"/>
      <c r="F783" s="268"/>
      <c r="H783" s="405"/>
      <c r="I783" s="268"/>
      <c r="K783" s="827"/>
      <c r="L783" s="823"/>
    </row>
    <row r="784">
      <c r="A784" s="22"/>
      <c r="B784" s="570"/>
      <c r="C784" s="570"/>
      <c r="D784" s="570"/>
      <c r="E784" s="268"/>
      <c r="F784" s="268"/>
      <c r="H784" s="405"/>
      <c r="I784" s="268"/>
      <c r="K784" s="827"/>
      <c r="L784" s="823"/>
    </row>
    <row r="785">
      <c r="A785" s="22"/>
      <c r="B785" s="570"/>
      <c r="C785" s="570"/>
      <c r="D785" s="570"/>
      <c r="E785" s="268"/>
      <c r="F785" s="268"/>
      <c r="H785" s="405"/>
      <c r="I785" s="268"/>
      <c r="K785" s="827"/>
      <c r="L785" s="823"/>
    </row>
    <row r="786">
      <c r="A786" s="22"/>
      <c r="B786" s="570"/>
      <c r="C786" s="570"/>
      <c r="D786" s="570"/>
      <c r="E786" s="268"/>
      <c r="F786" s="268"/>
      <c r="H786" s="405"/>
      <c r="I786" s="268"/>
      <c r="K786" s="827"/>
      <c r="L786" s="823"/>
    </row>
    <row r="787">
      <c r="A787" s="22"/>
      <c r="B787" s="570"/>
      <c r="C787" s="570"/>
      <c r="D787" s="570"/>
      <c r="E787" s="268"/>
      <c r="F787" s="268"/>
      <c r="H787" s="405"/>
      <c r="I787" s="268"/>
      <c r="K787" s="827"/>
      <c r="L787" s="823"/>
    </row>
    <row r="788">
      <c r="A788" s="22"/>
      <c r="B788" s="570"/>
      <c r="C788" s="570"/>
      <c r="D788" s="570"/>
      <c r="E788" s="268"/>
      <c r="F788" s="268"/>
      <c r="H788" s="405"/>
      <c r="I788" s="268"/>
      <c r="K788" s="827"/>
      <c r="L788" s="823"/>
    </row>
    <row r="789">
      <c r="A789" s="22"/>
      <c r="B789" s="570"/>
      <c r="C789" s="570"/>
      <c r="D789" s="570"/>
      <c r="E789" s="268"/>
      <c r="F789" s="268"/>
      <c r="H789" s="405"/>
      <c r="I789" s="268"/>
      <c r="K789" s="827"/>
      <c r="L789" s="823"/>
    </row>
    <row r="790">
      <c r="A790" s="22"/>
      <c r="B790" s="570"/>
      <c r="C790" s="570"/>
      <c r="D790" s="570"/>
      <c r="E790" s="268"/>
      <c r="F790" s="268"/>
      <c r="H790" s="405"/>
      <c r="I790" s="268"/>
      <c r="K790" s="827"/>
      <c r="L790" s="823"/>
    </row>
    <row r="791">
      <c r="A791" s="22"/>
      <c r="B791" s="570"/>
      <c r="C791" s="570"/>
      <c r="D791" s="570"/>
      <c r="E791" s="268"/>
      <c r="F791" s="268"/>
      <c r="H791" s="405"/>
      <c r="I791" s="268"/>
      <c r="K791" s="827"/>
      <c r="L791" s="823"/>
    </row>
    <row r="792">
      <c r="A792" s="22"/>
      <c r="B792" s="570"/>
      <c r="C792" s="570"/>
      <c r="D792" s="570"/>
      <c r="E792" s="268"/>
      <c r="F792" s="268"/>
      <c r="H792" s="405"/>
      <c r="I792" s="268"/>
      <c r="K792" s="827"/>
      <c r="L792" s="823"/>
    </row>
    <row r="793">
      <c r="A793" s="22"/>
      <c r="B793" s="570"/>
      <c r="C793" s="570"/>
      <c r="D793" s="570"/>
      <c r="E793" s="268"/>
      <c r="F793" s="268"/>
      <c r="H793" s="405"/>
      <c r="I793" s="268"/>
      <c r="K793" s="827"/>
      <c r="L793" s="823"/>
    </row>
    <row r="794">
      <c r="A794" s="22"/>
      <c r="B794" s="570"/>
      <c r="C794" s="570"/>
      <c r="D794" s="570"/>
      <c r="E794" s="268"/>
      <c r="F794" s="268"/>
      <c r="H794" s="405"/>
      <c r="I794" s="268"/>
      <c r="K794" s="827"/>
      <c r="L794" s="823"/>
    </row>
    <row r="795">
      <c r="A795" s="22"/>
      <c r="B795" s="570"/>
      <c r="C795" s="570"/>
      <c r="D795" s="570"/>
      <c r="E795" s="268"/>
      <c r="F795" s="268"/>
      <c r="H795" s="405"/>
      <c r="I795" s="268"/>
      <c r="K795" s="827"/>
      <c r="L795" s="823"/>
    </row>
    <row r="796">
      <c r="A796" s="22"/>
      <c r="B796" s="570"/>
      <c r="C796" s="570"/>
      <c r="D796" s="570"/>
      <c r="E796" s="268"/>
      <c r="F796" s="268"/>
      <c r="H796" s="405"/>
      <c r="I796" s="268"/>
      <c r="K796" s="827"/>
      <c r="L796" s="823"/>
    </row>
    <row r="797">
      <c r="A797" s="22"/>
      <c r="B797" s="570"/>
      <c r="C797" s="570"/>
      <c r="D797" s="570"/>
      <c r="E797" s="268"/>
      <c r="F797" s="268"/>
      <c r="H797" s="405"/>
      <c r="I797" s="268"/>
      <c r="K797" s="827"/>
      <c r="L797" s="823"/>
    </row>
    <row r="798">
      <c r="A798" s="22"/>
      <c r="B798" s="570"/>
      <c r="C798" s="570"/>
      <c r="D798" s="570"/>
      <c r="E798" s="268"/>
      <c r="F798" s="268"/>
      <c r="H798" s="405"/>
      <c r="I798" s="268"/>
      <c r="K798" s="827"/>
      <c r="L798" s="823"/>
    </row>
    <row r="799">
      <c r="A799" s="22"/>
      <c r="B799" s="570"/>
      <c r="C799" s="570"/>
      <c r="D799" s="570"/>
      <c r="E799" s="268"/>
      <c r="F799" s="268"/>
      <c r="H799" s="405"/>
      <c r="I799" s="268"/>
      <c r="K799" s="827"/>
      <c r="L799" s="823"/>
    </row>
    <row r="800">
      <c r="A800" s="22"/>
      <c r="B800" s="570"/>
      <c r="C800" s="570"/>
      <c r="D800" s="570"/>
      <c r="E800" s="268"/>
      <c r="F800" s="268"/>
      <c r="H800" s="405"/>
      <c r="I800" s="268"/>
      <c r="K800" s="827"/>
      <c r="L800" s="823"/>
    </row>
    <row r="801">
      <c r="A801" s="22"/>
      <c r="B801" s="570"/>
      <c r="C801" s="570"/>
      <c r="D801" s="570"/>
      <c r="E801" s="268"/>
      <c r="F801" s="268"/>
      <c r="H801" s="405"/>
      <c r="I801" s="268"/>
      <c r="K801" s="827"/>
      <c r="L801" s="823"/>
    </row>
    <row r="802">
      <c r="A802" s="22"/>
      <c r="B802" s="570"/>
      <c r="C802" s="570"/>
      <c r="D802" s="570"/>
      <c r="E802" s="268"/>
      <c r="F802" s="268"/>
      <c r="H802" s="405"/>
      <c r="I802" s="268"/>
      <c r="K802" s="827"/>
      <c r="L802" s="823"/>
    </row>
    <row r="803">
      <c r="A803" s="22"/>
      <c r="B803" s="570"/>
      <c r="C803" s="570"/>
      <c r="D803" s="570"/>
      <c r="E803" s="268"/>
      <c r="F803" s="268"/>
      <c r="H803" s="405"/>
      <c r="I803" s="268"/>
      <c r="K803" s="827"/>
      <c r="L803" s="823"/>
    </row>
    <row r="804">
      <c r="A804" s="22"/>
      <c r="B804" s="570"/>
      <c r="C804" s="570"/>
      <c r="D804" s="570"/>
      <c r="E804" s="268"/>
      <c r="F804" s="268"/>
      <c r="H804" s="405"/>
      <c r="I804" s="268"/>
      <c r="K804" s="827"/>
      <c r="L804" s="823"/>
    </row>
    <row r="805">
      <c r="A805" s="22"/>
      <c r="B805" s="570"/>
      <c r="C805" s="570"/>
      <c r="D805" s="570"/>
      <c r="E805" s="268"/>
      <c r="F805" s="268"/>
      <c r="H805" s="405"/>
      <c r="I805" s="268"/>
      <c r="K805" s="827"/>
      <c r="L805" s="823"/>
    </row>
    <row r="806">
      <c r="A806" s="22"/>
      <c r="B806" s="570"/>
      <c r="C806" s="570"/>
      <c r="D806" s="570"/>
      <c r="E806" s="268"/>
      <c r="F806" s="268"/>
      <c r="H806" s="405"/>
      <c r="I806" s="268"/>
      <c r="K806" s="827"/>
      <c r="L806" s="823"/>
    </row>
    <row r="807">
      <c r="A807" s="22"/>
      <c r="B807" s="570"/>
      <c r="C807" s="570"/>
      <c r="D807" s="570"/>
      <c r="E807" s="268"/>
      <c r="F807" s="268"/>
      <c r="H807" s="405"/>
      <c r="I807" s="268"/>
      <c r="K807" s="827"/>
      <c r="L807" s="823"/>
    </row>
    <row r="808">
      <c r="A808" s="22"/>
      <c r="B808" s="570"/>
      <c r="C808" s="570"/>
      <c r="D808" s="570"/>
      <c r="E808" s="268"/>
      <c r="F808" s="268"/>
      <c r="H808" s="405"/>
      <c r="I808" s="268"/>
      <c r="K808" s="827"/>
      <c r="L808" s="823"/>
    </row>
    <row r="809">
      <c r="A809" s="22"/>
      <c r="B809" s="570"/>
      <c r="C809" s="570"/>
      <c r="D809" s="570"/>
      <c r="E809" s="268"/>
      <c r="F809" s="268"/>
      <c r="H809" s="405"/>
      <c r="I809" s="268"/>
      <c r="K809" s="827"/>
      <c r="L809" s="823"/>
    </row>
    <row r="810">
      <c r="A810" s="22"/>
      <c r="B810" s="570"/>
      <c r="C810" s="570"/>
      <c r="D810" s="570"/>
      <c r="E810" s="268"/>
      <c r="F810" s="268"/>
      <c r="H810" s="405"/>
      <c r="I810" s="268"/>
      <c r="K810" s="827"/>
      <c r="L810" s="823"/>
    </row>
    <row r="811">
      <c r="A811" s="22"/>
      <c r="B811" s="570"/>
      <c r="C811" s="570"/>
      <c r="D811" s="570"/>
      <c r="E811" s="268"/>
      <c r="F811" s="268"/>
      <c r="H811" s="405"/>
      <c r="I811" s="268"/>
      <c r="K811" s="827"/>
      <c r="L811" s="823"/>
    </row>
    <row r="812">
      <c r="A812" s="22"/>
      <c r="B812" s="570"/>
      <c r="C812" s="570"/>
      <c r="D812" s="570"/>
      <c r="E812" s="268"/>
      <c r="F812" s="268"/>
      <c r="H812" s="405"/>
      <c r="I812" s="268"/>
      <c r="K812" s="827"/>
      <c r="L812" s="823"/>
    </row>
    <row r="813">
      <c r="A813" s="22"/>
      <c r="B813" s="570"/>
      <c r="C813" s="570"/>
      <c r="D813" s="570"/>
      <c r="E813" s="268"/>
      <c r="F813" s="268"/>
      <c r="H813" s="405"/>
      <c r="I813" s="268"/>
      <c r="K813" s="827"/>
      <c r="L813" s="823"/>
    </row>
    <row r="814">
      <c r="A814" s="22"/>
      <c r="B814" s="570"/>
      <c r="C814" s="570"/>
      <c r="D814" s="570"/>
      <c r="E814" s="268"/>
      <c r="F814" s="268"/>
      <c r="H814" s="405"/>
      <c r="I814" s="268"/>
      <c r="K814" s="827"/>
      <c r="L814" s="823"/>
    </row>
    <row r="815">
      <c r="A815" s="22"/>
      <c r="B815" s="570"/>
      <c r="C815" s="570"/>
      <c r="D815" s="570"/>
      <c r="E815" s="268"/>
      <c r="F815" s="268"/>
      <c r="H815" s="405"/>
      <c r="I815" s="268"/>
      <c r="K815" s="827"/>
      <c r="L815" s="823"/>
    </row>
    <row r="816">
      <c r="A816" s="22"/>
      <c r="B816" s="570"/>
      <c r="C816" s="570"/>
      <c r="D816" s="570"/>
      <c r="E816" s="268"/>
      <c r="F816" s="268"/>
      <c r="H816" s="405"/>
      <c r="I816" s="268"/>
      <c r="K816" s="827"/>
      <c r="L816" s="823"/>
    </row>
    <row r="817">
      <c r="A817" s="22"/>
      <c r="B817" s="570"/>
      <c r="C817" s="570"/>
      <c r="D817" s="570"/>
      <c r="E817" s="268"/>
      <c r="F817" s="268"/>
      <c r="H817" s="405"/>
      <c r="I817" s="268"/>
      <c r="K817" s="827"/>
      <c r="L817" s="823"/>
    </row>
    <row r="818">
      <c r="A818" s="22"/>
      <c r="B818" s="570"/>
      <c r="C818" s="570"/>
      <c r="D818" s="570"/>
      <c r="E818" s="268"/>
      <c r="F818" s="268"/>
      <c r="H818" s="405"/>
      <c r="I818" s="268"/>
      <c r="K818" s="827"/>
      <c r="L818" s="823"/>
    </row>
    <row r="819">
      <c r="A819" s="22"/>
      <c r="B819" s="570"/>
      <c r="C819" s="570"/>
      <c r="D819" s="570"/>
      <c r="E819" s="268"/>
      <c r="F819" s="268"/>
      <c r="H819" s="405"/>
      <c r="I819" s="268"/>
      <c r="K819" s="827"/>
      <c r="L819" s="823"/>
    </row>
    <row r="820">
      <c r="A820" s="22"/>
      <c r="B820" s="570"/>
      <c r="C820" s="570"/>
      <c r="D820" s="570"/>
      <c r="E820" s="268"/>
      <c r="F820" s="268"/>
      <c r="H820" s="405"/>
      <c r="I820" s="268"/>
      <c r="K820" s="827"/>
      <c r="L820" s="823"/>
    </row>
    <row r="821">
      <c r="A821" s="22"/>
      <c r="B821" s="570"/>
      <c r="C821" s="570"/>
      <c r="D821" s="570"/>
      <c r="E821" s="268"/>
      <c r="F821" s="268"/>
      <c r="H821" s="405"/>
      <c r="I821" s="268"/>
      <c r="K821" s="827"/>
      <c r="L821" s="823"/>
    </row>
    <row r="822">
      <c r="A822" s="22"/>
      <c r="B822" s="570"/>
      <c r="C822" s="570"/>
      <c r="D822" s="570"/>
      <c r="E822" s="268"/>
      <c r="F822" s="268"/>
      <c r="H822" s="405"/>
      <c r="I822" s="268"/>
      <c r="K822" s="827"/>
      <c r="L822" s="823"/>
    </row>
    <row r="823">
      <c r="A823" s="22"/>
      <c r="B823" s="570"/>
      <c r="C823" s="570"/>
      <c r="D823" s="570"/>
      <c r="E823" s="268"/>
      <c r="F823" s="268"/>
      <c r="H823" s="405"/>
      <c r="I823" s="268"/>
      <c r="K823" s="827"/>
      <c r="L823" s="823"/>
    </row>
    <row r="824">
      <c r="A824" s="22"/>
      <c r="B824" s="570"/>
      <c r="C824" s="570"/>
      <c r="D824" s="570"/>
      <c r="E824" s="268"/>
      <c r="F824" s="268"/>
      <c r="H824" s="405"/>
      <c r="I824" s="268"/>
      <c r="K824" s="827"/>
      <c r="L824" s="823"/>
    </row>
    <row r="825">
      <c r="A825" s="22"/>
      <c r="B825" s="570"/>
      <c r="C825" s="570"/>
      <c r="D825" s="570"/>
      <c r="E825" s="268"/>
      <c r="F825" s="268"/>
      <c r="H825" s="405"/>
      <c r="I825" s="268"/>
      <c r="K825" s="827"/>
      <c r="L825" s="823"/>
    </row>
    <row r="826">
      <c r="A826" s="22"/>
      <c r="B826" s="570"/>
      <c r="C826" s="570"/>
      <c r="D826" s="570"/>
      <c r="E826" s="268"/>
      <c r="F826" s="268"/>
      <c r="H826" s="405"/>
      <c r="I826" s="268"/>
      <c r="K826" s="827"/>
      <c r="L826" s="823"/>
    </row>
    <row r="827">
      <c r="A827" s="22"/>
      <c r="B827" s="570"/>
      <c r="C827" s="570"/>
      <c r="D827" s="570"/>
      <c r="E827" s="268"/>
      <c r="F827" s="268"/>
      <c r="H827" s="405"/>
      <c r="I827" s="268"/>
      <c r="K827" s="827"/>
      <c r="L827" s="823"/>
    </row>
    <row r="828">
      <c r="A828" s="22"/>
      <c r="B828" s="570"/>
      <c r="C828" s="570"/>
      <c r="D828" s="570"/>
      <c r="E828" s="268"/>
      <c r="F828" s="268"/>
      <c r="H828" s="405"/>
      <c r="I828" s="268"/>
      <c r="K828" s="827"/>
      <c r="L828" s="823"/>
    </row>
    <row r="829">
      <c r="A829" s="22"/>
      <c r="B829" s="570"/>
      <c r="C829" s="570"/>
      <c r="D829" s="570"/>
      <c r="E829" s="268"/>
      <c r="F829" s="268"/>
      <c r="H829" s="405"/>
      <c r="I829" s="268"/>
      <c r="K829" s="827"/>
      <c r="L829" s="823"/>
    </row>
    <row r="830">
      <c r="A830" s="22"/>
      <c r="B830" s="570"/>
      <c r="C830" s="570"/>
      <c r="D830" s="570"/>
      <c r="E830" s="268"/>
      <c r="F830" s="268"/>
      <c r="H830" s="405"/>
      <c r="I830" s="268"/>
      <c r="K830" s="827"/>
      <c r="L830" s="823"/>
    </row>
    <row r="831">
      <c r="A831" s="22"/>
      <c r="B831" s="570"/>
      <c r="C831" s="570"/>
      <c r="D831" s="570"/>
      <c r="E831" s="268"/>
      <c r="F831" s="268"/>
      <c r="H831" s="405"/>
      <c r="I831" s="268"/>
      <c r="K831" s="827"/>
      <c r="L831" s="823"/>
    </row>
    <row r="832">
      <c r="A832" s="22"/>
      <c r="B832" s="570"/>
      <c r="C832" s="570"/>
      <c r="D832" s="570"/>
      <c r="E832" s="268"/>
      <c r="F832" s="268"/>
      <c r="H832" s="405"/>
      <c r="I832" s="268"/>
      <c r="K832" s="827"/>
      <c r="L832" s="823"/>
    </row>
    <row r="833">
      <c r="A833" s="22"/>
      <c r="B833" s="570"/>
      <c r="C833" s="570"/>
      <c r="D833" s="570"/>
      <c r="E833" s="268"/>
      <c r="F833" s="268"/>
      <c r="H833" s="405"/>
      <c r="I833" s="268"/>
      <c r="K833" s="827"/>
      <c r="L833" s="823"/>
    </row>
    <row r="834">
      <c r="A834" s="22"/>
      <c r="B834" s="570"/>
      <c r="C834" s="570"/>
      <c r="D834" s="570"/>
      <c r="E834" s="268"/>
      <c r="F834" s="268"/>
      <c r="H834" s="405"/>
      <c r="I834" s="268"/>
      <c r="K834" s="827"/>
      <c r="L834" s="823"/>
    </row>
    <row r="835">
      <c r="A835" s="22"/>
      <c r="B835" s="570"/>
      <c r="C835" s="570"/>
      <c r="D835" s="570"/>
      <c r="E835" s="268"/>
      <c r="F835" s="268"/>
      <c r="H835" s="405"/>
      <c r="I835" s="268"/>
      <c r="K835" s="827"/>
      <c r="L835" s="823"/>
    </row>
    <row r="836">
      <c r="A836" s="22"/>
      <c r="B836" s="570"/>
      <c r="C836" s="570"/>
      <c r="D836" s="570"/>
      <c r="E836" s="268"/>
      <c r="F836" s="268"/>
      <c r="H836" s="405"/>
      <c r="I836" s="268"/>
      <c r="K836" s="827"/>
      <c r="L836" s="823"/>
    </row>
    <row r="837">
      <c r="A837" s="22"/>
      <c r="B837" s="570"/>
      <c r="C837" s="570"/>
      <c r="D837" s="570"/>
      <c r="E837" s="268"/>
      <c r="F837" s="268"/>
      <c r="H837" s="405"/>
      <c r="I837" s="268"/>
      <c r="K837" s="827"/>
      <c r="L837" s="823"/>
    </row>
    <row r="838">
      <c r="A838" s="22"/>
      <c r="B838" s="570"/>
      <c r="C838" s="570"/>
      <c r="D838" s="570"/>
      <c r="E838" s="268"/>
      <c r="F838" s="268"/>
      <c r="H838" s="405"/>
      <c r="I838" s="268"/>
      <c r="K838" s="827"/>
      <c r="L838" s="823"/>
    </row>
    <row r="839">
      <c r="A839" s="22"/>
      <c r="B839" s="570"/>
      <c r="C839" s="570"/>
      <c r="D839" s="570"/>
      <c r="E839" s="268"/>
      <c r="F839" s="268"/>
      <c r="H839" s="405"/>
      <c r="I839" s="268"/>
      <c r="K839" s="827"/>
      <c r="L839" s="823"/>
    </row>
    <row r="840">
      <c r="A840" s="22"/>
      <c r="B840" s="570"/>
      <c r="C840" s="570"/>
      <c r="D840" s="570"/>
      <c r="E840" s="268"/>
      <c r="F840" s="268"/>
      <c r="H840" s="405"/>
      <c r="I840" s="268"/>
      <c r="K840" s="827"/>
      <c r="L840" s="823"/>
    </row>
    <row r="841">
      <c r="A841" s="22"/>
      <c r="B841" s="570"/>
      <c r="C841" s="570"/>
      <c r="D841" s="570"/>
      <c r="E841" s="268"/>
      <c r="F841" s="268"/>
      <c r="H841" s="405"/>
      <c r="I841" s="268"/>
      <c r="K841" s="827"/>
      <c r="L841" s="823"/>
    </row>
    <row r="842">
      <c r="A842" s="22"/>
      <c r="B842" s="570"/>
      <c r="C842" s="570"/>
      <c r="D842" s="570"/>
      <c r="E842" s="268"/>
      <c r="F842" s="268"/>
      <c r="H842" s="405"/>
      <c r="I842" s="268"/>
      <c r="K842" s="827"/>
      <c r="L842" s="823"/>
    </row>
    <row r="843">
      <c r="A843" s="22"/>
      <c r="B843" s="570"/>
      <c r="C843" s="570"/>
      <c r="D843" s="570"/>
      <c r="E843" s="268"/>
      <c r="F843" s="268"/>
      <c r="H843" s="405"/>
      <c r="I843" s="268"/>
      <c r="K843" s="827"/>
      <c r="L843" s="823"/>
    </row>
    <row r="844">
      <c r="A844" s="22"/>
      <c r="B844" s="570"/>
      <c r="C844" s="570"/>
      <c r="D844" s="570"/>
      <c r="E844" s="268"/>
      <c r="F844" s="268"/>
      <c r="H844" s="405"/>
      <c r="I844" s="268"/>
      <c r="K844" s="827"/>
      <c r="L844" s="823"/>
    </row>
    <row r="845">
      <c r="A845" s="22"/>
      <c r="B845" s="570"/>
      <c r="C845" s="570"/>
      <c r="D845" s="570"/>
      <c r="E845" s="268"/>
      <c r="F845" s="268"/>
      <c r="H845" s="405"/>
      <c r="I845" s="268"/>
      <c r="K845" s="827"/>
      <c r="L845" s="823"/>
    </row>
    <row r="846">
      <c r="A846" s="22"/>
      <c r="B846" s="570"/>
      <c r="C846" s="570"/>
      <c r="D846" s="570"/>
      <c r="E846" s="268"/>
      <c r="F846" s="268"/>
      <c r="H846" s="405"/>
      <c r="I846" s="268"/>
      <c r="K846" s="827"/>
      <c r="L846" s="823"/>
    </row>
    <row r="847">
      <c r="A847" s="22"/>
      <c r="B847" s="570"/>
      <c r="C847" s="570"/>
      <c r="D847" s="570"/>
      <c r="E847" s="268"/>
      <c r="F847" s="268"/>
      <c r="H847" s="405"/>
      <c r="I847" s="268"/>
      <c r="K847" s="827"/>
      <c r="L847" s="823"/>
    </row>
    <row r="848">
      <c r="A848" s="22"/>
      <c r="B848" s="570"/>
      <c r="C848" s="570"/>
      <c r="D848" s="570"/>
      <c r="E848" s="268"/>
      <c r="F848" s="268"/>
      <c r="H848" s="405"/>
      <c r="I848" s="268"/>
      <c r="K848" s="827"/>
      <c r="L848" s="823"/>
    </row>
    <row r="849">
      <c r="A849" s="22"/>
      <c r="B849" s="570"/>
      <c r="C849" s="570"/>
      <c r="D849" s="570"/>
      <c r="E849" s="268"/>
      <c r="F849" s="268"/>
      <c r="H849" s="405"/>
      <c r="I849" s="268"/>
      <c r="K849" s="827"/>
      <c r="L849" s="823"/>
    </row>
    <row r="850">
      <c r="A850" s="22"/>
      <c r="B850" s="570"/>
      <c r="C850" s="570"/>
      <c r="D850" s="570"/>
      <c r="E850" s="268"/>
      <c r="F850" s="268"/>
      <c r="H850" s="405"/>
      <c r="I850" s="268"/>
      <c r="K850" s="827"/>
      <c r="L850" s="823"/>
    </row>
    <row r="851">
      <c r="A851" s="22"/>
      <c r="B851" s="570"/>
      <c r="C851" s="570"/>
      <c r="D851" s="570"/>
      <c r="E851" s="268"/>
      <c r="F851" s="268"/>
      <c r="H851" s="405"/>
      <c r="I851" s="268"/>
      <c r="K851" s="827"/>
      <c r="L851" s="823"/>
    </row>
    <row r="852">
      <c r="A852" s="22"/>
      <c r="B852" s="570"/>
      <c r="C852" s="570"/>
      <c r="D852" s="570"/>
      <c r="E852" s="268"/>
      <c r="F852" s="268"/>
      <c r="H852" s="405"/>
      <c r="I852" s="268"/>
      <c r="K852" s="827"/>
      <c r="L852" s="823"/>
    </row>
    <row r="853">
      <c r="A853" s="22"/>
      <c r="B853" s="570"/>
      <c r="C853" s="570"/>
      <c r="D853" s="570"/>
      <c r="E853" s="268"/>
      <c r="F853" s="268"/>
      <c r="H853" s="405"/>
      <c r="I853" s="268"/>
      <c r="K853" s="827"/>
      <c r="L853" s="823"/>
    </row>
    <row r="854">
      <c r="A854" s="22"/>
      <c r="B854" s="570"/>
      <c r="C854" s="570"/>
      <c r="D854" s="570"/>
      <c r="E854" s="268"/>
      <c r="F854" s="268"/>
      <c r="H854" s="405"/>
      <c r="I854" s="268"/>
      <c r="K854" s="827"/>
      <c r="L854" s="823"/>
    </row>
    <row r="855">
      <c r="A855" s="22"/>
      <c r="B855" s="570"/>
      <c r="C855" s="570"/>
      <c r="D855" s="570"/>
      <c r="E855" s="268"/>
      <c r="F855" s="268"/>
      <c r="H855" s="405"/>
      <c r="I855" s="268"/>
      <c r="K855" s="827"/>
      <c r="L855" s="823"/>
    </row>
    <row r="856">
      <c r="A856" s="22"/>
      <c r="B856" s="570"/>
      <c r="C856" s="570"/>
      <c r="D856" s="570"/>
      <c r="E856" s="268"/>
      <c r="F856" s="268"/>
      <c r="H856" s="405"/>
      <c r="I856" s="268"/>
      <c r="K856" s="827"/>
      <c r="L856" s="823"/>
    </row>
    <row r="857">
      <c r="A857" s="22"/>
      <c r="B857" s="570"/>
      <c r="C857" s="570"/>
      <c r="D857" s="570"/>
      <c r="E857" s="268"/>
      <c r="F857" s="268"/>
      <c r="H857" s="405"/>
      <c r="I857" s="268"/>
      <c r="K857" s="827"/>
      <c r="L857" s="823"/>
    </row>
    <row r="858">
      <c r="A858" s="22"/>
      <c r="B858" s="570"/>
      <c r="C858" s="570"/>
      <c r="D858" s="570"/>
      <c r="E858" s="268"/>
      <c r="F858" s="268"/>
      <c r="H858" s="405"/>
      <c r="I858" s="268"/>
      <c r="K858" s="827"/>
      <c r="L858" s="823"/>
    </row>
    <row r="859">
      <c r="A859" s="22"/>
      <c r="B859" s="570"/>
      <c r="C859" s="570"/>
      <c r="D859" s="570"/>
      <c r="E859" s="268"/>
      <c r="F859" s="268"/>
      <c r="H859" s="405"/>
      <c r="I859" s="268"/>
      <c r="K859" s="827"/>
      <c r="L859" s="823"/>
    </row>
    <row r="860">
      <c r="A860" s="22"/>
      <c r="B860" s="570"/>
      <c r="C860" s="570"/>
      <c r="D860" s="570"/>
      <c r="E860" s="268"/>
      <c r="F860" s="268"/>
      <c r="H860" s="405"/>
      <c r="I860" s="268"/>
      <c r="K860" s="827"/>
      <c r="L860" s="823"/>
    </row>
    <row r="861">
      <c r="A861" s="22"/>
      <c r="B861" s="570"/>
      <c r="C861" s="570"/>
      <c r="D861" s="570"/>
      <c r="E861" s="268"/>
      <c r="F861" s="268"/>
      <c r="H861" s="405"/>
      <c r="I861" s="268"/>
      <c r="K861" s="827"/>
      <c r="L861" s="823"/>
    </row>
    <row r="862">
      <c r="A862" s="22"/>
      <c r="B862" s="570"/>
      <c r="C862" s="570"/>
      <c r="D862" s="570"/>
      <c r="E862" s="268"/>
      <c r="F862" s="268"/>
      <c r="H862" s="405"/>
      <c r="I862" s="268"/>
      <c r="K862" s="827"/>
      <c r="L862" s="823"/>
    </row>
    <row r="863">
      <c r="A863" s="22"/>
      <c r="B863" s="570"/>
      <c r="C863" s="570"/>
      <c r="D863" s="570"/>
      <c r="E863" s="268"/>
      <c r="F863" s="268"/>
      <c r="H863" s="405"/>
      <c r="I863" s="268"/>
      <c r="K863" s="827"/>
      <c r="L863" s="823"/>
    </row>
    <row r="864">
      <c r="A864" s="22"/>
      <c r="B864" s="570"/>
      <c r="C864" s="570"/>
      <c r="D864" s="570"/>
      <c r="E864" s="268"/>
      <c r="F864" s="268"/>
      <c r="H864" s="405"/>
      <c r="I864" s="268"/>
      <c r="K864" s="827"/>
      <c r="L864" s="823"/>
    </row>
    <row r="865">
      <c r="A865" s="22"/>
      <c r="B865" s="570"/>
      <c r="C865" s="570"/>
      <c r="D865" s="570"/>
      <c r="E865" s="268"/>
      <c r="F865" s="268"/>
      <c r="H865" s="405"/>
      <c r="I865" s="268"/>
      <c r="K865" s="827"/>
      <c r="L865" s="823"/>
    </row>
    <row r="866">
      <c r="A866" s="22"/>
      <c r="B866" s="570"/>
      <c r="C866" s="570"/>
      <c r="D866" s="570"/>
      <c r="E866" s="268"/>
      <c r="F866" s="268"/>
      <c r="H866" s="405"/>
      <c r="I866" s="268"/>
      <c r="K866" s="827"/>
      <c r="L866" s="823"/>
    </row>
    <row r="867">
      <c r="A867" s="22"/>
      <c r="B867" s="570"/>
      <c r="C867" s="570"/>
      <c r="D867" s="570"/>
      <c r="E867" s="268"/>
      <c r="F867" s="268"/>
      <c r="H867" s="405"/>
      <c r="I867" s="268"/>
      <c r="K867" s="827"/>
      <c r="L867" s="823"/>
    </row>
    <row r="868">
      <c r="A868" s="22"/>
      <c r="B868" s="570"/>
      <c r="C868" s="570"/>
      <c r="D868" s="570"/>
      <c r="E868" s="268"/>
      <c r="F868" s="268"/>
      <c r="H868" s="405"/>
      <c r="I868" s="268"/>
      <c r="K868" s="827"/>
      <c r="L868" s="823"/>
    </row>
    <row r="869">
      <c r="A869" s="22"/>
      <c r="B869" s="570"/>
      <c r="C869" s="570"/>
      <c r="D869" s="570"/>
      <c r="E869" s="268"/>
      <c r="F869" s="268"/>
      <c r="H869" s="405"/>
      <c r="I869" s="268"/>
      <c r="K869" s="827"/>
      <c r="L869" s="823"/>
    </row>
    <row r="870">
      <c r="A870" s="22"/>
      <c r="B870" s="570"/>
      <c r="C870" s="570"/>
      <c r="D870" s="570"/>
      <c r="E870" s="268"/>
      <c r="F870" s="268"/>
      <c r="H870" s="405"/>
      <c r="I870" s="268"/>
      <c r="K870" s="827"/>
      <c r="L870" s="823"/>
    </row>
    <row r="871">
      <c r="A871" s="22"/>
      <c r="B871" s="570"/>
      <c r="C871" s="570"/>
      <c r="D871" s="570"/>
      <c r="E871" s="268"/>
      <c r="F871" s="268"/>
      <c r="H871" s="405"/>
      <c r="I871" s="268"/>
      <c r="K871" s="827"/>
      <c r="L871" s="823"/>
    </row>
    <row r="872">
      <c r="A872" s="22"/>
      <c r="B872" s="570"/>
      <c r="C872" s="570"/>
      <c r="D872" s="570"/>
      <c r="E872" s="268"/>
      <c r="F872" s="268"/>
      <c r="H872" s="405"/>
      <c r="I872" s="268"/>
      <c r="K872" s="827"/>
      <c r="L872" s="823"/>
    </row>
    <row r="873">
      <c r="A873" s="22"/>
      <c r="B873" s="570"/>
      <c r="C873" s="570"/>
      <c r="D873" s="570"/>
      <c r="E873" s="268"/>
      <c r="F873" s="268"/>
      <c r="H873" s="405"/>
      <c r="I873" s="268"/>
      <c r="K873" s="827"/>
      <c r="L873" s="823"/>
    </row>
    <row r="874">
      <c r="A874" s="22"/>
      <c r="B874" s="570"/>
      <c r="C874" s="570"/>
      <c r="D874" s="570"/>
      <c r="E874" s="268"/>
      <c r="F874" s="268"/>
      <c r="H874" s="405"/>
      <c r="I874" s="268"/>
      <c r="K874" s="827"/>
      <c r="L874" s="823"/>
    </row>
    <row r="875">
      <c r="A875" s="22"/>
      <c r="B875" s="570"/>
      <c r="C875" s="570"/>
      <c r="D875" s="570"/>
      <c r="E875" s="268"/>
      <c r="F875" s="268"/>
      <c r="H875" s="405"/>
      <c r="I875" s="268"/>
      <c r="K875" s="827"/>
      <c r="L875" s="823"/>
    </row>
    <row r="876">
      <c r="A876" s="22"/>
      <c r="B876" s="570"/>
      <c r="C876" s="570"/>
      <c r="D876" s="570"/>
      <c r="E876" s="268"/>
      <c r="F876" s="268"/>
      <c r="H876" s="405"/>
      <c r="I876" s="268"/>
      <c r="K876" s="827"/>
      <c r="L876" s="823"/>
    </row>
    <row r="877">
      <c r="A877" s="22"/>
      <c r="B877" s="570"/>
      <c r="C877" s="570"/>
      <c r="D877" s="570"/>
      <c r="E877" s="268"/>
      <c r="F877" s="268"/>
      <c r="H877" s="405"/>
      <c r="I877" s="268"/>
      <c r="K877" s="827"/>
      <c r="L877" s="823"/>
    </row>
    <row r="878">
      <c r="A878" s="22"/>
      <c r="B878" s="570"/>
      <c r="C878" s="570"/>
      <c r="D878" s="570"/>
      <c r="E878" s="268"/>
      <c r="F878" s="268"/>
      <c r="H878" s="405"/>
      <c r="I878" s="268"/>
      <c r="K878" s="827"/>
      <c r="L878" s="823"/>
    </row>
    <row r="879">
      <c r="A879" s="22"/>
      <c r="B879" s="570"/>
      <c r="C879" s="570"/>
      <c r="D879" s="570"/>
      <c r="E879" s="268"/>
      <c r="F879" s="268"/>
      <c r="H879" s="405"/>
      <c r="I879" s="268"/>
      <c r="K879" s="827"/>
      <c r="L879" s="823"/>
    </row>
    <row r="880">
      <c r="A880" s="22"/>
      <c r="B880" s="570"/>
      <c r="C880" s="570"/>
      <c r="D880" s="570"/>
      <c r="E880" s="268"/>
      <c r="F880" s="268"/>
      <c r="H880" s="405"/>
      <c r="I880" s="268"/>
      <c r="K880" s="827"/>
      <c r="L880" s="823"/>
    </row>
    <row r="881">
      <c r="A881" s="22"/>
      <c r="B881" s="570"/>
      <c r="C881" s="570"/>
      <c r="D881" s="570"/>
      <c r="E881" s="268"/>
      <c r="F881" s="268"/>
      <c r="H881" s="405"/>
      <c r="I881" s="268"/>
      <c r="K881" s="827"/>
      <c r="L881" s="823"/>
    </row>
    <row r="882">
      <c r="A882" s="22"/>
      <c r="B882" s="570"/>
      <c r="C882" s="570"/>
      <c r="D882" s="570"/>
      <c r="E882" s="268"/>
      <c r="F882" s="268"/>
      <c r="H882" s="405"/>
      <c r="I882" s="268"/>
      <c r="K882" s="827"/>
      <c r="L882" s="823"/>
    </row>
    <row r="883">
      <c r="A883" s="22"/>
      <c r="B883" s="570"/>
      <c r="C883" s="570"/>
      <c r="D883" s="570"/>
      <c r="E883" s="268"/>
      <c r="F883" s="268"/>
      <c r="H883" s="405"/>
      <c r="I883" s="268"/>
      <c r="K883" s="827"/>
      <c r="L883" s="823"/>
    </row>
    <row r="884">
      <c r="A884" s="22"/>
      <c r="B884" s="570"/>
      <c r="C884" s="570"/>
      <c r="D884" s="570"/>
      <c r="E884" s="268"/>
      <c r="F884" s="268"/>
      <c r="H884" s="405"/>
      <c r="I884" s="268"/>
      <c r="K884" s="827"/>
      <c r="L884" s="823"/>
    </row>
    <row r="885">
      <c r="A885" s="22"/>
      <c r="B885" s="570"/>
      <c r="C885" s="570"/>
      <c r="D885" s="570"/>
      <c r="E885" s="268"/>
      <c r="F885" s="268"/>
      <c r="H885" s="405"/>
      <c r="I885" s="268"/>
      <c r="K885" s="827"/>
      <c r="L885" s="823"/>
    </row>
    <row r="886">
      <c r="A886" s="22"/>
      <c r="B886" s="570"/>
      <c r="C886" s="570"/>
      <c r="D886" s="570"/>
      <c r="E886" s="268"/>
      <c r="F886" s="268"/>
      <c r="H886" s="405"/>
      <c r="I886" s="268"/>
      <c r="K886" s="827"/>
      <c r="L886" s="823"/>
    </row>
    <row r="887">
      <c r="A887" s="22"/>
      <c r="B887" s="570"/>
      <c r="C887" s="570"/>
      <c r="D887" s="570"/>
      <c r="E887" s="268"/>
      <c r="F887" s="268"/>
      <c r="H887" s="405"/>
      <c r="I887" s="268"/>
      <c r="K887" s="827"/>
      <c r="L887" s="823"/>
    </row>
    <row r="888">
      <c r="A888" s="22"/>
      <c r="B888" s="570"/>
      <c r="C888" s="570"/>
      <c r="D888" s="570"/>
      <c r="E888" s="268"/>
      <c r="F888" s="268"/>
      <c r="H888" s="405"/>
      <c r="I888" s="268"/>
      <c r="K888" s="827"/>
      <c r="L888" s="823"/>
    </row>
    <row r="889">
      <c r="A889" s="22"/>
      <c r="B889" s="570"/>
      <c r="C889" s="570"/>
      <c r="D889" s="570"/>
      <c r="E889" s="268"/>
      <c r="F889" s="268"/>
      <c r="H889" s="405"/>
      <c r="I889" s="268"/>
      <c r="K889" s="827"/>
      <c r="L889" s="823"/>
    </row>
    <row r="890">
      <c r="A890" s="22"/>
      <c r="B890" s="570"/>
      <c r="C890" s="570"/>
      <c r="D890" s="570"/>
      <c r="E890" s="268"/>
      <c r="F890" s="268"/>
      <c r="H890" s="405"/>
      <c r="I890" s="268"/>
      <c r="K890" s="827"/>
      <c r="L890" s="823"/>
    </row>
    <row r="891">
      <c r="A891" s="22"/>
      <c r="B891" s="570"/>
      <c r="C891" s="570"/>
      <c r="D891" s="570"/>
      <c r="E891" s="268"/>
      <c r="F891" s="268"/>
      <c r="H891" s="405"/>
      <c r="I891" s="268"/>
      <c r="K891" s="827"/>
      <c r="L891" s="823"/>
    </row>
    <row r="892">
      <c r="A892" s="22"/>
      <c r="B892" s="570"/>
      <c r="C892" s="570"/>
      <c r="D892" s="570"/>
      <c r="E892" s="268"/>
      <c r="F892" s="268"/>
      <c r="H892" s="405"/>
      <c r="I892" s="268"/>
      <c r="K892" s="827"/>
      <c r="L892" s="823"/>
    </row>
    <row r="893">
      <c r="A893" s="22"/>
      <c r="B893" s="570"/>
      <c r="C893" s="570"/>
      <c r="D893" s="570"/>
      <c r="E893" s="268"/>
      <c r="F893" s="268"/>
      <c r="H893" s="405"/>
      <c r="I893" s="268"/>
      <c r="K893" s="827"/>
      <c r="L893" s="823"/>
    </row>
    <row r="894">
      <c r="A894" s="22"/>
      <c r="B894" s="570"/>
      <c r="C894" s="570"/>
      <c r="D894" s="570"/>
      <c r="E894" s="268"/>
      <c r="F894" s="268"/>
      <c r="H894" s="405"/>
      <c r="I894" s="268"/>
      <c r="K894" s="827"/>
      <c r="L894" s="823"/>
    </row>
    <row r="895">
      <c r="A895" s="22"/>
      <c r="B895" s="570"/>
      <c r="C895" s="570"/>
      <c r="D895" s="570"/>
      <c r="E895" s="268"/>
      <c r="F895" s="268"/>
      <c r="H895" s="405"/>
      <c r="I895" s="268"/>
      <c r="K895" s="827"/>
      <c r="L895" s="823"/>
    </row>
    <row r="896">
      <c r="A896" s="22"/>
      <c r="B896" s="570"/>
      <c r="C896" s="570"/>
      <c r="D896" s="570"/>
      <c r="E896" s="268"/>
      <c r="F896" s="268"/>
      <c r="H896" s="405"/>
      <c r="I896" s="268"/>
      <c r="K896" s="827"/>
      <c r="L896" s="823"/>
    </row>
    <row r="897">
      <c r="A897" s="22"/>
      <c r="B897" s="570"/>
      <c r="C897" s="570"/>
      <c r="D897" s="570"/>
      <c r="E897" s="268"/>
      <c r="F897" s="268"/>
      <c r="H897" s="405"/>
      <c r="I897" s="268"/>
      <c r="K897" s="827"/>
      <c r="L897" s="823"/>
    </row>
    <row r="898">
      <c r="A898" s="22"/>
      <c r="B898" s="570"/>
      <c r="C898" s="570"/>
      <c r="D898" s="570"/>
      <c r="E898" s="268"/>
      <c r="F898" s="268"/>
      <c r="H898" s="405"/>
      <c r="I898" s="268"/>
      <c r="K898" s="827"/>
      <c r="L898" s="823"/>
    </row>
    <row r="899">
      <c r="A899" s="22"/>
      <c r="B899" s="570"/>
      <c r="C899" s="570"/>
      <c r="D899" s="570"/>
      <c r="E899" s="268"/>
      <c r="F899" s="268"/>
      <c r="H899" s="405"/>
      <c r="I899" s="268"/>
      <c r="K899" s="827"/>
      <c r="L899" s="823"/>
    </row>
    <row r="900">
      <c r="A900" s="22"/>
      <c r="B900" s="570"/>
      <c r="C900" s="570"/>
      <c r="D900" s="570"/>
      <c r="E900" s="268"/>
      <c r="F900" s="268"/>
      <c r="H900" s="405"/>
      <c r="I900" s="268"/>
      <c r="K900" s="827"/>
      <c r="L900" s="823"/>
    </row>
    <row r="901">
      <c r="A901" s="22"/>
      <c r="B901" s="570"/>
      <c r="C901" s="570"/>
      <c r="D901" s="570"/>
      <c r="E901" s="268"/>
      <c r="F901" s="268"/>
      <c r="H901" s="405"/>
      <c r="I901" s="268"/>
      <c r="K901" s="827"/>
      <c r="L901" s="823"/>
    </row>
    <row r="902">
      <c r="A902" s="22"/>
      <c r="B902" s="570"/>
      <c r="C902" s="570"/>
      <c r="D902" s="570"/>
      <c r="E902" s="268"/>
      <c r="F902" s="268"/>
      <c r="H902" s="405"/>
      <c r="I902" s="268"/>
      <c r="K902" s="827"/>
      <c r="L902" s="823"/>
    </row>
    <row r="903">
      <c r="A903" s="22"/>
      <c r="B903" s="570"/>
      <c r="C903" s="570"/>
      <c r="D903" s="570"/>
      <c r="E903" s="268"/>
      <c r="F903" s="268"/>
      <c r="H903" s="405"/>
      <c r="I903" s="268"/>
      <c r="K903" s="827"/>
      <c r="L903" s="823"/>
    </row>
    <row r="904">
      <c r="A904" s="22"/>
      <c r="B904" s="570"/>
      <c r="C904" s="570"/>
      <c r="D904" s="570"/>
      <c r="E904" s="268"/>
      <c r="F904" s="268"/>
      <c r="H904" s="405"/>
      <c r="I904" s="268"/>
      <c r="K904" s="827"/>
      <c r="L904" s="823"/>
    </row>
    <row r="905">
      <c r="A905" s="22"/>
      <c r="B905" s="570"/>
      <c r="C905" s="570"/>
      <c r="D905" s="570"/>
      <c r="E905" s="268"/>
      <c r="F905" s="268"/>
      <c r="H905" s="405"/>
      <c r="I905" s="268"/>
      <c r="K905" s="827"/>
      <c r="L905" s="823"/>
    </row>
    <row r="906">
      <c r="A906" s="22"/>
      <c r="B906" s="570"/>
      <c r="C906" s="570"/>
      <c r="D906" s="570"/>
      <c r="E906" s="268"/>
      <c r="F906" s="268"/>
      <c r="H906" s="405"/>
      <c r="I906" s="268"/>
      <c r="K906" s="827"/>
      <c r="L906" s="823"/>
    </row>
    <row r="907">
      <c r="A907" s="22"/>
      <c r="B907" s="570"/>
      <c r="C907" s="570"/>
      <c r="D907" s="570"/>
      <c r="E907" s="268"/>
      <c r="F907" s="268"/>
      <c r="H907" s="405"/>
      <c r="I907" s="268"/>
      <c r="K907" s="827"/>
      <c r="L907" s="823"/>
    </row>
    <row r="908">
      <c r="A908" s="22"/>
      <c r="B908" s="570"/>
      <c r="C908" s="570"/>
      <c r="D908" s="570"/>
      <c r="E908" s="268"/>
      <c r="F908" s="268"/>
      <c r="H908" s="405"/>
      <c r="I908" s="268"/>
      <c r="K908" s="827"/>
      <c r="L908" s="823"/>
    </row>
    <row r="909">
      <c r="A909" s="22"/>
      <c r="B909" s="570"/>
      <c r="C909" s="570"/>
      <c r="D909" s="570"/>
      <c r="E909" s="268"/>
      <c r="F909" s="268"/>
      <c r="H909" s="405"/>
      <c r="I909" s="268"/>
      <c r="K909" s="827"/>
      <c r="L909" s="823"/>
    </row>
    <row r="910">
      <c r="A910" s="22"/>
      <c r="B910" s="570"/>
      <c r="C910" s="570"/>
      <c r="D910" s="570"/>
      <c r="E910" s="268"/>
      <c r="F910" s="268"/>
      <c r="H910" s="405"/>
      <c r="I910" s="268"/>
      <c r="K910" s="827"/>
      <c r="L910" s="823"/>
    </row>
    <row r="911">
      <c r="A911" s="22"/>
      <c r="B911" s="570"/>
      <c r="C911" s="570"/>
      <c r="D911" s="570"/>
      <c r="E911" s="268"/>
      <c r="F911" s="268"/>
      <c r="H911" s="405"/>
      <c r="I911" s="268"/>
      <c r="K911" s="827"/>
      <c r="L911" s="823"/>
    </row>
    <row r="912">
      <c r="A912" s="22"/>
      <c r="B912" s="570"/>
      <c r="C912" s="570"/>
      <c r="D912" s="570"/>
      <c r="E912" s="268"/>
      <c r="F912" s="268"/>
      <c r="H912" s="405"/>
      <c r="I912" s="268"/>
      <c r="K912" s="827"/>
      <c r="L912" s="823"/>
    </row>
    <row r="913">
      <c r="A913" s="22"/>
      <c r="B913" s="570"/>
      <c r="C913" s="570"/>
      <c r="D913" s="570"/>
      <c r="E913" s="268"/>
      <c r="F913" s="268"/>
      <c r="H913" s="405"/>
      <c r="I913" s="268"/>
      <c r="K913" s="827"/>
      <c r="L913" s="823"/>
    </row>
    <row r="914">
      <c r="A914" s="22"/>
      <c r="B914" s="570"/>
      <c r="C914" s="570"/>
      <c r="D914" s="570"/>
      <c r="E914" s="268"/>
      <c r="F914" s="268"/>
      <c r="H914" s="405"/>
      <c r="I914" s="268"/>
      <c r="K914" s="827"/>
      <c r="L914" s="823"/>
    </row>
    <row r="915">
      <c r="A915" s="22"/>
      <c r="B915" s="570"/>
      <c r="C915" s="570"/>
      <c r="D915" s="570"/>
      <c r="E915" s="268"/>
      <c r="F915" s="268"/>
      <c r="H915" s="405"/>
      <c r="I915" s="268"/>
      <c r="K915" s="827"/>
      <c r="L915" s="823"/>
    </row>
    <row r="916">
      <c r="A916" s="22"/>
      <c r="B916" s="570"/>
      <c r="C916" s="570"/>
      <c r="D916" s="570"/>
      <c r="E916" s="268"/>
      <c r="F916" s="268"/>
      <c r="H916" s="405"/>
      <c r="I916" s="268"/>
      <c r="K916" s="827"/>
      <c r="L916" s="823"/>
    </row>
    <row r="917">
      <c r="A917" s="22"/>
      <c r="B917" s="570"/>
      <c r="C917" s="570"/>
      <c r="D917" s="570"/>
      <c r="E917" s="268"/>
      <c r="F917" s="268"/>
      <c r="H917" s="405"/>
      <c r="I917" s="268"/>
      <c r="K917" s="827"/>
      <c r="L917" s="823"/>
    </row>
    <row r="918">
      <c r="A918" s="22"/>
      <c r="B918" s="570"/>
      <c r="C918" s="570"/>
      <c r="D918" s="570"/>
      <c r="E918" s="268"/>
      <c r="F918" s="268"/>
      <c r="H918" s="405"/>
      <c r="I918" s="268"/>
      <c r="K918" s="827"/>
      <c r="L918" s="823"/>
    </row>
    <row r="919">
      <c r="A919" s="22"/>
      <c r="B919" s="570"/>
      <c r="C919" s="570"/>
      <c r="D919" s="570"/>
      <c r="E919" s="268"/>
      <c r="F919" s="268"/>
      <c r="H919" s="405"/>
      <c r="I919" s="268"/>
      <c r="K919" s="827"/>
      <c r="L919" s="823"/>
    </row>
    <row r="920">
      <c r="A920" s="22"/>
      <c r="B920" s="570"/>
      <c r="C920" s="570"/>
      <c r="D920" s="570"/>
      <c r="E920" s="268"/>
      <c r="F920" s="268"/>
      <c r="H920" s="405"/>
      <c r="I920" s="268"/>
      <c r="K920" s="827"/>
      <c r="L920" s="823"/>
    </row>
    <row r="921">
      <c r="A921" s="22"/>
      <c r="B921" s="570"/>
      <c r="C921" s="570"/>
      <c r="D921" s="570"/>
      <c r="E921" s="268"/>
      <c r="F921" s="268"/>
      <c r="H921" s="405"/>
      <c r="I921" s="268"/>
      <c r="K921" s="827"/>
      <c r="L921" s="823"/>
    </row>
    <row r="922">
      <c r="A922" s="22"/>
      <c r="B922" s="570"/>
      <c r="C922" s="570"/>
      <c r="D922" s="570"/>
      <c r="E922" s="268"/>
      <c r="F922" s="268"/>
      <c r="H922" s="405"/>
      <c r="I922" s="268"/>
      <c r="K922" s="827"/>
      <c r="L922" s="823"/>
    </row>
    <row r="923">
      <c r="A923" s="22"/>
      <c r="B923" s="570"/>
      <c r="C923" s="570"/>
      <c r="D923" s="570"/>
      <c r="E923" s="268"/>
      <c r="F923" s="268"/>
      <c r="H923" s="405"/>
      <c r="I923" s="268"/>
      <c r="K923" s="827"/>
      <c r="L923" s="823"/>
    </row>
    <row r="924">
      <c r="A924" s="22"/>
      <c r="B924" s="570"/>
      <c r="C924" s="570"/>
      <c r="D924" s="570"/>
      <c r="E924" s="268"/>
      <c r="F924" s="268"/>
      <c r="H924" s="405"/>
      <c r="I924" s="268"/>
      <c r="K924" s="827"/>
      <c r="L924" s="823"/>
    </row>
    <row r="925">
      <c r="A925" s="22"/>
      <c r="B925" s="570"/>
      <c r="C925" s="570"/>
      <c r="D925" s="570"/>
      <c r="E925" s="268"/>
      <c r="F925" s="268"/>
      <c r="H925" s="405"/>
      <c r="I925" s="268"/>
      <c r="K925" s="827"/>
      <c r="L925" s="823"/>
    </row>
    <row r="926">
      <c r="A926" s="22"/>
      <c r="B926" s="570"/>
      <c r="C926" s="570"/>
      <c r="D926" s="570"/>
      <c r="E926" s="268"/>
      <c r="F926" s="268"/>
      <c r="H926" s="405"/>
      <c r="I926" s="268"/>
      <c r="K926" s="827"/>
      <c r="L926" s="823"/>
    </row>
    <row r="927">
      <c r="A927" s="22"/>
      <c r="B927" s="570"/>
      <c r="C927" s="570"/>
      <c r="D927" s="570"/>
      <c r="E927" s="268"/>
      <c r="F927" s="268"/>
      <c r="H927" s="405"/>
      <c r="I927" s="268"/>
      <c r="K927" s="827"/>
      <c r="L927" s="823"/>
    </row>
    <row r="928">
      <c r="A928" s="22"/>
      <c r="B928" s="570"/>
      <c r="C928" s="570"/>
      <c r="D928" s="570"/>
      <c r="E928" s="268"/>
      <c r="F928" s="268"/>
      <c r="H928" s="405"/>
      <c r="I928" s="268"/>
      <c r="K928" s="827"/>
      <c r="L928" s="823"/>
    </row>
    <row r="929">
      <c r="A929" s="22"/>
      <c r="B929" s="570"/>
      <c r="C929" s="570"/>
      <c r="D929" s="570"/>
      <c r="E929" s="268"/>
      <c r="F929" s="268"/>
      <c r="H929" s="405"/>
      <c r="I929" s="268"/>
      <c r="K929" s="827"/>
      <c r="L929" s="823"/>
    </row>
    <row r="930">
      <c r="A930" s="22"/>
      <c r="B930" s="570"/>
      <c r="C930" s="570"/>
      <c r="D930" s="570"/>
      <c r="E930" s="268"/>
      <c r="F930" s="268"/>
      <c r="H930" s="405"/>
      <c r="I930" s="268"/>
      <c r="K930" s="827"/>
      <c r="L930" s="823"/>
    </row>
    <row r="931">
      <c r="A931" s="22"/>
      <c r="B931" s="570"/>
      <c r="C931" s="570"/>
      <c r="D931" s="570"/>
      <c r="E931" s="268"/>
      <c r="F931" s="268"/>
      <c r="H931" s="405"/>
      <c r="I931" s="268"/>
      <c r="K931" s="827"/>
      <c r="L931" s="823"/>
    </row>
    <row r="932">
      <c r="A932" s="22"/>
      <c r="B932" s="570"/>
      <c r="C932" s="570"/>
      <c r="D932" s="570"/>
      <c r="E932" s="268"/>
      <c r="F932" s="268"/>
      <c r="H932" s="405"/>
      <c r="I932" s="268"/>
      <c r="K932" s="827"/>
      <c r="L932" s="823"/>
    </row>
    <row r="933">
      <c r="A933" s="22"/>
      <c r="B933" s="570"/>
      <c r="C933" s="570"/>
      <c r="D933" s="570"/>
      <c r="E933" s="268"/>
      <c r="F933" s="268"/>
      <c r="H933" s="405"/>
      <c r="I933" s="268"/>
      <c r="K933" s="827"/>
      <c r="L933" s="823"/>
    </row>
    <row r="934">
      <c r="A934" s="22"/>
      <c r="B934" s="570"/>
      <c r="C934" s="570"/>
      <c r="D934" s="570"/>
      <c r="E934" s="268"/>
      <c r="F934" s="268"/>
      <c r="H934" s="405"/>
      <c r="I934" s="268"/>
      <c r="K934" s="827"/>
      <c r="L934" s="823"/>
    </row>
    <row r="935">
      <c r="A935" s="22"/>
      <c r="B935" s="570"/>
      <c r="C935" s="570"/>
      <c r="D935" s="570"/>
      <c r="E935" s="268"/>
      <c r="F935" s="268"/>
      <c r="H935" s="405"/>
      <c r="I935" s="268"/>
      <c r="K935" s="827"/>
      <c r="L935" s="823"/>
    </row>
    <row r="936">
      <c r="A936" s="22"/>
      <c r="B936" s="570"/>
      <c r="C936" s="570"/>
      <c r="D936" s="570"/>
      <c r="E936" s="268"/>
      <c r="F936" s="268"/>
      <c r="H936" s="405"/>
      <c r="I936" s="268"/>
      <c r="K936" s="827"/>
      <c r="L936" s="823"/>
    </row>
    <row r="937">
      <c r="A937" s="22"/>
      <c r="B937" s="570"/>
      <c r="C937" s="570"/>
      <c r="D937" s="570"/>
      <c r="E937" s="268"/>
      <c r="F937" s="268"/>
      <c r="H937" s="405"/>
      <c r="I937" s="268"/>
      <c r="K937" s="827"/>
      <c r="L937" s="823"/>
    </row>
    <row r="938">
      <c r="A938" s="22"/>
      <c r="B938" s="570"/>
      <c r="C938" s="570"/>
      <c r="D938" s="570"/>
      <c r="E938" s="268"/>
      <c r="F938" s="268"/>
      <c r="H938" s="405"/>
      <c r="I938" s="268"/>
      <c r="K938" s="827"/>
      <c r="L938" s="823"/>
    </row>
    <row r="939">
      <c r="A939" s="22"/>
      <c r="B939" s="570"/>
      <c r="C939" s="570"/>
      <c r="D939" s="570"/>
      <c r="E939" s="268"/>
      <c r="F939" s="268"/>
      <c r="H939" s="405"/>
      <c r="I939" s="268"/>
      <c r="K939" s="827"/>
      <c r="L939" s="823"/>
    </row>
    <row r="940">
      <c r="A940" s="22"/>
      <c r="B940" s="570"/>
      <c r="C940" s="570"/>
      <c r="D940" s="570"/>
      <c r="E940" s="268"/>
      <c r="F940" s="268"/>
      <c r="H940" s="405"/>
      <c r="I940" s="268"/>
      <c r="K940" s="827"/>
      <c r="L940" s="823"/>
    </row>
    <row r="941">
      <c r="A941" s="22"/>
      <c r="B941" s="570"/>
      <c r="C941" s="570"/>
      <c r="D941" s="570"/>
      <c r="E941" s="268"/>
      <c r="F941" s="268"/>
      <c r="H941" s="405"/>
      <c r="I941" s="268"/>
      <c r="K941" s="827"/>
      <c r="L941" s="823"/>
    </row>
    <row r="942">
      <c r="A942" s="22"/>
      <c r="B942" s="570"/>
      <c r="C942" s="570"/>
      <c r="D942" s="570"/>
      <c r="E942" s="268"/>
      <c r="F942" s="268"/>
      <c r="H942" s="405"/>
      <c r="I942" s="268"/>
      <c r="K942" s="827"/>
      <c r="L942" s="823"/>
    </row>
    <row r="943">
      <c r="A943" s="22"/>
      <c r="B943" s="570"/>
      <c r="C943" s="570"/>
      <c r="D943" s="570"/>
      <c r="E943" s="268"/>
      <c r="F943" s="268"/>
      <c r="H943" s="405"/>
      <c r="I943" s="268"/>
      <c r="K943" s="827"/>
      <c r="L943" s="823"/>
    </row>
    <row r="944">
      <c r="A944" s="22"/>
      <c r="B944" s="570"/>
      <c r="C944" s="570"/>
      <c r="D944" s="570"/>
      <c r="E944" s="268"/>
      <c r="F944" s="268"/>
      <c r="H944" s="405"/>
      <c r="I944" s="268"/>
      <c r="K944" s="827"/>
      <c r="L944" s="823"/>
    </row>
    <row r="945">
      <c r="A945" s="22"/>
      <c r="B945" s="570"/>
      <c r="C945" s="570"/>
      <c r="D945" s="570"/>
      <c r="E945" s="268"/>
      <c r="F945" s="268"/>
      <c r="H945" s="405"/>
      <c r="I945" s="268"/>
      <c r="K945" s="827"/>
      <c r="L945" s="823"/>
    </row>
    <row r="946">
      <c r="A946" s="22"/>
      <c r="B946" s="570"/>
      <c r="C946" s="570"/>
      <c r="D946" s="570"/>
      <c r="E946" s="268"/>
      <c r="F946" s="268"/>
      <c r="H946" s="405"/>
      <c r="I946" s="268"/>
      <c r="K946" s="827"/>
      <c r="L946" s="823"/>
    </row>
    <row r="947">
      <c r="A947" s="22"/>
      <c r="B947" s="570"/>
      <c r="C947" s="570"/>
      <c r="D947" s="570"/>
      <c r="E947" s="268"/>
      <c r="F947" s="268"/>
      <c r="H947" s="405"/>
      <c r="I947" s="268"/>
      <c r="K947" s="827"/>
      <c r="L947" s="823"/>
    </row>
    <row r="948">
      <c r="A948" s="22"/>
      <c r="B948" s="570"/>
      <c r="C948" s="570"/>
      <c r="D948" s="570"/>
      <c r="E948" s="268"/>
      <c r="F948" s="268"/>
      <c r="H948" s="405"/>
      <c r="I948" s="268"/>
      <c r="K948" s="827"/>
      <c r="L948" s="823"/>
    </row>
    <row r="949">
      <c r="A949" s="22"/>
      <c r="B949" s="570"/>
      <c r="C949" s="570"/>
      <c r="D949" s="570"/>
      <c r="E949" s="268"/>
      <c r="F949" s="268"/>
      <c r="H949" s="405"/>
      <c r="I949" s="268"/>
      <c r="K949" s="827"/>
      <c r="L949" s="823"/>
    </row>
    <row r="950">
      <c r="A950" s="22"/>
      <c r="B950" s="570"/>
      <c r="C950" s="570"/>
      <c r="D950" s="570"/>
      <c r="E950" s="268"/>
      <c r="F950" s="268"/>
      <c r="H950" s="405"/>
      <c r="I950" s="268"/>
      <c r="K950" s="827"/>
      <c r="L950" s="823"/>
    </row>
    <row r="951">
      <c r="A951" s="22"/>
      <c r="B951" s="570"/>
      <c r="C951" s="570"/>
      <c r="D951" s="570"/>
      <c r="E951" s="268"/>
      <c r="F951" s="268"/>
      <c r="H951" s="405"/>
      <c r="I951" s="268"/>
      <c r="K951" s="827"/>
      <c r="L951" s="823"/>
    </row>
    <row r="952">
      <c r="A952" s="22"/>
      <c r="B952" s="570"/>
      <c r="C952" s="570"/>
      <c r="D952" s="570"/>
      <c r="E952" s="268"/>
      <c r="F952" s="268"/>
      <c r="H952" s="405"/>
      <c r="I952" s="268"/>
      <c r="K952" s="827"/>
      <c r="L952" s="823"/>
    </row>
    <row r="953">
      <c r="A953" s="22"/>
      <c r="B953" s="570"/>
      <c r="C953" s="570"/>
      <c r="D953" s="570"/>
      <c r="E953" s="268"/>
      <c r="F953" s="268"/>
      <c r="H953" s="405"/>
      <c r="I953" s="268"/>
      <c r="K953" s="827"/>
      <c r="L953" s="823"/>
    </row>
    <row r="954">
      <c r="A954" s="22"/>
      <c r="B954" s="570"/>
      <c r="C954" s="570"/>
      <c r="D954" s="570"/>
      <c r="E954" s="268"/>
      <c r="F954" s="268"/>
      <c r="H954" s="405"/>
      <c r="I954" s="268"/>
      <c r="K954" s="827"/>
      <c r="L954" s="823"/>
    </row>
    <row r="955">
      <c r="A955" s="22"/>
      <c r="B955" s="570"/>
      <c r="C955" s="570"/>
      <c r="D955" s="570"/>
      <c r="E955" s="268"/>
      <c r="F955" s="268"/>
      <c r="H955" s="405"/>
      <c r="I955" s="268"/>
      <c r="K955" s="827"/>
      <c r="L955" s="823"/>
    </row>
    <row r="956">
      <c r="A956" s="22"/>
      <c r="B956" s="570"/>
      <c r="C956" s="570"/>
      <c r="D956" s="570"/>
      <c r="E956" s="268"/>
      <c r="F956" s="268"/>
      <c r="H956" s="405"/>
      <c r="I956" s="268"/>
      <c r="K956" s="827"/>
      <c r="L956" s="823"/>
    </row>
    <row r="957">
      <c r="A957" s="22"/>
      <c r="B957" s="570"/>
      <c r="C957" s="570"/>
      <c r="D957" s="570"/>
      <c r="E957" s="268"/>
      <c r="F957" s="268"/>
      <c r="H957" s="405"/>
      <c r="I957" s="268"/>
      <c r="K957" s="827"/>
      <c r="L957" s="823"/>
    </row>
    <row r="958">
      <c r="A958" s="22"/>
      <c r="B958" s="570"/>
      <c r="C958" s="570"/>
      <c r="D958" s="570"/>
      <c r="E958" s="268"/>
      <c r="F958" s="268"/>
      <c r="H958" s="405"/>
      <c r="I958" s="268"/>
      <c r="K958" s="827"/>
      <c r="L958" s="823"/>
    </row>
    <row r="959">
      <c r="A959" s="22"/>
      <c r="B959" s="570"/>
      <c r="C959" s="570"/>
      <c r="D959" s="570"/>
      <c r="E959" s="268"/>
      <c r="F959" s="268"/>
      <c r="H959" s="405"/>
      <c r="I959" s="268"/>
      <c r="K959" s="827"/>
      <c r="L959" s="823"/>
    </row>
    <row r="960">
      <c r="A960" s="22"/>
      <c r="B960" s="570"/>
      <c r="C960" s="570"/>
      <c r="D960" s="570"/>
      <c r="E960" s="268"/>
      <c r="F960" s="268"/>
      <c r="H960" s="405"/>
      <c r="I960" s="268"/>
      <c r="K960" s="827"/>
      <c r="L960" s="823"/>
    </row>
    <row r="961">
      <c r="A961" s="22"/>
      <c r="B961" s="570"/>
      <c r="C961" s="570"/>
      <c r="D961" s="570"/>
      <c r="E961" s="268"/>
      <c r="F961" s="268"/>
      <c r="H961" s="405"/>
      <c r="I961" s="268"/>
      <c r="K961" s="827"/>
      <c r="L961" s="823"/>
    </row>
    <row r="962">
      <c r="A962" s="22"/>
      <c r="B962" s="570"/>
      <c r="C962" s="570"/>
      <c r="D962" s="570"/>
      <c r="E962" s="268"/>
      <c r="F962" s="268"/>
      <c r="H962" s="405"/>
      <c r="I962" s="268"/>
      <c r="K962" s="827"/>
      <c r="L962" s="823"/>
    </row>
    <row r="963">
      <c r="A963" s="22"/>
      <c r="B963" s="570"/>
      <c r="C963" s="570"/>
      <c r="D963" s="570"/>
      <c r="E963" s="268"/>
      <c r="F963" s="268"/>
      <c r="H963" s="405"/>
      <c r="I963" s="268"/>
      <c r="K963" s="827"/>
      <c r="L963" s="823"/>
    </row>
    <row r="964">
      <c r="A964" s="22"/>
      <c r="B964" s="570"/>
      <c r="C964" s="570"/>
      <c r="D964" s="570"/>
      <c r="E964" s="268"/>
      <c r="F964" s="268"/>
      <c r="H964" s="405"/>
      <c r="I964" s="268"/>
      <c r="K964" s="827"/>
      <c r="L964" s="823"/>
    </row>
    <row r="965">
      <c r="A965" s="22"/>
      <c r="B965" s="570"/>
      <c r="C965" s="570"/>
      <c r="D965" s="570"/>
      <c r="E965" s="268"/>
      <c r="F965" s="268"/>
      <c r="H965" s="405"/>
      <c r="I965" s="268"/>
      <c r="K965" s="827"/>
      <c r="L965" s="823"/>
    </row>
    <row r="966">
      <c r="A966" s="22"/>
      <c r="B966" s="570"/>
      <c r="C966" s="570"/>
      <c r="D966" s="570"/>
      <c r="E966" s="268"/>
      <c r="F966" s="268"/>
      <c r="H966" s="405"/>
      <c r="I966" s="268"/>
      <c r="K966" s="827"/>
      <c r="L966" s="823"/>
    </row>
    <row r="967">
      <c r="A967" s="22"/>
      <c r="B967" s="570"/>
      <c r="C967" s="570"/>
      <c r="D967" s="570"/>
      <c r="E967" s="268"/>
      <c r="F967" s="268"/>
      <c r="H967" s="405"/>
      <c r="I967" s="268"/>
      <c r="K967" s="827"/>
      <c r="L967" s="823"/>
    </row>
    <row r="968">
      <c r="A968" s="22"/>
      <c r="B968" s="570"/>
      <c r="C968" s="570"/>
      <c r="D968" s="570"/>
      <c r="E968" s="268"/>
      <c r="F968" s="268"/>
      <c r="H968" s="405"/>
      <c r="I968" s="268"/>
      <c r="K968" s="827"/>
      <c r="L968" s="823"/>
    </row>
    <row r="969">
      <c r="A969" s="22"/>
      <c r="B969" s="570"/>
      <c r="C969" s="570"/>
      <c r="D969" s="570"/>
      <c r="E969" s="268"/>
      <c r="F969" s="268"/>
      <c r="H969" s="405"/>
      <c r="I969" s="268"/>
      <c r="K969" s="827"/>
      <c r="L969" s="823"/>
    </row>
    <row r="970">
      <c r="A970" s="22"/>
      <c r="B970" s="570"/>
      <c r="C970" s="570"/>
      <c r="D970" s="570"/>
      <c r="E970" s="268"/>
      <c r="F970" s="268"/>
      <c r="H970" s="405"/>
      <c r="I970" s="268"/>
      <c r="K970" s="827"/>
      <c r="L970" s="823"/>
    </row>
    <row r="971">
      <c r="A971" s="22"/>
      <c r="B971" s="570"/>
      <c r="C971" s="570"/>
      <c r="D971" s="570"/>
      <c r="E971" s="268"/>
      <c r="F971" s="268"/>
      <c r="H971" s="405"/>
      <c r="I971" s="268"/>
      <c r="K971" s="827"/>
      <c r="L971" s="823"/>
    </row>
    <row r="972">
      <c r="A972" s="22"/>
      <c r="B972" s="570"/>
      <c r="C972" s="570"/>
      <c r="D972" s="570"/>
      <c r="E972" s="268"/>
      <c r="F972" s="268"/>
      <c r="H972" s="405"/>
      <c r="I972" s="268"/>
      <c r="K972" s="827"/>
      <c r="L972" s="823"/>
    </row>
    <row r="973">
      <c r="A973" s="22"/>
      <c r="B973" s="570"/>
      <c r="C973" s="570"/>
      <c r="D973" s="570"/>
      <c r="E973" s="268"/>
      <c r="F973" s="268"/>
      <c r="H973" s="405"/>
      <c r="I973" s="268"/>
      <c r="K973" s="827"/>
      <c r="L973" s="823"/>
    </row>
    <row r="974">
      <c r="A974" s="22"/>
      <c r="B974" s="570"/>
      <c r="C974" s="570"/>
      <c r="D974" s="570"/>
      <c r="E974" s="268"/>
      <c r="F974" s="268"/>
      <c r="H974" s="405"/>
      <c r="I974" s="268"/>
      <c r="K974" s="827"/>
      <c r="L974" s="823"/>
    </row>
    <row r="975">
      <c r="A975" s="22"/>
      <c r="B975" s="570"/>
      <c r="C975" s="570"/>
      <c r="D975" s="570"/>
      <c r="E975" s="268"/>
      <c r="F975" s="268"/>
      <c r="H975" s="405"/>
      <c r="I975" s="268"/>
      <c r="K975" s="827"/>
      <c r="L975" s="823"/>
    </row>
    <row r="976">
      <c r="A976" s="22"/>
      <c r="B976" s="570"/>
      <c r="C976" s="570"/>
      <c r="D976" s="570"/>
      <c r="E976" s="268"/>
      <c r="F976" s="268"/>
      <c r="H976" s="405"/>
      <c r="I976" s="268"/>
      <c r="K976" s="827"/>
      <c r="L976" s="823"/>
    </row>
    <row r="977">
      <c r="A977" s="22"/>
      <c r="B977" s="570"/>
      <c r="C977" s="570"/>
      <c r="D977" s="570"/>
      <c r="E977" s="268"/>
      <c r="F977" s="268"/>
      <c r="H977" s="405"/>
      <c r="I977" s="268"/>
      <c r="K977" s="827"/>
      <c r="L977" s="823"/>
    </row>
    <row r="978">
      <c r="A978" s="22"/>
      <c r="B978" s="570"/>
      <c r="C978" s="570"/>
      <c r="D978" s="570"/>
      <c r="E978" s="268"/>
      <c r="F978" s="268"/>
      <c r="H978" s="405"/>
      <c r="I978" s="268"/>
      <c r="K978" s="827"/>
      <c r="L978" s="823"/>
    </row>
    <row r="979">
      <c r="A979" s="22"/>
      <c r="B979" s="570"/>
      <c r="C979" s="570"/>
      <c r="D979" s="570"/>
      <c r="E979" s="268"/>
      <c r="F979" s="268"/>
      <c r="H979" s="405"/>
      <c r="I979" s="268"/>
      <c r="K979" s="827"/>
      <c r="L979" s="823"/>
    </row>
    <row r="980">
      <c r="A980" s="22"/>
      <c r="B980" s="570"/>
      <c r="C980" s="570"/>
      <c r="D980" s="570"/>
      <c r="E980" s="268"/>
      <c r="F980" s="268"/>
      <c r="H980" s="405"/>
      <c r="I980" s="268"/>
      <c r="K980" s="827"/>
      <c r="L980" s="823"/>
    </row>
    <row r="981">
      <c r="A981" s="22"/>
      <c r="B981" s="570"/>
      <c r="C981" s="570"/>
      <c r="D981" s="570"/>
      <c r="E981" s="268"/>
      <c r="F981" s="268"/>
      <c r="H981" s="405"/>
      <c r="I981" s="268"/>
      <c r="K981" s="827"/>
      <c r="L981" s="823"/>
    </row>
    <row r="982">
      <c r="A982" s="22"/>
      <c r="B982" s="570"/>
      <c r="C982" s="570"/>
      <c r="D982" s="570"/>
      <c r="E982" s="268"/>
      <c r="F982" s="268"/>
      <c r="H982" s="405"/>
      <c r="I982" s="268"/>
      <c r="K982" s="827"/>
      <c r="L982" s="823"/>
    </row>
    <row r="983">
      <c r="A983" s="22"/>
      <c r="B983" s="570"/>
      <c r="C983" s="570"/>
      <c r="D983" s="570"/>
      <c r="E983" s="268"/>
      <c r="F983" s="268"/>
      <c r="H983" s="405"/>
      <c r="I983" s="268"/>
      <c r="K983" s="827"/>
      <c r="L983" s="823"/>
    </row>
    <row r="984">
      <c r="A984" s="22"/>
      <c r="B984" s="570"/>
      <c r="C984" s="570"/>
      <c r="D984" s="570"/>
      <c r="E984" s="268"/>
      <c r="F984" s="268"/>
      <c r="H984" s="405"/>
      <c r="I984" s="268"/>
      <c r="K984" s="827"/>
      <c r="L984" s="823"/>
    </row>
    <row r="985">
      <c r="A985" s="22"/>
      <c r="B985" s="570"/>
      <c r="C985" s="570"/>
      <c r="D985" s="570"/>
      <c r="E985" s="268"/>
      <c r="F985" s="268"/>
      <c r="H985" s="405"/>
      <c r="I985" s="268"/>
      <c r="K985" s="827"/>
      <c r="L985" s="823"/>
    </row>
    <row r="986">
      <c r="A986" s="22"/>
      <c r="B986" s="570"/>
      <c r="C986" s="570"/>
      <c r="D986" s="570"/>
      <c r="E986" s="268"/>
      <c r="F986" s="268"/>
      <c r="H986" s="405"/>
      <c r="I986" s="268"/>
      <c r="K986" s="827"/>
      <c r="L986" s="823"/>
    </row>
    <row r="987">
      <c r="A987" s="22"/>
      <c r="B987" s="570"/>
      <c r="C987" s="570"/>
      <c r="D987" s="570"/>
      <c r="E987" s="268"/>
      <c r="F987" s="268"/>
      <c r="H987" s="405"/>
      <c r="I987" s="268"/>
      <c r="K987" s="827"/>
      <c r="L987" s="823"/>
    </row>
    <row r="988">
      <c r="A988" s="22"/>
      <c r="B988" s="570"/>
      <c r="C988" s="570"/>
      <c r="D988" s="570"/>
      <c r="E988" s="268"/>
      <c r="F988" s="268"/>
      <c r="H988" s="405"/>
      <c r="I988" s="268"/>
      <c r="K988" s="827"/>
      <c r="L988" s="823"/>
    </row>
    <row r="989">
      <c r="A989" s="22"/>
      <c r="B989" s="570"/>
      <c r="C989" s="570"/>
      <c r="D989" s="570"/>
      <c r="E989" s="268"/>
      <c r="F989" s="268"/>
      <c r="H989" s="405"/>
      <c r="I989" s="268"/>
      <c r="K989" s="827"/>
      <c r="L989" s="823"/>
    </row>
    <row r="990">
      <c r="A990" s="22"/>
      <c r="B990" s="570"/>
      <c r="C990" s="570"/>
      <c r="D990" s="570"/>
      <c r="E990" s="268"/>
      <c r="F990" s="268"/>
      <c r="H990" s="405"/>
      <c r="I990" s="268"/>
      <c r="K990" s="827"/>
      <c r="L990" s="823"/>
    </row>
    <row r="991">
      <c r="A991" s="22"/>
      <c r="B991" s="570"/>
      <c r="C991" s="570"/>
      <c r="D991" s="570"/>
      <c r="E991" s="268"/>
      <c r="F991" s="268"/>
      <c r="H991" s="405"/>
      <c r="I991" s="268"/>
      <c r="K991" s="827"/>
      <c r="L991" s="823"/>
    </row>
    <row r="992">
      <c r="A992" s="22"/>
      <c r="B992" s="570"/>
      <c r="C992" s="570"/>
      <c r="D992" s="570"/>
      <c r="E992" s="268"/>
      <c r="F992" s="268"/>
      <c r="H992" s="405"/>
      <c r="I992" s="268"/>
      <c r="K992" s="827"/>
      <c r="L992" s="823"/>
    </row>
    <row r="993">
      <c r="A993" s="22"/>
      <c r="B993" s="570"/>
      <c r="C993" s="570"/>
      <c r="D993" s="570"/>
      <c r="E993" s="268"/>
      <c r="F993" s="268"/>
      <c r="H993" s="405"/>
      <c r="I993" s="268"/>
      <c r="K993" s="827"/>
      <c r="L993" s="823"/>
    </row>
    <row r="994">
      <c r="A994" s="22"/>
      <c r="B994" s="570"/>
      <c r="C994" s="570"/>
      <c r="D994" s="570"/>
      <c r="E994" s="268"/>
      <c r="F994" s="268"/>
      <c r="H994" s="405"/>
      <c r="I994" s="268"/>
      <c r="K994" s="827"/>
      <c r="L994" s="823"/>
    </row>
    <row r="995">
      <c r="A995" s="22"/>
      <c r="B995" s="570"/>
      <c r="C995" s="570"/>
      <c r="D995" s="570"/>
      <c r="E995" s="268"/>
      <c r="F995" s="268"/>
      <c r="H995" s="405"/>
      <c r="I995" s="268"/>
      <c r="K995" s="827"/>
      <c r="L995" s="823"/>
    </row>
    <row r="996">
      <c r="A996" s="22"/>
      <c r="B996" s="570"/>
      <c r="C996" s="570"/>
      <c r="D996" s="570"/>
      <c r="E996" s="268"/>
      <c r="F996" s="268"/>
      <c r="H996" s="405"/>
      <c r="I996" s="268"/>
      <c r="K996" s="827"/>
      <c r="L996" s="823"/>
    </row>
    <row r="997">
      <c r="A997" s="22"/>
      <c r="B997" s="570"/>
      <c r="C997" s="570"/>
      <c r="D997" s="570"/>
      <c r="E997" s="268"/>
      <c r="F997" s="268"/>
      <c r="H997" s="405"/>
      <c r="I997" s="268"/>
      <c r="K997" s="827"/>
      <c r="L997" s="823"/>
    </row>
    <row r="998">
      <c r="A998" s="22"/>
      <c r="B998" s="570"/>
      <c r="C998" s="570"/>
      <c r="D998" s="570"/>
      <c r="E998" s="268"/>
      <c r="F998" s="268"/>
      <c r="H998" s="405"/>
      <c r="I998" s="268"/>
      <c r="K998" s="827"/>
      <c r="L998" s="823"/>
    </row>
    <row r="999">
      <c r="A999" s="22"/>
      <c r="B999" s="570"/>
      <c r="C999" s="570"/>
      <c r="D999" s="570"/>
      <c r="E999" s="268"/>
      <c r="F999" s="268"/>
      <c r="H999" s="405"/>
      <c r="I999" s="268"/>
      <c r="K999" s="827"/>
      <c r="L999" s="823"/>
    </row>
    <row r="1000">
      <c r="A1000" s="22"/>
      <c r="B1000" s="570"/>
      <c r="C1000" s="570"/>
      <c r="D1000" s="570"/>
      <c r="E1000" s="268"/>
      <c r="F1000" s="268"/>
      <c r="H1000" s="405"/>
      <c r="I1000" s="268"/>
      <c r="K1000" s="827"/>
      <c r="L1000" s="823"/>
    </row>
    <row r="1001">
      <c r="A1001" s="22"/>
      <c r="B1001" s="570"/>
      <c r="C1001" s="570"/>
      <c r="D1001" s="570"/>
      <c r="E1001" s="268"/>
      <c r="F1001" s="268"/>
      <c r="H1001" s="405"/>
      <c r="I1001" s="268"/>
      <c r="K1001" s="827"/>
      <c r="L1001" s="823"/>
      <c r="O1001" s="458"/>
    </row>
    <row r="1002">
      <c r="A1002" s="22"/>
      <c r="B1002" s="570"/>
      <c r="C1002" s="570"/>
      <c r="D1002" s="570"/>
      <c r="E1002" s="268"/>
      <c r="F1002" s="268"/>
      <c r="H1002" s="405"/>
      <c r="I1002" s="268"/>
      <c r="K1002" s="827"/>
      <c r="L1002" s="823"/>
      <c r="O1002" s="458"/>
    </row>
  </sheetData>
  <mergeCells count="18">
    <mergeCell ref="A1:A3"/>
    <mergeCell ref="D1:K1"/>
    <mergeCell ref="L1:L3"/>
    <mergeCell ref="D2:E2"/>
    <mergeCell ref="F2:G2"/>
    <mergeCell ref="H2:I2"/>
    <mergeCell ref="J2:K2"/>
    <mergeCell ref="B69:B70"/>
    <mergeCell ref="C69:C70"/>
    <mergeCell ref="B71:B72"/>
    <mergeCell ref="C71:C72"/>
    <mergeCell ref="B2:C2"/>
    <mergeCell ref="B63:B64"/>
    <mergeCell ref="C63:C64"/>
    <mergeCell ref="B65:B66"/>
    <mergeCell ref="C65:C66"/>
    <mergeCell ref="B67:B68"/>
    <mergeCell ref="C67:C68"/>
  </mergeCells>
  <conditionalFormatting sqref="D4:D1002 F4:F1002 B58:C1002 E58:E1002 G58:K1002">
    <cfRule type="containsText" dxfId="3" priority="1" operator="containsText" text="Yes">
      <formula>NOT(ISERROR(SEARCH(("Yes"),(D4))))</formula>
    </cfRule>
  </conditionalFormatting>
  <conditionalFormatting sqref="B1:C3 D1:D1002 E1:E3 F1:F1002 G1:J3 B58:C1002 E58:E1002 G58:J1002 K58:K59">
    <cfRule type="containsText" dxfId="5" priority="2" operator="containsText" text="No">
      <formula>NOT(ISERROR(SEARCH(("No"),(B1))))</formula>
    </cfRule>
  </conditionalFormatting>
  <conditionalFormatting sqref="H3 H58:H1002">
    <cfRule type="cellIs" dxfId="3" priority="3" operator="greaterThan">
      <formula>0.8</formula>
    </cfRule>
  </conditionalFormatting>
  <conditionalFormatting sqref="H58:H1002">
    <cfRule type="cellIs" dxfId="2" priority="4" operator="between">
      <formula>0.6</formula>
      <formula>0.8</formula>
    </cfRule>
  </conditionalFormatting>
  <conditionalFormatting sqref="H58:H1002">
    <cfRule type="cellIs" dxfId="7" priority="5" operator="between">
      <formula>0.5</formula>
      <formula>0.59999</formula>
    </cfRule>
  </conditionalFormatting>
  <conditionalFormatting sqref="H58:H1002">
    <cfRule type="cellIs" dxfId="8" priority="6" operator="lessThan">
      <formula>0.5</formula>
    </cfRule>
  </conditionalFormatting>
  <conditionalFormatting sqref="K58:K1002">
    <cfRule type="cellIs" dxfId="3" priority="7" operator="greaterThan">
      <formula>0.5</formula>
    </cfRule>
  </conditionalFormatting>
  <conditionalFormatting sqref="A1:A1002 B1:C3 D1:D1002 E1:E3 F1:F1002 G1:K3 B58:C1002 E58:E1002 G58:K1002">
    <cfRule type="cellIs" dxfId="4" priority="8" operator="equal">
      <formula>"Not Found"</formula>
    </cfRule>
  </conditionalFormatting>
  <conditionalFormatting sqref="K3 K58:K1002">
    <cfRule type="cellIs" dxfId="3" priority="9" operator="greaterThan">
      <formula>0.5</formula>
    </cfRule>
  </conditionalFormatting>
  <conditionalFormatting sqref="K3 K58:K1002">
    <cfRule type="cellIs" dxfId="2" priority="10" operator="greaterThanOrEqual">
      <formula>0.3</formula>
    </cfRule>
  </conditionalFormatting>
  <conditionalFormatting sqref="K3 K58:K1002">
    <cfRule type="cellIs" dxfId="8" priority="11" operator="lessThan">
      <formula>0.15</formula>
    </cfRule>
  </conditionalFormatting>
  <conditionalFormatting sqref="K3 K58:K1002">
    <cfRule type="cellIs" dxfId="7" priority="12" operator="lessThan">
      <formula>0.3</formula>
    </cfRule>
  </conditionalFormatting>
  <conditionalFormatting sqref="N4:N57">
    <cfRule type="cellIs" dxfId="13" priority="13" operator="equal">
      <formula>"High"</formula>
    </cfRule>
  </conditionalFormatting>
  <conditionalFormatting sqref="N4:N57">
    <cfRule type="cellIs" dxfId="10" priority="14" operator="equal">
      <formula>"Medium"</formula>
    </cfRule>
  </conditionalFormatting>
  <conditionalFormatting sqref="N4:N57">
    <cfRule type="cellIs" dxfId="14" priority="15" operator="equal">
      <formula>"Low"</formula>
    </cfRule>
  </conditionalFormatting>
  <hyperlinks>
    <hyperlink display="National Target (2023) link" location="'EV National Targets'!A1" ref="B3"/>
    <hyperlink display="EV Incentives (2023) link" location="'EV Incentives'!A1" ref="C3"/>
    <hyperlink display="Additional Capacity for 30% EVs (multiplication factor) (2016-2022) link" location="'Additional Generation For 30% E'!A1" ref="D3"/>
    <hyperlink display="Reliability (yearly average time without electricity, hours, various dates. SAIDI scores in yellow highlight. WBES scores w/o hightlight) (2010-2023) link" location="'Grid Reliability'!A1" ref="E3"/>
    <hyperlink display="Current Rate of Motorization (2016) link" location="'Current Rate of Motorization'!A1" ref="F3"/>
    <hyperlink display="EV Charging Infrastructure (2024) link" location="'EV Charging Infrastructure'!A1" ref="G3"/>
    <hyperlink display="ERI Score (2022) link" location="'Electricity Regulatory Index'!A1" ref="H3"/>
    <hyperlink display="Operating cost and debt service recovery, including subsidies (2019) link" location="' Utility Cost Recovery'!A1" ref="I3"/>
    <hyperlink display="Relative Affordability - Gas vs Charging (EV cost per 100 miles / ICE cost per 100 miles) (2022-2024) link" location="'Relative Affordability'!A1" ref="J3"/>
    <hyperlink display="Borrowed any money &#10;from a formal financial institution &#10;or using a mobile money account (% age 15+) link" location="'Access to Finance'!A1" ref="K3"/>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2" width="18.88"/>
    <col customWidth="1" min="3" max="3" width="20.25"/>
    <col customWidth="1" min="4" max="4" width="18.88"/>
    <col customWidth="1" min="5" max="5" width="20.13"/>
    <col customWidth="1" min="6" max="8" width="16.5"/>
    <col customWidth="1" min="10" max="10" width="37.13"/>
  </cols>
  <sheetData>
    <row r="1" ht="21.75" customHeight="1">
      <c r="A1" s="139" t="s">
        <v>161</v>
      </c>
      <c r="B1" s="768" t="s">
        <v>759</v>
      </c>
      <c r="I1" s="769"/>
      <c r="J1" s="770"/>
      <c r="L1" s="153"/>
      <c r="M1" s="153"/>
      <c r="N1" s="153"/>
      <c r="O1" s="153"/>
      <c r="P1" s="153"/>
      <c r="Q1" s="153"/>
    </row>
    <row r="2">
      <c r="B2" s="771" t="s">
        <v>25</v>
      </c>
      <c r="D2" s="772" t="s">
        <v>49</v>
      </c>
      <c r="E2" s="745" t="s">
        <v>85</v>
      </c>
      <c r="F2" s="773" t="s">
        <v>61</v>
      </c>
      <c r="I2" s="769"/>
      <c r="J2" s="770"/>
      <c r="L2" s="153"/>
      <c r="M2" s="153"/>
      <c r="N2" s="153"/>
      <c r="O2" s="153"/>
      <c r="P2" s="153"/>
      <c r="Q2" s="153"/>
    </row>
    <row r="3">
      <c r="B3" s="775" t="s">
        <v>760</v>
      </c>
      <c r="C3" s="776" t="s">
        <v>761</v>
      </c>
      <c r="D3" s="777" t="s">
        <v>762</v>
      </c>
      <c r="E3" s="752" t="s">
        <v>763</v>
      </c>
      <c r="F3" s="778" t="s">
        <v>764</v>
      </c>
      <c r="G3" s="778" t="s">
        <v>765</v>
      </c>
      <c r="H3" s="779" t="s">
        <v>766</v>
      </c>
      <c r="I3" s="162" t="s">
        <v>424</v>
      </c>
      <c r="J3" s="756" t="s">
        <v>758</v>
      </c>
      <c r="L3" s="780"/>
      <c r="M3" s="780"/>
      <c r="N3" s="780"/>
      <c r="O3" s="780"/>
      <c r="P3" s="780"/>
      <c r="Q3" s="780"/>
    </row>
    <row r="4">
      <c r="A4" s="22" t="s">
        <v>207</v>
      </c>
      <c r="B4" s="781">
        <f t="array" ref="B4">'Electricity Generated from Clea'!I2</f>
        <v>0.3333333333</v>
      </c>
      <c r="C4" s="268">
        <f t="array" ref="C4">'CO2 from Transportation'!G2</f>
        <v>0.3333333333</v>
      </c>
      <c r="D4" s="519">
        <f t="array" ref="D4">'Urban Air Quality'!L2</f>
        <v>0.6666666667</v>
      </c>
      <c r="E4" s="268">
        <f t="array" ref="E4">'Projected Rate of Motorization '!E2</f>
        <v>0.6666666667</v>
      </c>
      <c r="F4" s="783">
        <f t="array" ref="F4">'Fossil Fuel Import Dependence'!J2</f>
        <v>0.3333333333</v>
      </c>
      <c r="G4" s="268">
        <f t="array" ref="G4">'Fossil Fuel Subsidy Burden'!H2</f>
        <v>1</v>
      </c>
      <c r="H4" s="483">
        <f t="array" ref="H4">'Utility Revenue Potential'!L2</f>
        <v>1</v>
      </c>
      <c r="I4" s="483">
        <f t="shared" ref="I4:I21" si="1">AVERAGE(B4:H4)</f>
        <v>0.619047619</v>
      </c>
      <c r="J4" s="784" t="str">
        <f t="shared" ref="J4:J57" si="2">IF(I4&lt;0.495, "Low", IF(I4 &lt;0.695, "Medium", "High"))</f>
        <v>Medium</v>
      </c>
    </row>
    <row r="5">
      <c r="A5" s="22" t="s">
        <v>240</v>
      </c>
      <c r="B5" s="781">
        <f t="array" ref="B5">'Electricity Generated from Clea'!I3</f>
        <v>1</v>
      </c>
      <c r="C5" s="268">
        <f t="array" ref="C5">'CO2 from Transportation'!G3</f>
        <v>0.6666666667</v>
      </c>
      <c r="D5" s="519">
        <f t="array" ref="D5">'Urban Air Quality'!L3</f>
        <v>1</v>
      </c>
      <c r="E5" s="268">
        <f t="array" ref="E5">'Projected Rate of Motorization '!E3</f>
        <v>0.3333333333</v>
      </c>
      <c r="F5" s="783">
        <f t="array" ref="F5">'Fossil Fuel Import Dependence'!J3</f>
        <v>0.6666666667</v>
      </c>
      <c r="G5" s="268">
        <f t="array" ref="G5">'Fossil Fuel Subsidy Burden'!H3</f>
        <v>1</v>
      </c>
      <c r="H5" s="483">
        <f t="array" ref="H5">'Utility Revenue Potential'!L3</f>
        <v>0.3333333333</v>
      </c>
      <c r="I5" s="483">
        <f t="shared" si="1"/>
        <v>0.7142857143</v>
      </c>
      <c r="J5" s="785" t="str">
        <f t="shared" si="2"/>
        <v>High</v>
      </c>
    </row>
    <row r="6">
      <c r="A6" s="22" t="s">
        <v>268</v>
      </c>
      <c r="B6" s="781">
        <f t="array" ref="B6">'Electricity Generated from Clea'!I4</f>
        <v>0.3333333333</v>
      </c>
      <c r="C6" s="268">
        <f t="array" ref="C6">'CO2 from Transportation'!G4</f>
        <v>1</v>
      </c>
      <c r="D6" s="519">
        <f t="array" ref="D6">'Urban Air Quality'!L4</f>
        <v>1</v>
      </c>
      <c r="E6" s="268">
        <f t="array" ref="E6">'Projected Rate of Motorization '!E4</f>
        <v>0.6666666667</v>
      </c>
      <c r="F6" s="783">
        <f t="array" ref="F6">'Fossil Fuel Import Dependence'!J4</f>
        <v>1</v>
      </c>
      <c r="G6" s="268">
        <f t="array" ref="G6">'Fossil Fuel Subsidy Burden'!H4</f>
        <v>1</v>
      </c>
      <c r="H6" s="483">
        <f t="array" ref="H6">'Utility Revenue Potential'!L4</f>
        <v>0.6666666667</v>
      </c>
      <c r="I6" s="483">
        <f t="shared" si="1"/>
        <v>0.8095238095</v>
      </c>
      <c r="J6" s="785" t="str">
        <f t="shared" si="2"/>
        <v>High</v>
      </c>
    </row>
    <row r="7">
      <c r="A7" s="22" t="s">
        <v>329</v>
      </c>
      <c r="B7" s="781">
        <f t="array" ref="B7">'Electricity Generated from Clea'!I5</f>
        <v>0.3333333333</v>
      </c>
      <c r="C7" s="268">
        <f t="array" ref="C7">'CO2 from Transportation'!G5</f>
        <v>0.6666666667</v>
      </c>
      <c r="D7" s="519">
        <f t="array" ref="D7">'Urban Air Quality'!L5</f>
        <v>1</v>
      </c>
      <c r="E7" s="268">
        <f t="array" ref="E7">'Projected Rate of Motorization '!E5</f>
        <v>1</v>
      </c>
      <c r="F7" s="783">
        <f t="array" ref="F7">'Fossil Fuel Import Dependence'!J5</f>
        <v>1</v>
      </c>
      <c r="G7" s="268">
        <f t="array" ref="G7">'Fossil Fuel Subsidy Burden'!H5</f>
        <v>0.3333333333</v>
      </c>
      <c r="H7" s="483">
        <f t="array" ref="H7">'Utility Revenue Potential'!L5</f>
        <v>0.6666666667</v>
      </c>
      <c r="I7" s="483">
        <f t="shared" si="1"/>
        <v>0.7142857143</v>
      </c>
      <c r="J7" s="785" t="str">
        <f t="shared" si="2"/>
        <v>High</v>
      </c>
    </row>
    <row r="8">
      <c r="A8" s="22" t="s">
        <v>331</v>
      </c>
      <c r="B8" s="781">
        <f t="array" ref="B8">'Electricity Generated from Clea'!I6</f>
        <v>0.3333333333</v>
      </c>
      <c r="C8" s="268">
        <f t="array" ref="C8">'CO2 from Transportation'!G6</f>
        <v>0.6666666667</v>
      </c>
      <c r="D8" s="519">
        <f t="array" ref="D8">'Urban Air Quality'!L6</f>
        <v>1</v>
      </c>
      <c r="E8" s="268">
        <f t="array" ref="E8">'Projected Rate of Motorization '!E6</f>
        <v>0.3333333333</v>
      </c>
      <c r="F8" s="783">
        <f t="array" ref="F8">'Fossil Fuel Import Dependence'!J6</f>
        <v>1</v>
      </c>
      <c r="G8" s="268">
        <f t="array" ref="G8">'Fossil Fuel Subsidy Burden'!H6</f>
        <v>1</v>
      </c>
      <c r="H8" s="483">
        <f t="array" ref="H8">'Utility Revenue Potential'!L6</f>
        <v>1</v>
      </c>
      <c r="I8" s="483">
        <f t="shared" si="1"/>
        <v>0.7619047619</v>
      </c>
      <c r="J8" s="785" t="str">
        <f t="shared" si="2"/>
        <v>High</v>
      </c>
    </row>
    <row r="9">
      <c r="A9" s="22" t="s">
        <v>333</v>
      </c>
      <c r="B9" s="781">
        <f t="array" ref="B9">'Electricity Generated from Clea'!I7</f>
        <v>0.6666666667</v>
      </c>
      <c r="C9" s="268">
        <f t="array" ref="C9">'CO2 from Transportation'!G7</f>
        <v>1</v>
      </c>
      <c r="D9" s="519">
        <f t="array" ref="D9">'Urban Air Quality'!L7</f>
        <v>1</v>
      </c>
      <c r="E9" s="268">
        <f t="array" ref="E9">'Projected Rate of Motorization '!E7</f>
        <v>0.3333333333</v>
      </c>
      <c r="F9" s="783">
        <f t="array" ref="F9">'Fossil Fuel Import Dependence'!J7</f>
        <v>1</v>
      </c>
      <c r="G9" s="268">
        <f t="array" ref="G9">'Fossil Fuel Subsidy Burden'!H7</f>
        <v>0.3333333333</v>
      </c>
      <c r="H9" s="483">
        <f t="array" ref="H9">'Utility Revenue Potential'!L7</f>
        <v>0.3333333333</v>
      </c>
      <c r="I9" s="483">
        <f t="shared" si="1"/>
        <v>0.6666666667</v>
      </c>
      <c r="J9" s="784" t="str">
        <f t="shared" si="2"/>
        <v>Medium</v>
      </c>
    </row>
    <row r="10">
      <c r="A10" s="22" t="s">
        <v>225</v>
      </c>
      <c r="B10" s="781">
        <f t="array" ref="B10">'Electricity Generated from Clea'!I8</f>
        <v>0.3333333333</v>
      </c>
      <c r="C10" s="268">
        <f t="array" ref="C10">'CO2 from Transportation'!G8</f>
        <v>0.6666666667</v>
      </c>
      <c r="D10" s="519">
        <f t="array" ref="D10">'Urban Air Quality'!L8</f>
        <v>0.6666666667</v>
      </c>
      <c r="E10" s="268">
        <f t="array" ref="E10">'Projected Rate of Motorization '!E8</f>
        <v>1</v>
      </c>
      <c r="F10" s="783">
        <f t="array" ref="F10">'Fossil Fuel Import Dependence'!J8</f>
        <v>0.6666666667</v>
      </c>
      <c r="G10" s="268">
        <f t="array" ref="G10">'Fossil Fuel Subsidy Burden'!H8</f>
        <v>0.3333333333</v>
      </c>
      <c r="H10" s="483">
        <f t="array" ref="H10">'Utility Revenue Potential'!L8</f>
        <v>0.3333333333</v>
      </c>
      <c r="I10" s="483">
        <f t="shared" si="1"/>
        <v>0.5714285714</v>
      </c>
      <c r="J10" s="784" t="str">
        <f t="shared" si="2"/>
        <v>Medium</v>
      </c>
    </row>
    <row r="11">
      <c r="A11" s="22" t="s">
        <v>338</v>
      </c>
      <c r="B11" s="781">
        <f t="array" ref="B11">'Electricity Generated from Clea'!I9</f>
        <v>0.6666666667</v>
      </c>
      <c r="C11" s="268">
        <f t="array" ref="C11">'CO2 from Transportation'!G9</f>
        <v>0.6666666667</v>
      </c>
      <c r="D11" s="519">
        <f t="array" ref="D11">'Urban Air Quality'!L9</f>
        <v>1</v>
      </c>
      <c r="E11" s="268">
        <f t="array" ref="E11">'Projected Rate of Motorization '!E9</f>
        <v>0.6666666667</v>
      </c>
      <c r="F11" s="783">
        <f t="array" ref="F11">'Fossil Fuel Import Dependence'!J9</f>
        <v>1</v>
      </c>
      <c r="G11" s="268">
        <f t="array" ref="G11">'Fossil Fuel Subsidy Burden'!H9</f>
        <v>0.6666666667</v>
      </c>
      <c r="H11" s="483">
        <f t="array" ref="H11">'Utility Revenue Potential'!L9</f>
        <v>1</v>
      </c>
      <c r="I11" s="483">
        <f t="shared" si="1"/>
        <v>0.8095238095</v>
      </c>
      <c r="J11" s="785" t="str">
        <f t="shared" si="2"/>
        <v>High</v>
      </c>
    </row>
    <row r="12">
      <c r="A12" s="22" t="s">
        <v>340</v>
      </c>
      <c r="B12" s="781">
        <f t="array" ref="B12">'Electricity Generated from Clea'!I10</f>
        <v>1</v>
      </c>
      <c r="C12" s="268">
        <f t="array" ref="C12">'CO2 from Transportation'!G10</f>
        <v>1</v>
      </c>
      <c r="D12" s="519">
        <f t="array" ref="D12">'Urban Air Quality'!L10</f>
        <v>1</v>
      </c>
      <c r="E12" s="268">
        <f t="array" ref="E12">'Projected Rate of Motorization '!E10</f>
        <v>0.3333333333</v>
      </c>
      <c r="F12" s="783">
        <f t="array" ref="F12">'Fossil Fuel Import Dependence'!J10</f>
        <v>1</v>
      </c>
      <c r="G12" s="268">
        <f t="array" ref="G12">'Fossil Fuel Subsidy Burden'!H10</f>
        <v>0.3333333333</v>
      </c>
      <c r="H12" s="483">
        <f t="array" ref="H12">'Utility Revenue Potential'!L10</f>
        <v>0.3333333333</v>
      </c>
      <c r="I12" s="483">
        <f t="shared" si="1"/>
        <v>0.7142857143</v>
      </c>
      <c r="J12" s="785" t="str">
        <f t="shared" si="2"/>
        <v>High</v>
      </c>
    </row>
    <row r="13">
      <c r="A13" s="22" t="s">
        <v>342</v>
      </c>
      <c r="B13" s="781">
        <f t="array" ref="B13">'Electricity Generated from Clea'!I11</f>
        <v>0.3333333333</v>
      </c>
      <c r="C13" s="268">
        <f t="array" ref="C13">'CO2 from Transportation'!G11</f>
        <v>1</v>
      </c>
      <c r="D13" s="519">
        <f t="array" ref="D13">'Urban Air Quality'!L11</f>
        <v>1</v>
      </c>
      <c r="E13" s="268">
        <f t="array" ref="E13">'Projected Rate of Motorization '!E11</f>
        <v>0.3333333333</v>
      </c>
      <c r="F13" s="783">
        <f t="array" ref="F13">'Fossil Fuel Import Dependence'!J11</f>
        <v>0.3333333333</v>
      </c>
      <c r="G13" s="268">
        <f t="array" ref="G13">'Fossil Fuel Subsidy Burden'!H11</f>
        <v>0.3333333333</v>
      </c>
      <c r="H13" s="483">
        <f t="array" ref="H13">'Utility Revenue Potential'!L11</f>
        <v>0.6666666667</v>
      </c>
      <c r="I13" s="483">
        <f t="shared" si="1"/>
        <v>0.5714285714</v>
      </c>
      <c r="J13" s="784" t="str">
        <f t="shared" si="2"/>
        <v>Medium</v>
      </c>
    </row>
    <row r="14">
      <c r="A14" s="22" t="s">
        <v>346</v>
      </c>
      <c r="B14" s="781">
        <f t="array" ref="B14">'Electricity Generated from Clea'!I12</f>
        <v>0.3333333333</v>
      </c>
      <c r="C14" s="268">
        <f t="array" ref="C14">'CO2 from Transportation'!G12</f>
        <v>0.6666666667</v>
      </c>
      <c r="D14" s="519">
        <f t="array" ref="D14">'Urban Air Quality'!L12</f>
        <v>0.6666666667</v>
      </c>
      <c r="E14" s="268">
        <f t="array" ref="E14">'Projected Rate of Motorization '!E12</f>
        <v>0.6666666667</v>
      </c>
      <c r="F14" s="783">
        <f t="array" ref="F14">'Fossil Fuel Import Dependence'!J12</f>
        <v>1</v>
      </c>
      <c r="G14" s="268">
        <f t="array" ref="G14">'Fossil Fuel Subsidy Burden'!H12</f>
        <v>0.3333333333</v>
      </c>
      <c r="H14" s="483">
        <f t="array" ref="H14">'Utility Revenue Potential'!L12</f>
        <v>0.3333333333</v>
      </c>
      <c r="I14" s="483">
        <f t="shared" si="1"/>
        <v>0.5714285714</v>
      </c>
      <c r="J14" s="784" t="str">
        <f t="shared" si="2"/>
        <v>Medium</v>
      </c>
    </row>
    <row r="15">
      <c r="A15" s="22" t="s">
        <v>351</v>
      </c>
      <c r="B15" s="781">
        <f t="array" ref="B15">'Electricity Generated from Clea'!I13</f>
        <v>0.3333333333</v>
      </c>
      <c r="C15" s="268">
        <f t="array" ref="C15">'CO2 from Transportation'!G13</f>
        <v>0.3333333333</v>
      </c>
      <c r="D15" s="519">
        <f t="array" ref="D15">'Urban Air Quality'!L13</f>
        <v>1</v>
      </c>
      <c r="E15" s="268">
        <f t="array" ref="E15">'Projected Rate of Motorization '!E13</f>
        <v>0.6666666667</v>
      </c>
      <c r="F15" s="783">
        <f t="array" ref="F15">'Fossil Fuel Import Dependence'!J13</f>
        <v>1</v>
      </c>
      <c r="G15" s="268">
        <f t="array" ref="G15">'Fossil Fuel Subsidy Burden'!H13</f>
        <v>0.3333333333</v>
      </c>
      <c r="H15" s="483">
        <f t="array" ref="H15">'Utility Revenue Potential'!L13</f>
        <v>0.6666666667</v>
      </c>
      <c r="I15" s="483">
        <f t="shared" si="1"/>
        <v>0.619047619</v>
      </c>
      <c r="J15" s="784" t="str">
        <f t="shared" si="2"/>
        <v>Medium</v>
      </c>
    </row>
    <row r="16">
      <c r="A16" s="22" t="s">
        <v>356</v>
      </c>
      <c r="B16" s="781">
        <f t="array" ref="B16">'Electricity Generated from Clea'!I14</f>
        <v>0.3333333333</v>
      </c>
      <c r="C16" s="268">
        <f t="array" ref="C16">'CO2 from Transportation'!G14</f>
        <v>0.6666666667</v>
      </c>
      <c r="D16" s="519">
        <f t="array" ref="D16">'Urban Air Quality'!L14</f>
        <v>1</v>
      </c>
      <c r="E16" s="268">
        <f t="array" ref="E16">'Projected Rate of Motorization '!E14</f>
        <v>1</v>
      </c>
      <c r="F16" s="783">
        <f t="array" ref="F16">'Fossil Fuel Import Dependence'!J14</f>
        <v>0.3333333333</v>
      </c>
      <c r="G16" s="268">
        <f t="array" ref="G16">'Fossil Fuel Subsidy Burden'!H14</f>
        <v>0.6666666667</v>
      </c>
      <c r="H16" s="483">
        <f t="array" ref="H16">'Utility Revenue Potential'!L14</f>
        <v>1</v>
      </c>
      <c r="I16" s="483">
        <f t="shared" si="1"/>
        <v>0.7142857143</v>
      </c>
      <c r="J16" s="785" t="str">
        <f t="shared" si="2"/>
        <v>High</v>
      </c>
    </row>
    <row r="17">
      <c r="A17" s="22" t="s">
        <v>357</v>
      </c>
      <c r="B17" s="781">
        <f t="array" ref="B17">'Electricity Generated from Clea'!I15</f>
        <v>0.3333333333</v>
      </c>
      <c r="C17" s="268">
        <f t="array" ref="C17">'CO2 from Transportation'!G15</f>
        <v>0.6666666667</v>
      </c>
      <c r="D17" s="519">
        <f t="array" ref="D17">'Urban Air Quality'!L15</f>
        <v>0.6666666667</v>
      </c>
      <c r="E17" s="268">
        <f t="array" ref="E17">'Projected Rate of Motorization '!E15</f>
        <v>1</v>
      </c>
      <c r="F17" s="783">
        <f t="array" ref="F17">'Fossil Fuel Import Dependence'!J15</f>
        <v>1</v>
      </c>
      <c r="G17" s="268">
        <f t="array" ref="G17">'Fossil Fuel Subsidy Burden'!H15</f>
        <v>0.3333333333</v>
      </c>
      <c r="H17" s="483">
        <f t="array" ref="H17">'Utility Revenue Potential'!L15</f>
        <v>0.3333333333</v>
      </c>
      <c r="I17" s="483">
        <f t="shared" si="1"/>
        <v>0.619047619</v>
      </c>
      <c r="J17" s="784" t="str">
        <f t="shared" si="2"/>
        <v>Medium</v>
      </c>
    </row>
    <row r="18">
      <c r="A18" s="22" t="s">
        <v>276</v>
      </c>
      <c r="B18" s="781">
        <f t="array" ref="B18">'Electricity Generated from Clea'!I16</f>
        <v>1</v>
      </c>
      <c r="C18" s="268">
        <f t="array" ref="C18">'CO2 from Transportation'!G16</f>
        <v>1</v>
      </c>
      <c r="D18" s="519">
        <f t="array" ref="D18">'Urban Air Quality'!L16</f>
        <v>1</v>
      </c>
      <c r="E18" s="268">
        <f t="array" ref="E18">'Projected Rate of Motorization '!E16</f>
        <v>0.3333333333</v>
      </c>
      <c r="F18" s="783">
        <f t="array" ref="F18">'Fossil Fuel Import Dependence'!J16</f>
        <v>1</v>
      </c>
      <c r="G18" s="268">
        <f t="array" ref="G18">'Fossil Fuel Subsidy Burden'!H16</f>
        <v>0.3333333333</v>
      </c>
      <c r="H18" s="483">
        <f t="array" ref="H18">'Utility Revenue Potential'!L16</f>
        <v>0.6666666667</v>
      </c>
      <c r="I18" s="483">
        <f t="shared" si="1"/>
        <v>0.7619047619</v>
      </c>
      <c r="J18" s="785" t="str">
        <f t="shared" si="2"/>
        <v>High</v>
      </c>
    </row>
    <row r="19">
      <c r="A19" s="22" t="s">
        <v>285</v>
      </c>
      <c r="B19" s="781">
        <f t="array" ref="B19">'Electricity Generated from Clea'!I17</f>
        <v>0.3333333333</v>
      </c>
      <c r="C19" s="268">
        <f t="array" ref="C19">'CO2 from Transportation'!G17</f>
        <v>0.3333333333</v>
      </c>
      <c r="D19" s="519">
        <f t="array" ref="D19">'Urban Air Quality'!L17</f>
        <v>1</v>
      </c>
      <c r="E19" s="268">
        <f t="array" ref="E19">'Projected Rate of Motorization '!E17</f>
        <v>1</v>
      </c>
      <c r="F19" s="783">
        <f t="array" ref="F19">'Fossil Fuel Import Dependence'!J17</f>
        <v>1</v>
      </c>
      <c r="G19" s="268">
        <f t="array" ref="G19">'Fossil Fuel Subsidy Burden'!H17</f>
        <v>1</v>
      </c>
      <c r="H19" s="483">
        <f t="array" ref="H19">'Utility Revenue Potential'!L17</f>
        <v>1</v>
      </c>
      <c r="I19" s="483">
        <f t="shared" si="1"/>
        <v>0.8095238095</v>
      </c>
      <c r="J19" s="785" t="str">
        <f t="shared" si="2"/>
        <v>High</v>
      </c>
    </row>
    <row r="20">
      <c r="A20" s="22" t="s">
        <v>360</v>
      </c>
      <c r="B20" s="781">
        <f t="array" ref="B20">'Electricity Generated from Clea'!I18</f>
        <v>0.3333333333</v>
      </c>
      <c r="C20" s="268">
        <f t="array" ref="C20">'CO2 from Transportation'!G18</f>
        <v>0.3333333333</v>
      </c>
      <c r="D20" s="519">
        <f t="array" ref="D20">'Urban Air Quality'!L18</f>
        <v>1</v>
      </c>
      <c r="E20" s="268">
        <f t="array" ref="E20">'Projected Rate of Motorization '!E18</f>
        <v>0.6666666667</v>
      </c>
      <c r="F20" s="783">
        <f t="array" ref="F20">'Fossil Fuel Import Dependence'!J18</f>
        <v>1</v>
      </c>
      <c r="G20" s="268">
        <f t="array" ref="G20">'Fossil Fuel Subsidy Burden'!H18</f>
        <v>1</v>
      </c>
      <c r="H20" s="483">
        <f t="array" ref="H20">'Utility Revenue Potential'!L18</f>
        <v>0.3333333333</v>
      </c>
      <c r="I20" s="483">
        <f t="shared" si="1"/>
        <v>0.6666666667</v>
      </c>
      <c r="J20" s="784" t="str">
        <f t="shared" si="2"/>
        <v>Medium</v>
      </c>
    </row>
    <row r="21">
      <c r="A21" s="22" t="s">
        <v>362</v>
      </c>
      <c r="B21" s="781">
        <f t="array" ref="B21">'Electricity Generated from Clea'!I19</f>
        <v>0.3333333333</v>
      </c>
      <c r="C21" s="268">
        <f t="array" ref="C21">'CO2 from Transportation'!G19</f>
        <v>0.6666666667</v>
      </c>
      <c r="D21" s="519">
        <f t="array" ref="D21">'Urban Air Quality'!L19</f>
        <v>0.6666666667</v>
      </c>
      <c r="E21" s="758" t="str">
        <f t="array" ref="E21">'Projected Rate of Motorization '!E19</f>
        <v>Not Found</v>
      </c>
      <c r="F21" s="783">
        <f t="array" ref="F21">'Fossil Fuel Import Dependence'!J19</f>
        <v>0.3333333333</v>
      </c>
      <c r="G21" s="796" t="str">
        <f t="array" ref="G21">'Fossil Fuel Subsidy Burden'!H19</f>
        <v>Not Found</v>
      </c>
      <c r="H21" s="483">
        <f t="array" ref="H21">'Utility Revenue Potential'!L19</f>
        <v>0.3333333333</v>
      </c>
      <c r="I21" s="483">
        <f t="shared" si="1"/>
        <v>0.4666666667</v>
      </c>
      <c r="J21" s="782" t="str">
        <f t="shared" si="2"/>
        <v>Low</v>
      </c>
    </row>
    <row r="22">
      <c r="A22" s="22" t="s">
        <v>363</v>
      </c>
      <c r="B22" s="781">
        <f t="array" ref="B22">'Electricity Generated from Clea'!I20</f>
        <v>0.6666666667</v>
      </c>
      <c r="C22" s="268">
        <f t="array" ref="C22">'CO2 from Transportation'!G20</f>
        <v>0.6666666667</v>
      </c>
      <c r="D22" s="519">
        <f t="array" ref="D22">'Urban Air Quality'!L20</f>
        <v>1</v>
      </c>
      <c r="E22" s="268">
        <f t="array" ref="E22">'Projected Rate of Motorization '!E20</f>
        <v>0.6666666667</v>
      </c>
      <c r="F22" s="783">
        <f t="array" ref="F22">'Fossil Fuel Import Dependence'!J20</f>
        <v>1</v>
      </c>
      <c r="G22" s="796" t="str">
        <f t="array" ref="G22">'Fossil Fuel Subsidy Burden'!H20</f>
        <v>Not Found</v>
      </c>
      <c r="H22" s="483">
        <f t="array" ref="H22">'Utility Revenue Potential'!L20</f>
        <v>0.3333333333</v>
      </c>
      <c r="I22" s="483">
        <f>average(B22:E22,H22)</f>
        <v>0.6666666667</v>
      </c>
      <c r="J22" s="784" t="str">
        <f t="shared" si="2"/>
        <v>Medium</v>
      </c>
    </row>
    <row r="23">
      <c r="A23" s="22" t="s">
        <v>255</v>
      </c>
      <c r="B23" s="781">
        <f t="array" ref="B23">'Electricity Generated from Clea'!I21</f>
        <v>1</v>
      </c>
      <c r="C23" s="268">
        <f t="array" ref="C23">'CO2 from Transportation'!G21</f>
        <v>0.6666666667</v>
      </c>
      <c r="D23" s="519">
        <f t="array" ref="D23">'Urban Air Quality'!L21</f>
        <v>0.6666666667</v>
      </c>
      <c r="E23" s="268">
        <f t="array" ref="E23">'Projected Rate of Motorization '!E21</f>
        <v>0.6666666667</v>
      </c>
      <c r="F23" s="783">
        <f t="array" ref="F23">'Fossil Fuel Import Dependence'!J21</f>
        <v>1</v>
      </c>
      <c r="G23" s="268">
        <f t="array" ref="G23">'Fossil Fuel Subsidy Burden'!H21</f>
        <v>1</v>
      </c>
      <c r="H23" s="483">
        <f t="array" ref="H23">'Utility Revenue Potential'!L21</f>
        <v>0.6666666667</v>
      </c>
      <c r="I23" s="483">
        <f t="shared" ref="I23:I49" si="3">AVERAGE(B23:H23)</f>
        <v>0.8095238095</v>
      </c>
      <c r="J23" s="785" t="str">
        <f t="shared" si="2"/>
        <v>High</v>
      </c>
    </row>
    <row r="24">
      <c r="A24" s="22" t="s">
        <v>374</v>
      </c>
      <c r="B24" s="781">
        <f t="array" ref="B24">'Electricity Generated from Clea'!I22</f>
        <v>0.6666666667</v>
      </c>
      <c r="C24" s="268">
        <f t="array" ref="C24">'CO2 from Transportation'!G22</f>
        <v>0.3333333333</v>
      </c>
      <c r="D24" s="519">
        <f t="array" ref="D24">'Urban Air Quality'!L22</f>
        <v>1</v>
      </c>
      <c r="E24" s="268">
        <f t="array" ref="E24">'Projected Rate of Motorization '!E22</f>
        <v>1</v>
      </c>
      <c r="F24" s="783">
        <f t="array" ref="F24">'Fossil Fuel Import Dependence'!J22</f>
        <v>0.3333333333</v>
      </c>
      <c r="G24" s="268">
        <f t="array" ref="G24">'Fossil Fuel Subsidy Burden'!H22</f>
        <v>0.3333333333</v>
      </c>
      <c r="H24" s="483">
        <f t="array" ref="H24">'Utility Revenue Potential'!L22</f>
        <v>0.6666666667</v>
      </c>
      <c r="I24" s="483">
        <f t="shared" si="3"/>
        <v>0.619047619</v>
      </c>
      <c r="J24" s="784" t="str">
        <f t="shared" si="2"/>
        <v>Medium</v>
      </c>
    </row>
    <row r="25">
      <c r="A25" s="22" t="s">
        <v>263</v>
      </c>
      <c r="B25" s="781">
        <f t="array" ref="B25">'Electricity Generated from Clea'!I23</f>
        <v>0.3333333333</v>
      </c>
      <c r="C25" s="268">
        <f t="array" ref="C25">'CO2 from Transportation'!G23</f>
        <v>0.3333333333</v>
      </c>
      <c r="D25" s="519">
        <f t="array" ref="D25">'Urban Air Quality'!L23</f>
        <v>1</v>
      </c>
      <c r="E25" s="268">
        <f t="array" ref="E25">'Projected Rate of Motorization '!E23</f>
        <v>0.3333333333</v>
      </c>
      <c r="F25" s="783">
        <f t="array" ref="F25">'Fossil Fuel Import Dependence'!J23</f>
        <v>0.6666666667</v>
      </c>
      <c r="G25" s="268">
        <f t="array" ref="G25">'Fossil Fuel Subsidy Burden'!H23</f>
        <v>0.3333333333</v>
      </c>
      <c r="H25" s="483">
        <f t="array" ref="H25">'Utility Revenue Potential'!L23</f>
        <v>0.3333333333</v>
      </c>
      <c r="I25" s="483">
        <f t="shared" si="3"/>
        <v>0.4761904762</v>
      </c>
      <c r="J25" s="782" t="str">
        <f t="shared" si="2"/>
        <v>Low</v>
      </c>
    </row>
    <row r="26">
      <c r="A26" s="22" t="s">
        <v>266</v>
      </c>
      <c r="B26" s="781">
        <f t="array" ref="B26">'Electricity Generated from Clea'!I24</f>
        <v>0.6666666667</v>
      </c>
      <c r="C26" s="268">
        <f t="array" ref="C26">'CO2 from Transportation'!G24</f>
        <v>0.6666666667</v>
      </c>
      <c r="D26" s="519">
        <f t="array" ref="D26">'Urban Air Quality'!L24</f>
        <v>1</v>
      </c>
      <c r="E26" s="268">
        <f t="array" ref="E26">'Projected Rate of Motorization '!E24</f>
        <v>0.6666666667</v>
      </c>
      <c r="F26" s="783">
        <f t="array" ref="F26">'Fossil Fuel Import Dependence'!J24</f>
        <v>1</v>
      </c>
      <c r="G26" s="268">
        <f t="array" ref="G26">'Fossil Fuel Subsidy Burden'!H24</f>
        <v>0.3333333333</v>
      </c>
      <c r="H26" s="483">
        <f t="array" ref="H26">'Utility Revenue Potential'!L24</f>
        <v>1</v>
      </c>
      <c r="I26" s="483">
        <f t="shared" si="3"/>
        <v>0.7619047619</v>
      </c>
      <c r="J26" s="785" t="str">
        <f t="shared" si="2"/>
        <v>High</v>
      </c>
    </row>
    <row r="27">
      <c r="A27" s="22" t="s">
        <v>385</v>
      </c>
      <c r="B27" s="781">
        <f t="array" ref="B27">'Electricity Generated from Clea'!I25</f>
        <v>1</v>
      </c>
      <c r="C27" s="268">
        <f t="array" ref="C27">'CO2 from Transportation'!G25</f>
        <v>0.6666666667</v>
      </c>
      <c r="D27" s="519">
        <f t="array" ref="D27">'Urban Air Quality'!L25</f>
        <v>1</v>
      </c>
      <c r="E27" s="268">
        <f t="array" ref="E27">'Projected Rate of Motorization '!E25</f>
        <v>0.6666666667</v>
      </c>
      <c r="F27" s="783">
        <f t="array" ref="F27">'Fossil Fuel Import Dependence'!J25</f>
        <v>1</v>
      </c>
      <c r="G27" s="268">
        <f t="array" ref="G27">'Fossil Fuel Subsidy Burden'!H25</f>
        <v>0.3333333333</v>
      </c>
      <c r="H27" s="483">
        <f t="array" ref="H27">'Utility Revenue Potential'!L25</f>
        <v>0.6666666667</v>
      </c>
      <c r="I27" s="483">
        <f t="shared" si="3"/>
        <v>0.7619047619</v>
      </c>
      <c r="J27" s="785" t="str">
        <f t="shared" si="2"/>
        <v>High</v>
      </c>
    </row>
    <row r="28">
      <c r="A28" s="22" t="s">
        <v>386</v>
      </c>
      <c r="B28" s="781">
        <f t="array" ref="B28">'Electricity Generated from Clea'!I26</f>
        <v>0.3333333333</v>
      </c>
      <c r="C28" s="268">
        <f t="array" ref="C28">'CO2 from Transportation'!G26</f>
        <v>0.6666666667</v>
      </c>
      <c r="D28" s="519">
        <f t="array" ref="D28">'Urban Air Quality'!L26</f>
        <v>1</v>
      </c>
      <c r="E28" s="268">
        <f t="array" ref="E28">'Projected Rate of Motorization '!E26</f>
        <v>0.3333333333</v>
      </c>
      <c r="F28" s="783">
        <f t="array" ref="F28">'Fossil Fuel Import Dependence'!J26</f>
        <v>0.6666666667</v>
      </c>
      <c r="G28" s="268">
        <f t="array" ref="G28">'Fossil Fuel Subsidy Burden'!H26</f>
        <v>0.3333333333</v>
      </c>
      <c r="H28" s="483">
        <f t="array" ref="H28">'Utility Revenue Potential'!L26</f>
        <v>0.3333333333</v>
      </c>
      <c r="I28" s="483">
        <f t="shared" si="3"/>
        <v>0.5238095238</v>
      </c>
      <c r="J28" s="784" t="str">
        <f t="shared" si="2"/>
        <v>Medium</v>
      </c>
    </row>
    <row r="29">
      <c r="A29" s="22" t="s">
        <v>280</v>
      </c>
      <c r="B29" s="781">
        <f t="array" ref="B29">'Electricity Generated from Clea'!I27</f>
        <v>1</v>
      </c>
      <c r="C29" s="268">
        <f t="array" ref="C29">'CO2 from Transportation'!G27</f>
        <v>0.6666666667</v>
      </c>
      <c r="D29" s="519">
        <f t="array" ref="D29">'Urban Air Quality'!L27</f>
        <v>0.6666666667</v>
      </c>
      <c r="E29" s="268">
        <f t="array" ref="E29">'Projected Rate of Motorization '!E27</f>
        <v>0.6666666667</v>
      </c>
      <c r="F29" s="783">
        <f t="array" ref="F29">'Fossil Fuel Import Dependence'!J27</f>
        <v>1</v>
      </c>
      <c r="G29" s="268">
        <f t="array" ref="G29">'Fossil Fuel Subsidy Burden'!H27</f>
        <v>0.3333333333</v>
      </c>
      <c r="H29" s="483">
        <f t="array" ref="H29">'Utility Revenue Potential'!L27</f>
        <v>1</v>
      </c>
      <c r="I29" s="483">
        <f t="shared" si="3"/>
        <v>0.7619047619</v>
      </c>
      <c r="J29" s="785" t="str">
        <f t="shared" si="2"/>
        <v>High</v>
      </c>
    </row>
    <row r="30">
      <c r="A30" s="22" t="s">
        <v>392</v>
      </c>
      <c r="B30" s="781">
        <f t="array" ref="B30">'Electricity Generated from Clea'!I28</f>
        <v>1</v>
      </c>
      <c r="C30" s="268">
        <f t="array" ref="C30">'CO2 from Transportation'!G28</f>
        <v>0.3333333333</v>
      </c>
      <c r="D30" s="519">
        <f t="array" ref="D30">'Urban Air Quality'!L28</f>
        <v>0.6666666667</v>
      </c>
      <c r="E30" s="268">
        <f t="array" ref="E30">'Projected Rate of Motorization '!E28</f>
        <v>0.3333333333</v>
      </c>
      <c r="F30" s="783">
        <f t="array" ref="F30">'Fossil Fuel Import Dependence'!J28</f>
        <v>1</v>
      </c>
      <c r="G30" s="268">
        <f t="array" ref="G30">'Fossil Fuel Subsidy Burden'!H28</f>
        <v>0.3333333333</v>
      </c>
      <c r="H30" s="483">
        <f t="array" ref="H30">'Utility Revenue Potential'!L28</f>
        <v>0.3333333333</v>
      </c>
      <c r="I30" s="483">
        <f t="shared" si="3"/>
        <v>0.5714285714</v>
      </c>
      <c r="J30" s="784" t="str">
        <f t="shared" si="2"/>
        <v>Medium</v>
      </c>
    </row>
    <row r="31">
      <c r="A31" s="22" t="s">
        <v>394</v>
      </c>
      <c r="B31" s="781">
        <f t="array" ref="B31">'Electricity Generated from Clea'!I29</f>
        <v>0.6666666667</v>
      </c>
      <c r="C31" s="268">
        <f t="array" ref="C31">'CO2 from Transportation'!G29</f>
        <v>0.6666666667</v>
      </c>
      <c r="D31" s="519">
        <f t="array" ref="D31">'Urban Air Quality'!L29</f>
        <v>1</v>
      </c>
      <c r="E31" s="268">
        <f t="array" ref="E31">'Projected Rate of Motorization '!E29</f>
        <v>0.3333333333</v>
      </c>
      <c r="F31" s="783">
        <f t="array" ref="F31">'Fossil Fuel Import Dependence'!J29</f>
        <v>0.6666666667</v>
      </c>
      <c r="G31" s="268">
        <f t="array" ref="G31">'Fossil Fuel Subsidy Burden'!H29</f>
        <v>0.3333333333</v>
      </c>
      <c r="H31" s="483">
        <f t="array" ref="H31">'Utility Revenue Potential'!L29</f>
        <v>0.3333333333</v>
      </c>
      <c r="I31" s="483">
        <f t="shared" si="3"/>
        <v>0.5714285714</v>
      </c>
      <c r="J31" s="784" t="str">
        <f t="shared" si="2"/>
        <v>Medium</v>
      </c>
    </row>
    <row r="32">
      <c r="A32" s="22" t="s">
        <v>396</v>
      </c>
      <c r="B32" s="781">
        <f t="array" ref="B32">'Electricity Generated from Clea'!I30</f>
        <v>0.3333333333</v>
      </c>
      <c r="C32" s="268">
        <f t="array" ref="C32">'CO2 from Transportation'!G30</f>
        <v>0.6666666667</v>
      </c>
      <c r="D32" s="519">
        <f t="array" ref="D32">'Urban Air Quality'!L30</f>
        <v>0.6666666667</v>
      </c>
      <c r="E32" s="268">
        <f t="array" ref="E32">'Projected Rate of Motorization '!E30</f>
        <v>1</v>
      </c>
      <c r="F32" s="783">
        <f t="array" ref="F32">'Fossil Fuel Import Dependence'!J30</f>
        <v>1</v>
      </c>
      <c r="G32" s="268">
        <f t="array" ref="G32">'Fossil Fuel Subsidy Burden'!H30</f>
        <v>1</v>
      </c>
      <c r="H32" s="483">
        <f t="array" ref="H32">'Utility Revenue Potential'!L30</f>
        <v>1</v>
      </c>
      <c r="I32" s="483">
        <f t="shared" si="3"/>
        <v>0.8095238095</v>
      </c>
      <c r="J32" s="785" t="str">
        <f t="shared" si="2"/>
        <v>High</v>
      </c>
    </row>
    <row r="33">
      <c r="A33" s="22" t="s">
        <v>336</v>
      </c>
      <c r="B33" s="781">
        <f t="array" ref="B33">'Electricity Generated from Clea'!I31</f>
        <v>0.6666666667</v>
      </c>
      <c r="C33" s="268">
        <f t="array" ref="C33">'CO2 from Transportation'!G31</f>
        <v>0.6666666667</v>
      </c>
      <c r="D33" s="519">
        <f t="array" ref="D33">'Urban Air Quality'!L31</f>
        <v>0.6666666667</v>
      </c>
      <c r="E33" s="268">
        <f t="array" ref="E33">'Projected Rate of Motorization '!E31</f>
        <v>0.3333333333</v>
      </c>
      <c r="F33" s="783">
        <f t="array" ref="F33">'Fossil Fuel Import Dependence'!J31</f>
        <v>1</v>
      </c>
      <c r="G33" s="268">
        <f t="array" ref="G33">'Fossil Fuel Subsidy Burden'!H31</f>
        <v>1</v>
      </c>
      <c r="H33" s="483">
        <f t="array" ref="H33">'Utility Revenue Potential'!L31</f>
        <v>0.6666666667</v>
      </c>
      <c r="I33" s="483">
        <f t="shared" si="3"/>
        <v>0.7142857143</v>
      </c>
      <c r="J33" s="785" t="str">
        <f t="shared" si="2"/>
        <v>High</v>
      </c>
    </row>
    <row r="34">
      <c r="A34" s="22" t="s">
        <v>343</v>
      </c>
      <c r="B34" s="781">
        <f t="array" ref="B34">'Electricity Generated from Clea'!I32</f>
        <v>1</v>
      </c>
      <c r="C34" s="268">
        <f t="array" ref="C34">'CO2 from Transportation'!G32</f>
        <v>1</v>
      </c>
      <c r="D34" s="519">
        <f t="array" ref="D34">'Urban Air Quality'!L32</f>
        <v>1</v>
      </c>
      <c r="E34" s="268">
        <f t="array" ref="E34">'Projected Rate of Motorization '!E32</f>
        <v>0.3333333333</v>
      </c>
      <c r="F34" s="783">
        <f t="array" ref="F34">'Fossil Fuel Import Dependence'!J32</f>
        <v>1</v>
      </c>
      <c r="G34" s="268">
        <f t="array" ref="G34">'Fossil Fuel Subsidy Burden'!H32</f>
        <v>0.3333333333</v>
      </c>
      <c r="H34" s="483">
        <f t="array" ref="H34">'Utility Revenue Potential'!L32</f>
        <v>0.6666666667</v>
      </c>
      <c r="I34" s="483">
        <f t="shared" si="3"/>
        <v>0.7619047619</v>
      </c>
      <c r="J34" s="785" t="str">
        <f t="shared" si="2"/>
        <v>High</v>
      </c>
    </row>
    <row r="35">
      <c r="A35" s="22" t="s">
        <v>399</v>
      </c>
      <c r="B35" s="781">
        <f t="array" ref="B35">'Electricity Generated from Clea'!I33</f>
        <v>0.3333333333</v>
      </c>
      <c r="C35" s="268">
        <f t="array" ref="C35">'CO2 from Transportation'!G33</f>
        <v>0.6666666667</v>
      </c>
      <c r="D35" s="519">
        <f t="array" ref="D35">'Urban Air Quality'!L33</f>
        <v>1</v>
      </c>
      <c r="E35" s="268">
        <f t="array" ref="E35">'Projected Rate of Motorization '!E33</f>
        <v>0.3333333333</v>
      </c>
      <c r="F35" s="783">
        <f t="array" ref="F35">'Fossil Fuel Import Dependence'!J33</f>
        <v>1</v>
      </c>
      <c r="G35" s="268">
        <f t="array" ref="G35">'Fossil Fuel Subsidy Burden'!H33</f>
        <v>0.3333333333</v>
      </c>
      <c r="H35" s="483">
        <f t="array" ref="H35">'Utility Revenue Potential'!L33</f>
        <v>1</v>
      </c>
      <c r="I35" s="483">
        <f t="shared" si="3"/>
        <v>0.6666666667</v>
      </c>
      <c r="J35" s="785" t="str">
        <f t="shared" si="2"/>
        <v>Medium</v>
      </c>
    </row>
    <row r="36">
      <c r="A36" s="22" t="s">
        <v>401</v>
      </c>
      <c r="B36" s="781">
        <f t="array" ref="B36">'Electricity Generated from Clea'!I34</f>
        <v>0.3333333333</v>
      </c>
      <c r="C36" s="268">
        <f t="array" ref="C36">'CO2 from Transportation'!G34</f>
        <v>0.6666666667</v>
      </c>
      <c r="D36" s="519">
        <f t="array" ref="D36">'Urban Air Quality'!L34</f>
        <v>0.6666666667</v>
      </c>
      <c r="E36" s="268">
        <f t="array" ref="E36">'Projected Rate of Motorization '!E34</f>
        <v>0.3333333333</v>
      </c>
      <c r="F36" s="783">
        <f t="array" ref="F36">'Fossil Fuel Import Dependence'!J34</f>
        <v>0.6666666667</v>
      </c>
      <c r="G36" s="268">
        <f t="array" ref="G36">'Fossil Fuel Subsidy Burden'!H34</f>
        <v>0.3333333333</v>
      </c>
      <c r="H36" s="483">
        <f t="array" ref="H36">'Utility Revenue Potential'!L34</f>
        <v>0.6666666667</v>
      </c>
      <c r="I36" s="483">
        <f t="shared" si="3"/>
        <v>0.5238095238</v>
      </c>
      <c r="J36" s="784" t="str">
        <f t="shared" si="2"/>
        <v>Medium</v>
      </c>
    </row>
    <row r="37">
      <c r="A37" s="22" t="s">
        <v>354</v>
      </c>
      <c r="B37" s="781">
        <f t="array" ref="B37">'Electricity Generated from Clea'!I35</f>
        <v>0.3333333333</v>
      </c>
      <c r="C37" s="268">
        <f t="array" ref="C37">'CO2 from Transportation'!G35</f>
        <v>0.3333333333</v>
      </c>
      <c r="D37" s="519">
        <f t="array" ref="D37">'Urban Air Quality'!L35</f>
        <v>0.6666666667</v>
      </c>
      <c r="E37" s="268">
        <f t="array" ref="E37">'Projected Rate of Motorization '!E35</f>
        <v>1</v>
      </c>
      <c r="F37" s="783">
        <f t="array" ref="F37">'Fossil Fuel Import Dependence'!J35</f>
        <v>1</v>
      </c>
      <c r="G37" s="268">
        <f t="array" ref="G37">'Fossil Fuel Subsidy Burden'!H35</f>
        <v>0.3333333333</v>
      </c>
      <c r="H37" s="483">
        <f t="array" ref="H37">'Utility Revenue Potential'!L35</f>
        <v>0.6666666667</v>
      </c>
      <c r="I37" s="483">
        <f t="shared" si="3"/>
        <v>0.619047619</v>
      </c>
      <c r="J37" s="784" t="str">
        <f t="shared" si="2"/>
        <v>Medium</v>
      </c>
    </row>
    <row r="38">
      <c r="A38" s="22" t="s">
        <v>290</v>
      </c>
      <c r="B38" s="781">
        <f t="array" ref="B38">'Electricity Generated from Clea'!I36</f>
        <v>0.3333333333</v>
      </c>
      <c r="C38" s="268">
        <f t="array" ref="C38">'CO2 from Transportation'!G36</f>
        <v>0.3333333333</v>
      </c>
      <c r="D38" s="519">
        <f t="array" ref="D38">'Urban Air Quality'!L36</f>
        <v>0.6666666667</v>
      </c>
      <c r="E38" s="268">
        <f t="array" ref="E38">'Projected Rate of Motorization '!E36</f>
        <v>1</v>
      </c>
      <c r="F38" s="783">
        <f t="array" ref="F38">'Fossil Fuel Import Dependence'!J36</f>
        <v>1</v>
      </c>
      <c r="G38" s="268">
        <f t="array" ref="G38">'Fossil Fuel Subsidy Burden'!H36</f>
        <v>0.3333333333</v>
      </c>
      <c r="H38" s="483">
        <f t="array" ref="H38">'Utility Revenue Potential'!L36</f>
        <v>1</v>
      </c>
      <c r="I38" s="483">
        <f t="shared" si="3"/>
        <v>0.6666666667</v>
      </c>
      <c r="J38" s="784" t="str">
        <f t="shared" si="2"/>
        <v>Medium</v>
      </c>
    </row>
    <row r="39">
      <c r="A39" s="22" t="s">
        <v>291</v>
      </c>
      <c r="B39" s="781">
        <f t="array" ref="B39">'Electricity Generated from Clea'!I37</f>
        <v>1</v>
      </c>
      <c r="C39" s="268">
        <f t="array" ref="C39">'CO2 from Transportation'!G37</f>
        <v>0.6666666667</v>
      </c>
      <c r="D39" s="519">
        <f t="array" ref="D39">'Urban Air Quality'!L37</f>
        <v>1</v>
      </c>
      <c r="E39" s="268">
        <f t="array" ref="E39">'Projected Rate of Motorization '!E37</f>
        <v>0.3333333333</v>
      </c>
      <c r="F39" s="783">
        <f t="array" ref="F39">'Fossil Fuel Import Dependence'!J37</f>
        <v>1</v>
      </c>
      <c r="G39" s="268">
        <f t="array" ref="G39">'Fossil Fuel Subsidy Burden'!H37</f>
        <v>0.3333333333</v>
      </c>
      <c r="H39" s="483">
        <f t="array" ref="H39">'Utility Revenue Potential'!L37</f>
        <v>0.6666666667</v>
      </c>
      <c r="I39" s="483">
        <f t="shared" si="3"/>
        <v>0.7142857143</v>
      </c>
      <c r="J39" s="785" t="str">
        <f t="shared" si="2"/>
        <v>High</v>
      </c>
    </row>
    <row r="40">
      <c r="A40" s="22" t="s">
        <v>296</v>
      </c>
      <c r="B40" s="781">
        <f t="array" ref="B40">'Electricity Generated from Clea'!I38</f>
        <v>1</v>
      </c>
      <c r="C40" s="268">
        <f t="array" ref="C40">'CO2 from Transportation'!G38</f>
        <v>0.6666666667</v>
      </c>
      <c r="D40" s="519">
        <f t="array" ref="D40">'Urban Air Quality'!L38</f>
        <v>0.6666666667</v>
      </c>
      <c r="E40" s="268">
        <f t="array" ref="E40">'Projected Rate of Motorization '!E38</f>
        <v>1</v>
      </c>
      <c r="F40" s="783">
        <f t="array" ref="F40">'Fossil Fuel Import Dependence'!J38</f>
        <v>0.6666666667</v>
      </c>
      <c r="G40" s="268">
        <f t="array" ref="G40">'Fossil Fuel Subsidy Burden'!H38</f>
        <v>0.3333333333</v>
      </c>
      <c r="H40" s="483">
        <f t="array" ref="H40">'Utility Revenue Potential'!L38</f>
        <v>1</v>
      </c>
      <c r="I40" s="483">
        <f t="shared" si="3"/>
        <v>0.7619047619</v>
      </c>
      <c r="J40" s="785" t="str">
        <f t="shared" si="2"/>
        <v>High</v>
      </c>
    </row>
    <row r="41">
      <c r="A41" s="22" t="s">
        <v>407</v>
      </c>
      <c r="B41" s="781">
        <f t="array" ref="B41">'Electricity Generated from Clea'!I39</f>
        <v>0.3333333333</v>
      </c>
      <c r="C41" s="268">
        <f t="array" ref="C41">'CO2 from Transportation'!G39</f>
        <v>0.6666666667</v>
      </c>
      <c r="D41" s="519">
        <f t="array" ref="D41">'Urban Air Quality'!L39</f>
        <v>1</v>
      </c>
      <c r="E41" s="268">
        <f t="array" ref="E41">'Projected Rate of Motorization '!E39</f>
        <v>0.3333333333</v>
      </c>
      <c r="F41" s="783">
        <f t="array" ref="F41">'Fossil Fuel Import Dependence'!J39</f>
        <v>0.3333333333</v>
      </c>
      <c r="G41" s="268">
        <f t="array" ref="G41">'Fossil Fuel Subsidy Burden'!H39</f>
        <v>0.3333333333</v>
      </c>
      <c r="H41" s="483">
        <f t="array" ref="H41">'Utility Revenue Potential'!L39</f>
        <v>0.6666666667</v>
      </c>
      <c r="I41" s="483">
        <f t="shared" si="3"/>
        <v>0.5238095238</v>
      </c>
      <c r="J41" s="784" t="str">
        <f t="shared" si="2"/>
        <v>Medium</v>
      </c>
    </row>
    <row r="42">
      <c r="A42" s="22" t="s">
        <v>299</v>
      </c>
      <c r="B42" s="781">
        <f t="array" ref="B42">'Electricity Generated from Clea'!I40</f>
        <v>0.3333333333</v>
      </c>
      <c r="C42" s="268">
        <f t="array" ref="C42">'CO2 from Transportation'!G40</f>
        <v>0.6666666667</v>
      </c>
      <c r="D42" s="519">
        <f t="array" ref="D42">'Urban Air Quality'!L40</f>
        <v>1</v>
      </c>
      <c r="E42" s="268">
        <f t="array" ref="E42">'Projected Rate of Motorization '!E40</f>
        <v>0.6666666667</v>
      </c>
      <c r="F42" s="783">
        <f t="array" ref="F42">'Fossil Fuel Import Dependence'!J40</f>
        <v>1</v>
      </c>
      <c r="G42" s="268">
        <f t="array" ref="G42">'Fossil Fuel Subsidy Burden'!H40</f>
        <v>1</v>
      </c>
      <c r="H42" s="483">
        <f t="array" ref="H42">'Utility Revenue Potential'!L40</f>
        <v>1</v>
      </c>
      <c r="I42" s="483">
        <f t="shared" si="3"/>
        <v>0.8095238095</v>
      </c>
      <c r="J42" s="785" t="str">
        <f t="shared" si="2"/>
        <v>High</v>
      </c>
    </row>
    <row r="43">
      <c r="A43" s="22" t="s">
        <v>302</v>
      </c>
      <c r="B43" s="781">
        <f t="array" ref="B43">'Electricity Generated from Clea'!I41</f>
        <v>0.6666666667</v>
      </c>
      <c r="C43" s="268">
        <f t="array" ref="C43">'CO2 from Transportation'!G41</f>
        <v>0.6666666667</v>
      </c>
      <c r="D43" s="519">
        <f t="array" ref="D43">'Urban Air Quality'!L41</f>
        <v>1</v>
      </c>
      <c r="E43" s="268">
        <f t="array" ref="E43">'Projected Rate of Motorization '!E41</f>
        <v>0.6666666667</v>
      </c>
      <c r="F43" s="783">
        <f t="array" ref="F43">'Fossil Fuel Import Dependence'!J41</f>
        <v>1</v>
      </c>
      <c r="G43" s="268">
        <f t="array" ref="G43">'Fossil Fuel Subsidy Burden'!H41</f>
        <v>0.3333333333</v>
      </c>
      <c r="H43" s="483">
        <f t="array" ref="H43">'Utility Revenue Potential'!L41</f>
        <v>0.3333333333</v>
      </c>
      <c r="I43" s="483">
        <f t="shared" si="3"/>
        <v>0.6666666667</v>
      </c>
      <c r="J43" s="784" t="str">
        <f t="shared" si="2"/>
        <v>Medium</v>
      </c>
    </row>
    <row r="44">
      <c r="A44" s="22" t="s">
        <v>410</v>
      </c>
      <c r="B44" s="781">
        <f t="array" ref="B44">'Electricity Generated from Clea'!I42</f>
        <v>0.3333333333</v>
      </c>
      <c r="C44" s="268">
        <f t="array" ref="C44">'CO2 from Transportation'!G42</f>
        <v>0.3333333333</v>
      </c>
      <c r="D44" s="519">
        <f t="array" ref="D44">'Urban Air Quality'!L42</f>
        <v>1</v>
      </c>
      <c r="E44" s="268">
        <f t="array" ref="E44">'Projected Rate of Motorization '!E42</f>
        <v>0.6666666667</v>
      </c>
      <c r="F44" s="783">
        <f t="array" ref="F44">'Fossil Fuel Import Dependence'!J42</f>
        <v>0.6666666667</v>
      </c>
      <c r="G44" s="268">
        <f t="array" ref="G44">'Fossil Fuel Subsidy Burden'!H42</f>
        <v>0.3333333333</v>
      </c>
      <c r="H44" s="483">
        <f t="array" ref="H44">'Utility Revenue Potential'!L42</f>
        <v>0.3333333333</v>
      </c>
      <c r="I44" s="483">
        <f t="shared" si="3"/>
        <v>0.5238095238</v>
      </c>
      <c r="J44" s="784" t="str">
        <f t="shared" si="2"/>
        <v>Medium</v>
      </c>
    </row>
    <row r="45">
      <c r="A45" s="22" t="s">
        <v>411</v>
      </c>
      <c r="B45" s="781">
        <f t="array" ref="B45">'Electricity Generated from Clea'!I43</f>
        <v>0.3333333333</v>
      </c>
      <c r="C45" s="268">
        <f t="array" ref="C45">'CO2 from Transportation'!G43</f>
        <v>0.6666666667</v>
      </c>
      <c r="D45" s="519">
        <f t="array" ref="D45">'Urban Air Quality'!L43</f>
        <v>1</v>
      </c>
      <c r="E45" s="268">
        <f t="array" ref="E45">'Projected Rate of Motorization '!E43</f>
        <v>0.6666666667</v>
      </c>
      <c r="F45" s="783">
        <f t="array" ref="F45">'Fossil Fuel Import Dependence'!J43</f>
        <v>1</v>
      </c>
      <c r="G45" s="268">
        <f t="array" ref="G45">'Fossil Fuel Subsidy Burden'!H43</f>
        <v>0.3333333333</v>
      </c>
      <c r="H45" s="483">
        <f t="array" ref="H45">'Utility Revenue Potential'!L43</f>
        <v>1</v>
      </c>
      <c r="I45" s="483">
        <f t="shared" si="3"/>
        <v>0.7142857143</v>
      </c>
      <c r="J45" s="785" t="str">
        <f t="shared" si="2"/>
        <v>High</v>
      </c>
    </row>
    <row r="46">
      <c r="A46" s="22" t="s">
        <v>309</v>
      </c>
      <c r="B46" s="781">
        <f t="array" ref="B46">'Electricity Generated from Clea'!I44</f>
        <v>0.3333333333</v>
      </c>
      <c r="C46" s="268">
        <f t="array" ref="C46">'CO2 from Transportation'!G44</f>
        <v>0.3333333333</v>
      </c>
      <c r="D46" s="519">
        <f t="array" ref="D46">'Urban Air Quality'!L44</f>
        <v>0.6666666667</v>
      </c>
      <c r="E46" s="268">
        <f t="array" ref="E46">'Projected Rate of Motorization '!E44</f>
        <v>1</v>
      </c>
      <c r="F46" s="783">
        <f t="array" ref="F46">'Fossil Fuel Import Dependence'!J44</f>
        <v>0.3333333333</v>
      </c>
      <c r="G46" s="268">
        <f t="array" ref="G46">'Fossil Fuel Subsidy Burden'!H44</f>
        <v>0.3333333333</v>
      </c>
      <c r="H46" s="483">
        <f t="array" ref="H46">'Utility Revenue Potential'!L44</f>
        <v>0.3333333333</v>
      </c>
      <c r="I46" s="483">
        <f t="shared" si="3"/>
        <v>0.4761904762</v>
      </c>
      <c r="J46" s="782" t="str">
        <f t="shared" si="2"/>
        <v>Low</v>
      </c>
    </row>
    <row r="47">
      <c r="A47" s="22" t="s">
        <v>412</v>
      </c>
      <c r="B47" s="781">
        <f t="array" ref="B47">'Electricity Generated from Clea'!I45</f>
        <v>1</v>
      </c>
      <c r="C47" s="268">
        <f t="array" ref="C47">'CO2 from Transportation'!G45</f>
        <v>0.6666666667</v>
      </c>
      <c r="D47" s="519">
        <f t="array" ref="D47">'Urban Air Quality'!L45</f>
        <v>1</v>
      </c>
      <c r="E47" s="268">
        <f t="array" ref="E47">'Projected Rate of Motorization '!E45</f>
        <v>0.3333333333</v>
      </c>
      <c r="F47" s="783">
        <f t="array" ref="F47">'Fossil Fuel Import Dependence'!J45</f>
        <v>0.6666666667</v>
      </c>
      <c r="G47" s="268">
        <f t="array" ref="G47">'Fossil Fuel Subsidy Burden'!H45</f>
        <v>0.3333333333</v>
      </c>
      <c r="H47" s="483">
        <f t="array" ref="H47">'Utility Revenue Potential'!L45</f>
        <v>0.6666666667</v>
      </c>
      <c r="I47" s="483">
        <f t="shared" si="3"/>
        <v>0.6666666667</v>
      </c>
      <c r="J47" s="784" t="str">
        <f t="shared" si="2"/>
        <v>Medium</v>
      </c>
    </row>
    <row r="48">
      <c r="A48" s="22" t="s">
        <v>415</v>
      </c>
      <c r="B48" s="781">
        <f t="array" ref="B48">'Electricity Generated from Clea'!I46</f>
        <v>0.3333333333</v>
      </c>
      <c r="C48" s="268">
        <f t="array" ref="C48">'CO2 from Transportation'!G46</f>
        <v>0.3333333333</v>
      </c>
      <c r="D48" s="519">
        <f t="array" ref="D48">'Urban Air Quality'!L46</f>
        <v>0.6666666667</v>
      </c>
      <c r="E48" s="268">
        <f t="array" ref="E48">'Projected Rate of Motorization '!E46</f>
        <v>0.3333333333</v>
      </c>
      <c r="F48" s="783">
        <f t="array" ref="F48">'Fossil Fuel Import Dependence'!J46</f>
        <v>0.6666666667</v>
      </c>
      <c r="G48" s="268">
        <f t="array" ref="G48">'Fossil Fuel Subsidy Burden'!H46</f>
        <v>0.3333333333</v>
      </c>
      <c r="H48" s="483">
        <f t="array" ref="H48">'Utility Revenue Potential'!L46</f>
        <v>0.3333333333</v>
      </c>
      <c r="I48" s="483">
        <f t="shared" si="3"/>
        <v>0.4285714286</v>
      </c>
      <c r="J48" s="782" t="str">
        <f t="shared" si="2"/>
        <v>Low</v>
      </c>
    </row>
    <row r="49">
      <c r="A49" s="22" t="s">
        <v>313</v>
      </c>
      <c r="B49" s="781">
        <f t="array" ref="B49">'Electricity Generated from Clea'!I47</f>
        <v>0.3333333333</v>
      </c>
      <c r="C49" s="268">
        <f t="array" ref="C49">'CO2 from Transportation'!G47</f>
        <v>0.3333333333</v>
      </c>
      <c r="D49" s="519">
        <f t="array" ref="D49">'Urban Air Quality'!L47</f>
        <v>0.6666666667</v>
      </c>
      <c r="E49" s="268">
        <f t="array" ref="E49">'Projected Rate of Motorization '!E47</f>
        <v>1</v>
      </c>
      <c r="F49" s="783">
        <f t="array" ref="F49">'Fossil Fuel Import Dependence'!J47</f>
        <v>1</v>
      </c>
      <c r="G49" s="268">
        <f t="array" ref="G49">'Fossil Fuel Subsidy Burden'!H47</f>
        <v>0.3333333333</v>
      </c>
      <c r="H49" s="483">
        <f t="array" ref="H49">'Utility Revenue Potential'!L47</f>
        <v>1</v>
      </c>
      <c r="I49" s="483">
        <f t="shared" si="3"/>
        <v>0.6666666667</v>
      </c>
      <c r="J49" s="784" t="str">
        <f t="shared" si="2"/>
        <v>Medium</v>
      </c>
    </row>
    <row r="50">
      <c r="A50" s="22" t="s">
        <v>416</v>
      </c>
      <c r="B50" s="781">
        <f t="array" ref="B50">'Electricity Generated from Clea'!I48</f>
        <v>0.3333333333</v>
      </c>
      <c r="C50" s="268">
        <f t="array" ref="C50">'CO2 from Transportation'!G48</f>
        <v>0.6666666667</v>
      </c>
      <c r="D50" s="519">
        <f t="array" ref="D50">'Urban Air Quality'!L48</f>
        <v>1</v>
      </c>
      <c r="E50" s="758" t="str">
        <f t="array" ref="E50">'Projected Rate of Motorization '!E48</f>
        <v>Not Found</v>
      </c>
      <c r="F50" s="783">
        <f t="array" ref="F50">'Fossil Fuel Import Dependence'!J48</f>
        <v>0.6666666667</v>
      </c>
      <c r="G50" s="268">
        <f t="array" ref="G50">'Fossil Fuel Subsidy Burden'!H48</f>
        <v>0.3333333333</v>
      </c>
      <c r="H50" s="483">
        <f t="array" ref="H50">'Utility Revenue Potential'!L48</f>
        <v>1</v>
      </c>
      <c r="I50" s="268">
        <f>average(B50:D50,G50:H50)</f>
        <v>0.6666666667</v>
      </c>
      <c r="J50" s="784" t="str">
        <f t="shared" si="2"/>
        <v>Medium</v>
      </c>
    </row>
    <row r="51">
      <c r="A51" s="22" t="s">
        <v>417</v>
      </c>
      <c r="B51" s="781">
        <f t="array" ref="B51">'Electricity Generated from Clea'!I49</f>
        <v>0.6666666667</v>
      </c>
      <c r="C51" s="268">
        <f t="array" ref="C51">'CO2 from Transportation'!G49</f>
        <v>0.6666666667</v>
      </c>
      <c r="D51" s="519">
        <f t="array" ref="D51">'Urban Air Quality'!L49</f>
        <v>1</v>
      </c>
      <c r="E51" s="268">
        <f t="array" ref="E51">'Projected Rate of Motorization '!E49</f>
        <v>0.3333333333</v>
      </c>
      <c r="F51" s="783">
        <f t="array" ref="F51">'Fossil Fuel Import Dependence'!J49</f>
        <v>1</v>
      </c>
      <c r="G51" s="268">
        <f t="array" ref="G51">'Fossil Fuel Subsidy Burden'!H49</f>
        <v>1</v>
      </c>
      <c r="H51" s="483">
        <f t="array" ref="H51">'Utility Revenue Potential'!L49</f>
        <v>1</v>
      </c>
      <c r="I51" s="483">
        <f t="shared" ref="I51:I57" si="4">AVERAGE(B51:H51)</f>
        <v>0.8095238095</v>
      </c>
      <c r="J51" s="785" t="str">
        <f t="shared" si="2"/>
        <v>High</v>
      </c>
    </row>
    <row r="52">
      <c r="A52" s="22" t="s">
        <v>418</v>
      </c>
      <c r="B52" s="781">
        <f t="array" ref="B52">'Electricity Generated from Clea'!I50</f>
        <v>0.6666666667</v>
      </c>
      <c r="C52" s="268">
        <f t="array" ref="C52">'CO2 from Transportation'!G50</f>
        <v>0.6666666667</v>
      </c>
      <c r="D52" s="519">
        <f t="array" ref="D52">'Urban Air Quality'!L50</f>
        <v>0.6666666667</v>
      </c>
      <c r="E52" s="268">
        <f t="array" ref="E52">'Projected Rate of Motorization '!E50</f>
        <v>0.6666666667</v>
      </c>
      <c r="F52" s="783">
        <f t="array" ref="F52">'Fossil Fuel Import Dependence'!J50</f>
        <v>1</v>
      </c>
      <c r="G52" s="268">
        <f t="array" ref="G52">'Fossil Fuel Subsidy Burden'!H50</f>
        <v>0.3333333333</v>
      </c>
      <c r="H52" s="483">
        <f t="array" ref="H52">'Utility Revenue Potential'!L50</f>
        <v>1</v>
      </c>
      <c r="I52" s="483">
        <f t="shared" si="4"/>
        <v>0.7142857143</v>
      </c>
      <c r="J52" s="785" t="str">
        <f t="shared" si="2"/>
        <v>High</v>
      </c>
    </row>
    <row r="53">
      <c r="A53" s="22" t="s">
        <v>398</v>
      </c>
      <c r="B53" s="781">
        <f t="array" ref="B53">'Electricity Generated from Clea'!I51</f>
        <v>0.3333333333</v>
      </c>
      <c r="C53" s="268">
        <f t="array" ref="C53">'CO2 from Transportation'!G51</f>
        <v>1</v>
      </c>
      <c r="D53" s="519">
        <f t="array" ref="D53">'Urban Air Quality'!L51</f>
        <v>1</v>
      </c>
      <c r="E53" s="268">
        <f t="array" ref="E53">'Projected Rate of Motorization '!E51</f>
        <v>0.3333333333</v>
      </c>
      <c r="F53" s="783">
        <f t="array" ref="F53">'Fossil Fuel Import Dependence'!J51</f>
        <v>1</v>
      </c>
      <c r="G53" s="268">
        <f t="array" ref="G53">'Fossil Fuel Subsidy Burden'!H51</f>
        <v>0.3333333333</v>
      </c>
      <c r="H53" s="483">
        <f t="array" ref="H53">'Utility Revenue Potential'!L51</f>
        <v>0.6666666667</v>
      </c>
      <c r="I53" s="483">
        <f t="shared" si="4"/>
        <v>0.6666666667</v>
      </c>
      <c r="J53" s="784" t="str">
        <f t="shared" si="2"/>
        <v>Medium</v>
      </c>
    </row>
    <row r="54">
      <c r="A54" s="22" t="s">
        <v>318</v>
      </c>
      <c r="B54" s="781">
        <f t="array" ref="B54">'Electricity Generated from Clea'!I52</f>
        <v>0.3333333333</v>
      </c>
      <c r="C54" s="268">
        <f t="array" ref="C54">'CO2 from Transportation'!G52</f>
        <v>0.3333333333</v>
      </c>
      <c r="D54" s="519">
        <f t="array" ref="D54">'Urban Air Quality'!L52</f>
        <v>0.6666666667</v>
      </c>
      <c r="E54" s="268">
        <f t="array" ref="E54">'Projected Rate of Motorization '!E52</f>
        <v>0.6666666667</v>
      </c>
      <c r="F54" s="783">
        <f t="array" ref="F54">'Fossil Fuel Import Dependence'!J52</f>
        <v>1</v>
      </c>
      <c r="G54" s="268">
        <f t="array" ref="G54">'Fossil Fuel Subsidy Burden'!H52</f>
        <v>1</v>
      </c>
      <c r="H54" s="483">
        <f t="array" ref="H54">'Utility Revenue Potential'!L52</f>
        <v>1</v>
      </c>
      <c r="I54" s="483">
        <f t="shared" si="4"/>
        <v>0.7142857143</v>
      </c>
      <c r="J54" s="785" t="str">
        <f t="shared" si="2"/>
        <v>High</v>
      </c>
    </row>
    <row r="55">
      <c r="A55" s="22" t="s">
        <v>405</v>
      </c>
      <c r="B55" s="781">
        <f t="array" ref="B55">'Electricity Generated from Clea'!I53</f>
        <v>1</v>
      </c>
      <c r="C55" s="268">
        <f t="array" ref="C55">'CO2 from Transportation'!G53</f>
        <v>0.6666666667</v>
      </c>
      <c r="D55" s="519">
        <f t="array" ref="D55">'Urban Air Quality'!L53</f>
        <v>0.6666666667</v>
      </c>
      <c r="E55" s="268">
        <f t="array" ref="E55">'Projected Rate of Motorization '!E53</f>
        <v>0.6666666667</v>
      </c>
      <c r="F55" s="783">
        <f t="array" ref="F55">'Fossil Fuel Import Dependence'!J53</f>
        <v>1</v>
      </c>
      <c r="G55" s="268">
        <f t="array" ref="G55">'Fossil Fuel Subsidy Burden'!H53</f>
        <v>0.3333333333</v>
      </c>
      <c r="H55" s="483">
        <f t="array" ref="H55">'Utility Revenue Potential'!L53</f>
        <v>1</v>
      </c>
      <c r="I55" s="483">
        <f t="shared" si="4"/>
        <v>0.7619047619</v>
      </c>
      <c r="J55" s="785" t="str">
        <f t="shared" si="2"/>
        <v>High</v>
      </c>
    </row>
    <row r="56">
      <c r="A56" s="22" t="s">
        <v>408</v>
      </c>
      <c r="B56" s="781">
        <f t="array" ref="B56">'Electricity Generated from Clea'!I54</f>
        <v>1</v>
      </c>
      <c r="C56" s="268">
        <f t="array" ref="C56">'CO2 from Transportation'!G54</f>
        <v>0.6666666667</v>
      </c>
      <c r="D56" s="519">
        <f t="array" ref="D56">'Urban Air Quality'!L54</f>
        <v>1</v>
      </c>
      <c r="E56" s="268">
        <f t="array" ref="E56">'Projected Rate of Motorization '!E54</f>
        <v>0.3333333333</v>
      </c>
      <c r="F56" s="783">
        <f t="array" ref="F56">'Fossil Fuel Import Dependence'!J54</f>
        <v>1</v>
      </c>
      <c r="G56" s="268">
        <f t="array" ref="G56">'Fossil Fuel Subsidy Burden'!H54</f>
        <v>0.3333333333</v>
      </c>
      <c r="H56" s="483">
        <f t="array" ref="H56">'Utility Revenue Potential'!L54</f>
        <v>0.3333333333</v>
      </c>
      <c r="I56" s="483">
        <f t="shared" si="4"/>
        <v>0.6666666667</v>
      </c>
      <c r="J56" s="784" t="str">
        <f t="shared" si="2"/>
        <v>Medium</v>
      </c>
    </row>
    <row r="57">
      <c r="A57" s="244" t="s">
        <v>320</v>
      </c>
      <c r="B57" s="807">
        <f t="array" ref="B57">'Electricity Generated from Clea'!I55</f>
        <v>0.6666666667</v>
      </c>
      <c r="C57" s="481">
        <f t="array" ref="C57">'CO2 from Transportation'!G55</f>
        <v>0.3333333333</v>
      </c>
      <c r="D57" s="568">
        <f t="array" ref="D57">'Urban Air Quality'!L55</f>
        <v>1</v>
      </c>
      <c r="E57" s="481">
        <f t="array" ref="E57">'Projected Rate of Motorization '!E55</f>
        <v>0.3333333333</v>
      </c>
      <c r="F57" s="808">
        <f t="array" ref="F57">'Fossil Fuel Import Dependence'!J55</f>
        <v>0.6666666667</v>
      </c>
      <c r="G57" s="481">
        <f t="array" ref="G57">'Fossil Fuel Subsidy Burden'!H55</f>
        <v>0.3333333333</v>
      </c>
      <c r="H57" s="643">
        <f t="array" ref="H57">'Utility Revenue Potential'!L55</f>
        <v>0.6666666667</v>
      </c>
      <c r="I57" s="643">
        <f t="shared" si="4"/>
        <v>0.5714285714</v>
      </c>
      <c r="J57" s="809" t="str">
        <f t="shared" si="2"/>
        <v>Medium</v>
      </c>
    </row>
    <row r="58">
      <c r="A58" s="12"/>
      <c r="B58" s="483"/>
      <c r="C58" s="483"/>
      <c r="D58" s="483"/>
      <c r="E58" s="268"/>
      <c r="F58" s="268"/>
      <c r="G58" s="268"/>
      <c r="H58" s="268"/>
    </row>
    <row r="59">
      <c r="E59" s="268"/>
      <c r="F59" s="268"/>
      <c r="G59" s="268"/>
      <c r="H59" s="268"/>
    </row>
    <row r="60">
      <c r="A60" s="22"/>
      <c r="B60" s="573"/>
      <c r="E60" s="268"/>
      <c r="F60" s="268"/>
      <c r="G60" s="268"/>
      <c r="H60" s="268"/>
    </row>
    <row r="61">
      <c r="A61" s="22"/>
      <c r="B61" s="573"/>
      <c r="E61" s="268"/>
      <c r="F61" s="268"/>
      <c r="G61" s="268"/>
      <c r="H61" s="268"/>
    </row>
    <row r="62">
      <c r="A62" s="22"/>
      <c r="B62" s="810"/>
      <c r="C62" s="619"/>
      <c r="D62" s="619"/>
      <c r="E62" s="811"/>
      <c r="F62" s="268"/>
      <c r="G62" s="812"/>
      <c r="H62" s="268"/>
    </row>
    <row r="63">
      <c r="A63" s="22"/>
      <c r="B63" s="515"/>
      <c r="C63" s="707"/>
      <c r="D63" s="813"/>
      <c r="E63" s="265"/>
      <c r="F63" s="268"/>
      <c r="G63" s="268"/>
      <c r="H63" s="268"/>
    </row>
    <row r="64">
      <c r="A64" s="22"/>
      <c r="D64" s="813"/>
      <c r="E64" s="265"/>
      <c r="F64" s="268"/>
      <c r="G64" s="268"/>
      <c r="H64" s="268"/>
    </row>
    <row r="65">
      <c r="A65" s="22"/>
      <c r="B65" s="813"/>
      <c r="C65" s="707"/>
      <c r="D65" s="813"/>
      <c r="E65" s="265"/>
      <c r="F65" s="268"/>
      <c r="G65" s="268"/>
      <c r="H65" s="268"/>
    </row>
    <row r="66">
      <c r="A66" s="22"/>
      <c r="B66" s="515"/>
      <c r="C66" s="707"/>
      <c r="D66" s="813"/>
      <c r="E66" s="265"/>
      <c r="F66" s="268"/>
      <c r="G66" s="268"/>
      <c r="H66" s="268"/>
    </row>
    <row r="67">
      <c r="A67" s="22"/>
      <c r="B67" s="515"/>
      <c r="C67" s="707"/>
      <c r="D67" s="813"/>
      <c r="E67" s="265"/>
      <c r="F67" s="268"/>
      <c r="G67" s="268"/>
      <c r="H67" s="268"/>
    </row>
    <row r="68">
      <c r="A68" s="22"/>
      <c r="D68" s="813"/>
      <c r="E68" s="265"/>
      <c r="F68" s="268"/>
      <c r="G68" s="268"/>
      <c r="H68" s="268"/>
    </row>
    <row r="69">
      <c r="A69" s="22"/>
      <c r="D69" s="813"/>
      <c r="E69" s="814"/>
      <c r="F69" s="268"/>
      <c r="G69" s="268"/>
      <c r="H69" s="268"/>
    </row>
    <row r="70">
      <c r="A70" s="22"/>
      <c r="B70" s="573"/>
      <c r="E70" s="268"/>
      <c r="F70" s="268"/>
      <c r="G70" s="268"/>
      <c r="H70" s="268"/>
    </row>
    <row r="71">
      <c r="A71" s="22"/>
      <c r="B71" s="573"/>
      <c r="E71" s="268"/>
      <c r="F71" s="268"/>
      <c r="G71" s="268"/>
      <c r="H71" s="268"/>
    </row>
    <row r="72">
      <c r="A72" s="22"/>
      <c r="B72" s="573"/>
      <c r="E72" s="268"/>
      <c r="F72" s="268"/>
      <c r="G72" s="268"/>
      <c r="H72" s="268"/>
    </row>
    <row r="73">
      <c r="A73" s="22"/>
      <c r="B73" s="573"/>
      <c r="E73" s="268"/>
      <c r="F73" s="268"/>
      <c r="G73" s="268"/>
      <c r="H73" s="268"/>
    </row>
    <row r="74">
      <c r="A74" s="22"/>
      <c r="B74" s="573"/>
      <c r="E74" s="268"/>
      <c r="F74" s="268"/>
      <c r="G74" s="268"/>
      <c r="H74" s="268"/>
    </row>
    <row r="75">
      <c r="A75" s="22"/>
      <c r="B75" s="573"/>
      <c r="E75" s="268"/>
      <c r="F75" s="268"/>
      <c r="G75" s="268"/>
      <c r="H75" s="268"/>
    </row>
    <row r="76">
      <c r="A76" s="22"/>
      <c r="B76" s="573"/>
      <c r="E76" s="268"/>
      <c r="F76" s="268"/>
      <c r="G76" s="268"/>
      <c r="H76" s="268"/>
    </row>
    <row r="77">
      <c r="A77" s="22"/>
      <c r="B77" s="573"/>
      <c r="E77" s="268"/>
      <c r="F77" s="268"/>
      <c r="G77" s="268"/>
      <c r="H77" s="268"/>
    </row>
    <row r="78">
      <c r="A78" s="22"/>
      <c r="B78" s="573"/>
      <c r="E78" s="268"/>
      <c r="F78" s="268"/>
      <c r="G78" s="268"/>
      <c r="H78" s="268"/>
    </row>
    <row r="79">
      <c r="A79" s="22"/>
      <c r="B79" s="573"/>
      <c r="E79" s="268"/>
      <c r="F79" s="268"/>
      <c r="G79" s="268"/>
      <c r="H79" s="268"/>
    </row>
    <row r="80">
      <c r="A80" s="22"/>
      <c r="B80" s="573"/>
      <c r="E80" s="268"/>
      <c r="F80" s="268"/>
      <c r="G80" s="268"/>
      <c r="H80" s="268"/>
    </row>
    <row r="81">
      <c r="A81" s="22"/>
      <c r="B81" s="573"/>
      <c r="E81" s="268"/>
      <c r="F81" s="268"/>
      <c r="G81" s="268"/>
      <c r="H81" s="268"/>
    </row>
    <row r="82">
      <c r="A82" s="22"/>
      <c r="B82" s="573"/>
      <c r="E82" s="268"/>
      <c r="F82" s="268"/>
      <c r="G82" s="268"/>
      <c r="H82" s="268"/>
    </row>
    <row r="83">
      <c r="A83" s="22"/>
      <c r="B83" s="573"/>
      <c r="E83" s="268"/>
      <c r="F83" s="268"/>
      <c r="G83" s="268"/>
      <c r="H83" s="268"/>
    </row>
    <row r="84">
      <c r="A84" s="22"/>
      <c r="B84" s="573"/>
      <c r="E84" s="268"/>
      <c r="F84" s="268"/>
      <c r="G84" s="268"/>
      <c r="H84" s="268"/>
    </row>
    <row r="85">
      <c r="A85" s="22"/>
      <c r="B85" s="573"/>
      <c r="E85" s="268"/>
      <c r="F85" s="268"/>
      <c r="G85" s="268"/>
      <c r="H85" s="268"/>
    </row>
    <row r="86">
      <c r="A86" s="22"/>
      <c r="B86" s="573"/>
      <c r="E86" s="268"/>
      <c r="F86" s="268"/>
      <c r="G86" s="268"/>
      <c r="H86" s="268"/>
    </row>
    <row r="87">
      <c r="A87" s="22"/>
      <c r="B87" s="573"/>
      <c r="E87" s="268"/>
      <c r="F87" s="268"/>
      <c r="G87" s="268"/>
      <c r="H87" s="268"/>
    </row>
    <row r="88">
      <c r="A88" s="22"/>
      <c r="B88" s="573"/>
      <c r="E88" s="268"/>
      <c r="F88" s="268"/>
      <c r="G88" s="268"/>
      <c r="H88" s="268"/>
    </row>
    <row r="89">
      <c r="A89" s="22"/>
      <c r="B89" s="573"/>
      <c r="E89" s="268"/>
      <c r="F89" s="268"/>
      <c r="G89" s="268"/>
      <c r="H89" s="268"/>
    </row>
    <row r="90">
      <c r="A90" s="22"/>
      <c r="B90" s="573"/>
      <c r="E90" s="268"/>
      <c r="F90" s="268"/>
      <c r="G90" s="268"/>
      <c r="H90" s="268"/>
    </row>
    <row r="91">
      <c r="A91" s="22"/>
      <c r="B91" s="573"/>
      <c r="E91" s="268"/>
      <c r="F91" s="268"/>
      <c r="G91" s="268"/>
      <c r="H91" s="268"/>
    </row>
    <row r="92">
      <c r="A92" s="22"/>
      <c r="B92" s="573"/>
      <c r="E92" s="268"/>
      <c r="F92" s="268"/>
      <c r="G92" s="268"/>
      <c r="H92" s="268"/>
    </row>
    <row r="93">
      <c r="A93" s="22"/>
      <c r="B93" s="573"/>
      <c r="E93" s="268"/>
      <c r="F93" s="268"/>
      <c r="G93" s="268"/>
      <c r="H93" s="268"/>
    </row>
    <row r="94">
      <c r="A94" s="22"/>
      <c r="B94" s="573"/>
      <c r="E94" s="268"/>
      <c r="F94" s="268"/>
      <c r="G94" s="268"/>
      <c r="H94" s="268"/>
    </row>
    <row r="95">
      <c r="A95" s="22"/>
      <c r="B95" s="573"/>
      <c r="E95" s="268"/>
      <c r="F95" s="268"/>
      <c r="G95" s="268"/>
      <c r="H95" s="268"/>
    </row>
    <row r="96">
      <c r="A96" s="22"/>
      <c r="B96" s="573"/>
      <c r="E96" s="268"/>
      <c r="F96" s="268"/>
      <c r="G96" s="268"/>
      <c r="H96" s="268"/>
    </row>
    <row r="97">
      <c r="A97" s="22"/>
      <c r="B97" s="573"/>
      <c r="E97" s="268"/>
      <c r="F97" s="268"/>
      <c r="G97" s="268"/>
      <c r="H97" s="268"/>
    </row>
    <row r="98">
      <c r="A98" s="22"/>
      <c r="B98" s="573"/>
      <c r="E98" s="268"/>
      <c r="F98" s="268"/>
      <c r="G98" s="268"/>
      <c r="H98" s="268"/>
    </row>
    <row r="99">
      <c r="A99" s="22"/>
      <c r="B99" s="573"/>
      <c r="E99" s="268"/>
      <c r="F99" s="268"/>
      <c r="G99" s="268"/>
      <c r="H99" s="268"/>
    </row>
    <row r="100">
      <c r="A100" s="22"/>
      <c r="B100" s="573"/>
      <c r="E100" s="268"/>
      <c r="F100" s="268"/>
      <c r="G100" s="268"/>
      <c r="H100" s="268"/>
    </row>
    <row r="101">
      <c r="A101" s="22"/>
      <c r="B101" s="573"/>
      <c r="E101" s="268"/>
      <c r="F101" s="268"/>
      <c r="G101" s="268"/>
      <c r="H101" s="268"/>
    </row>
    <row r="102">
      <c r="A102" s="22"/>
      <c r="B102" s="573"/>
      <c r="E102" s="268"/>
      <c r="F102" s="268"/>
      <c r="G102" s="268"/>
      <c r="H102" s="268"/>
    </row>
    <row r="103">
      <c r="A103" s="22"/>
      <c r="B103" s="573"/>
      <c r="E103" s="268"/>
      <c r="F103" s="268"/>
      <c r="G103" s="268"/>
      <c r="H103" s="268"/>
    </row>
    <row r="104">
      <c r="A104" s="22"/>
      <c r="B104" s="573"/>
      <c r="E104" s="268"/>
      <c r="F104" s="268"/>
      <c r="G104" s="268"/>
      <c r="H104" s="268"/>
    </row>
    <row r="105">
      <c r="A105" s="22"/>
      <c r="B105" s="573"/>
      <c r="E105" s="268"/>
      <c r="F105" s="268"/>
      <c r="G105" s="268"/>
      <c r="H105" s="268"/>
    </row>
    <row r="106">
      <c r="A106" s="22"/>
      <c r="B106" s="573"/>
      <c r="E106" s="268"/>
      <c r="F106" s="268"/>
      <c r="G106" s="268"/>
      <c r="H106" s="268"/>
    </row>
    <row r="107">
      <c r="A107" s="22"/>
      <c r="B107" s="573"/>
      <c r="E107" s="268"/>
      <c r="F107" s="268"/>
      <c r="G107" s="268"/>
      <c r="H107" s="268"/>
    </row>
    <row r="108">
      <c r="A108" s="22"/>
      <c r="B108" s="573"/>
      <c r="E108" s="268"/>
      <c r="F108" s="268"/>
      <c r="G108" s="268"/>
      <c r="H108" s="268"/>
    </row>
    <row r="109">
      <c r="A109" s="22"/>
      <c r="B109" s="573"/>
      <c r="E109" s="268"/>
      <c r="F109" s="268"/>
      <c r="G109" s="268"/>
      <c r="H109" s="268"/>
    </row>
    <row r="110">
      <c r="A110" s="22"/>
      <c r="B110" s="573"/>
      <c r="E110" s="268"/>
      <c r="F110" s="268"/>
      <c r="G110" s="268"/>
      <c r="H110" s="268"/>
    </row>
    <row r="111">
      <c r="A111" s="22"/>
      <c r="B111" s="573"/>
      <c r="E111" s="268"/>
      <c r="F111" s="268"/>
      <c r="G111" s="268"/>
      <c r="H111" s="268"/>
    </row>
    <row r="112">
      <c r="A112" s="22"/>
      <c r="E112" s="268"/>
      <c r="F112" s="268"/>
      <c r="G112" s="268"/>
      <c r="H112" s="268"/>
    </row>
    <row r="113">
      <c r="A113" s="22"/>
      <c r="E113" s="268"/>
      <c r="F113" s="268"/>
      <c r="G113" s="268"/>
      <c r="H113" s="268"/>
    </row>
    <row r="114">
      <c r="A114" s="22"/>
      <c r="B114" s="573"/>
      <c r="E114" s="268"/>
      <c r="F114" s="268"/>
      <c r="G114" s="268"/>
      <c r="H114" s="268"/>
    </row>
    <row r="115">
      <c r="A115" s="22"/>
      <c r="B115" s="573"/>
      <c r="E115" s="268"/>
      <c r="F115" s="268"/>
      <c r="G115" s="268"/>
      <c r="H115" s="268"/>
    </row>
    <row r="116">
      <c r="A116" s="22"/>
      <c r="B116" s="573"/>
      <c r="E116" s="268"/>
      <c r="F116" s="268"/>
      <c r="G116" s="268"/>
      <c r="H116" s="268"/>
    </row>
    <row r="117">
      <c r="A117" s="22"/>
      <c r="B117" s="573"/>
      <c r="E117" s="268"/>
      <c r="F117" s="268"/>
      <c r="G117" s="268"/>
      <c r="H117" s="268"/>
    </row>
    <row r="118">
      <c r="A118" s="22"/>
      <c r="B118" s="573"/>
      <c r="E118" s="268"/>
      <c r="F118" s="268"/>
      <c r="G118" s="268"/>
      <c r="H118" s="268"/>
    </row>
    <row r="119">
      <c r="A119" s="22"/>
      <c r="B119" s="573"/>
      <c r="E119" s="268"/>
      <c r="F119" s="268"/>
      <c r="G119" s="268"/>
      <c r="H119" s="268"/>
    </row>
    <row r="120">
      <c r="A120" s="22"/>
      <c r="B120" s="573"/>
      <c r="E120" s="268"/>
      <c r="F120" s="268"/>
      <c r="G120" s="268"/>
      <c r="H120" s="268"/>
    </row>
    <row r="121">
      <c r="A121" s="22"/>
      <c r="B121" s="573"/>
      <c r="E121" s="268"/>
      <c r="F121" s="268"/>
      <c r="G121" s="268"/>
      <c r="H121" s="268"/>
    </row>
    <row r="122">
      <c r="A122" s="22"/>
      <c r="B122" s="573"/>
      <c r="E122" s="268"/>
      <c r="F122" s="268"/>
      <c r="G122" s="268"/>
      <c r="H122" s="268"/>
    </row>
    <row r="123">
      <c r="A123" s="22"/>
      <c r="B123" s="573"/>
      <c r="E123" s="268"/>
      <c r="F123" s="268"/>
      <c r="G123" s="268"/>
      <c r="H123" s="268"/>
    </row>
    <row r="124">
      <c r="A124" s="22"/>
      <c r="B124" s="573"/>
      <c r="E124" s="268"/>
      <c r="F124" s="268"/>
      <c r="G124" s="268"/>
      <c r="H124" s="268"/>
    </row>
    <row r="125">
      <c r="A125" s="22"/>
      <c r="B125" s="573"/>
      <c r="E125" s="268"/>
      <c r="F125" s="268"/>
      <c r="G125" s="268"/>
      <c r="H125" s="268"/>
    </row>
    <row r="126">
      <c r="A126" s="22"/>
      <c r="B126" s="573"/>
      <c r="E126" s="268"/>
      <c r="F126" s="268"/>
      <c r="G126" s="268"/>
      <c r="H126" s="268"/>
    </row>
    <row r="127">
      <c r="A127" s="22"/>
      <c r="B127" s="573"/>
      <c r="E127" s="268"/>
      <c r="F127" s="268"/>
      <c r="G127" s="268"/>
      <c r="H127" s="268"/>
    </row>
    <row r="128">
      <c r="A128" s="22"/>
      <c r="B128" s="573"/>
      <c r="E128" s="268"/>
      <c r="F128" s="268"/>
      <c r="G128" s="268"/>
      <c r="H128" s="268"/>
    </row>
    <row r="129">
      <c r="A129" s="22"/>
      <c r="B129" s="573"/>
      <c r="E129" s="268"/>
      <c r="F129" s="268"/>
      <c r="G129" s="268"/>
      <c r="H129" s="268"/>
    </row>
    <row r="130">
      <c r="A130" s="22"/>
      <c r="B130" s="573"/>
      <c r="E130" s="268"/>
      <c r="F130" s="268"/>
      <c r="G130" s="268"/>
      <c r="H130" s="268"/>
    </row>
    <row r="131">
      <c r="A131" s="22"/>
      <c r="B131" s="573"/>
      <c r="E131" s="268"/>
      <c r="F131" s="268"/>
      <c r="G131" s="268"/>
      <c r="H131" s="268"/>
    </row>
    <row r="132">
      <c r="A132" s="22"/>
      <c r="B132" s="573"/>
      <c r="E132" s="268"/>
      <c r="F132" s="268"/>
      <c r="G132" s="268"/>
      <c r="H132" s="268"/>
    </row>
    <row r="133">
      <c r="A133" s="22"/>
      <c r="B133" s="573"/>
      <c r="E133" s="268"/>
      <c r="F133" s="268"/>
      <c r="G133" s="268"/>
      <c r="H133" s="268"/>
    </row>
    <row r="134">
      <c r="A134" s="22"/>
      <c r="B134" s="573"/>
      <c r="E134" s="268"/>
      <c r="F134" s="268"/>
      <c r="G134" s="268"/>
      <c r="H134" s="268"/>
    </row>
    <row r="135">
      <c r="A135" s="22"/>
      <c r="B135" s="573"/>
      <c r="E135" s="268"/>
      <c r="F135" s="268"/>
      <c r="G135" s="268"/>
      <c r="H135" s="268"/>
    </row>
    <row r="136">
      <c r="A136" s="22"/>
      <c r="B136" s="573"/>
      <c r="E136" s="268"/>
      <c r="F136" s="268"/>
      <c r="G136" s="268"/>
      <c r="H136" s="268"/>
    </row>
    <row r="137">
      <c r="A137" s="22"/>
      <c r="B137" s="573"/>
      <c r="E137" s="268"/>
      <c r="F137" s="268"/>
      <c r="G137" s="268"/>
      <c r="H137" s="268"/>
    </row>
    <row r="138">
      <c r="A138" s="22"/>
      <c r="B138" s="573"/>
      <c r="E138" s="268"/>
      <c r="F138" s="268"/>
      <c r="G138" s="268"/>
      <c r="H138" s="268"/>
    </row>
    <row r="139">
      <c r="A139" s="22"/>
      <c r="B139" s="573"/>
      <c r="E139" s="268"/>
      <c r="F139" s="268"/>
      <c r="G139" s="268"/>
      <c r="H139" s="268"/>
    </row>
    <row r="140">
      <c r="A140" s="22"/>
      <c r="B140" s="573"/>
      <c r="E140" s="268"/>
      <c r="F140" s="268"/>
      <c r="G140" s="268"/>
      <c r="H140" s="268"/>
    </row>
    <row r="141">
      <c r="A141" s="22"/>
      <c r="B141" s="573"/>
      <c r="E141" s="268"/>
      <c r="F141" s="268"/>
      <c r="G141" s="268"/>
      <c r="H141" s="268"/>
    </row>
    <row r="142">
      <c r="A142" s="22"/>
      <c r="B142" s="573"/>
      <c r="E142" s="268"/>
      <c r="F142" s="268"/>
      <c r="G142" s="268"/>
      <c r="H142" s="268"/>
    </row>
    <row r="143">
      <c r="A143" s="22"/>
      <c r="B143" s="573"/>
      <c r="E143" s="268"/>
      <c r="F143" s="268"/>
      <c r="G143" s="268"/>
      <c r="H143" s="268"/>
    </row>
    <row r="144">
      <c r="A144" s="22"/>
      <c r="B144" s="573"/>
      <c r="E144" s="268"/>
      <c r="F144" s="268"/>
      <c r="G144" s="268"/>
      <c r="H144" s="268"/>
    </row>
    <row r="145">
      <c r="A145" s="22"/>
      <c r="B145" s="573"/>
      <c r="E145" s="268"/>
      <c r="F145" s="268"/>
      <c r="G145" s="268"/>
      <c r="H145" s="268"/>
    </row>
    <row r="146">
      <c r="A146" s="22"/>
      <c r="B146" s="573"/>
      <c r="E146" s="268"/>
      <c r="F146" s="268"/>
      <c r="G146" s="268"/>
      <c r="H146" s="268"/>
    </row>
    <row r="147">
      <c r="A147" s="22"/>
      <c r="B147" s="573"/>
      <c r="E147" s="268"/>
      <c r="F147" s="268"/>
      <c r="G147" s="268"/>
      <c r="H147" s="268"/>
    </row>
    <row r="148">
      <c r="A148" s="22"/>
      <c r="B148" s="573"/>
      <c r="E148" s="268"/>
      <c r="F148" s="268"/>
      <c r="G148" s="268"/>
      <c r="H148" s="268"/>
    </row>
    <row r="149">
      <c r="A149" s="22"/>
      <c r="B149" s="573"/>
      <c r="E149" s="268"/>
      <c r="F149" s="268"/>
      <c r="G149" s="268"/>
      <c r="H149" s="268"/>
    </row>
    <row r="150">
      <c r="A150" s="22"/>
      <c r="B150" s="573"/>
      <c r="E150" s="268"/>
      <c r="F150" s="268"/>
      <c r="G150" s="268"/>
      <c r="H150" s="268"/>
    </row>
    <row r="151">
      <c r="A151" s="22"/>
      <c r="B151" s="573"/>
      <c r="E151" s="268"/>
      <c r="F151" s="268"/>
      <c r="G151" s="268"/>
      <c r="H151" s="268"/>
    </row>
    <row r="152">
      <c r="A152" s="22"/>
      <c r="B152" s="573"/>
      <c r="E152" s="268"/>
      <c r="F152" s="268"/>
      <c r="G152" s="268"/>
      <c r="H152" s="268"/>
    </row>
    <row r="153">
      <c r="A153" s="22"/>
      <c r="B153" s="573"/>
      <c r="E153" s="268"/>
      <c r="F153" s="268"/>
      <c r="G153" s="268"/>
      <c r="H153" s="268"/>
    </row>
    <row r="154">
      <c r="A154" s="22"/>
      <c r="B154" s="573"/>
      <c r="E154" s="268"/>
      <c r="F154" s="268"/>
      <c r="G154" s="268"/>
      <c r="H154" s="268"/>
    </row>
    <row r="155">
      <c r="A155" s="22"/>
      <c r="B155" s="573"/>
      <c r="E155" s="268"/>
      <c r="F155" s="268"/>
      <c r="G155" s="268"/>
      <c r="H155" s="268"/>
    </row>
    <row r="156">
      <c r="A156" s="22"/>
      <c r="B156" s="573"/>
      <c r="E156" s="268"/>
      <c r="F156" s="268"/>
      <c r="G156" s="268"/>
      <c r="H156" s="268"/>
    </row>
    <row r="157">
      <c r="A157" s="22"/>
      <c r="B157" s="573"/>
      <c r="E157" s="268"/>
      <c r="F157" s="268"/>
      <c r="G157" s="268"/>
      <c r="H157" s="268"/>
    </row>
    <row r="158">
      <c r="A158" s="22"/>
      <c r="B158" s="573"/>
      <c r="E158" s="268"/>
      <c r="F158" s="268"/>
      <c r="G158" s="268"/>
      <c r="H158" s="268"/>
    </row>
    <row r="159">
      <c r="A159" s="22"/>
      <c r="B159" s="573"/>
      <c r="E159" s="268"/>
      <c r="F159" s="268"/>
      <c r="G159" s="268"/>
      <c r="H159" s="268"/>
    </row>
    <row r="160">
      <c r="A160" s="22"/>
      <c r="B160" s="573"/>
      <c r="E160" s="268"/>
      <c r="F160" s="268"/>
      <c r="G160" s="268"/>
      <c r="H160" s="268"/>
    </row>
    <row r="161">
      <c r="A161" s="22"/>
      <c r="B161" s="573"/>
      <c r="E161" s="268"/>
      <c r="F161" s="268"/>
      <c r="G161" s="268"/>
      <c r="H161" s="268"/>
    </row>
    <row r="162">
      <c r="A162" s="22"/>
      <c r="B162" s="573"/>
      <c r="E162" s="268"/>
      <c r="F162" s="268"/>
      <c r="G162" s="268"/>
      <c r="H162" s="268"/>
    </row>
    <row r="163">
      <c r="A163" s="22"/>
      <c r="B163" s="573"/>
      <c r="E163" s="268"/>
      <c r="F163" s="268"/>
      <c r="G163" s="268"/>
      <c r="H163" s="268"/>
    </row>
    <row r="164">
      <c r="A164" s="22"/>
      <c r="B164" s="573"/>
      <c r="E164" s="268"/>
      <c r="F164" s="268"/>
      <c r="G164" s="268"/>
      <c r="H164" s="268"/>
    </row>
    <row r="165">
      <c r="A165" s="22"/>
      <c r="B165" s="573"/>
      <c r="E165" s="268"/>
      <c r="F165" s="268"/>
      <c r="G165" s="268"/>
      <c r="H165" s="268"/>
    </row>
    <row r="166">
      <c r="A166" s="22"/>
      <c r="B166" s="573"/>
      <c r="E166" s="268"/>
      <c r="F166" s="268"/>
      <c r="G166" s="268"/>
      <c r="H166" s="268"/>
    </row>
    <row r="167">
      <c r="A167" s="22"/>
      <c r="B167" s="573"/>
      <c r="E167" s="268"/>
      <c r="F167" s="268"/>
      <c r="G167" s="268"/>
      <c r="H167" s="268"/>
    </row>
    <row r="168">
      <c r="A168" s="22"/>
      <c r="B168" s="573"/>
      <c r="E168" s="268"/>
      <c r="F168" s="268"/>
      <c r="G168" s="268"/>
      <c r="H168" s="268"/>
    </row>
    <row r="169">
      <c r="A169" s="22"/>
      <c r="E169" s="268"/>
      <c r="F169" s="268"/>
      <c r="G169" s="268"/>
      <c r="H169" s="268"/>
    </row>
    <row r="170">
      <c r="A170" s="22"/>
      <c r="E170" s="268"/>
      <c r="F170" s="268"/>
      <c r="G170" s="268"/>
      <c r="H170" s="268"/>
    </row>
    <row r="171">
      <c r="A171" s="22"/>
      <c r="B171" s="573"/>
      <c r="E171" s="268"/>
      <c r="F171" s="268"/>
      <c r="G171" s="268"/>
      <c r="H171" s="268"/>
    </row>
    <row r="172">
      <c r="A172" s="22"/>
      <c r="B172" s="573"/>
      <c r="E172" s="268"/>
      <c r="F172" s="268"/>
      <c r="G172" s="268"/>
      <c r="H172" s="268"/>
    </row>
    <row r="173">
      <c r="A173" s="22"/>
      <c r="B173" s="573"/>
      <c r="E173" s="268"/>
      <c r="F173" s="268"/>
      <c r="G173" s="268"/>
      <c r="H173" s="268"/>
    </row>
    <row r="174">
      <c r="A174" s="22"/>
      <c r="B174" s="573"/>
      <c r="E174" s="268"/>
      <c r="F174" s="268"/>
      <c r="G174" s="268"/>
      <c r="H174" s="268"/>
    </row>
    <row r="175">
      <c r="A175" s="22"/>
      <c r="B175" s="573"/>
      <c r="E175" s="268"/>
      <c r="F175" s="268"/>
      <c r="G175" s="268"/>
      <c r="H175" s="268"/>
    </row>
    <row r="176">
      <c r="A176" s="22"/>
      <c r="B176" s="573"/>
      <c r="E176" s="268"/>
      <c r="F176" s="268"/>
      <c r="G176" s="268"/>
      <c r="H176" s="268"/>
    </row>
    <row r="177">
      <c r="A177" s="22"/>
      <c r="B177" s="573"/>
      <c r="E177" s="268"/>
      <c r="F177" s="268"/>
      <c r="G177" s="268"/>
      <c r="H177" s="268"/>
    </row>
    <row r="178">
      <c r="A178" s="22"/>
      <c r="B178" s="573"/>
      <c r="E178" s="268"/>
      <c r="F178" s="268"/>
      <c r="G178" s="268"/>
      <c r="H178" s="268"/>
    </row>
    <row r="179">
      <c r="A179" s="22"/>
      <c r="B179" s="573"/>
      <c r="E179" s="268"/>
      <c r="F179" s="268"/>
      <c r="G179" s="268"/>
      <c r="H179" s="268"/>
    </row>
    <row r="180">
      <c r="A180" s="22"/>
      <c r="B180" s="573"/>
      <c r="E180" s="268"/>
      <c r="F180" s="268"/>
      <c r="G180" s="268"/>
      <c r="H180" s="268"/>
    </row>
    <row r="181">
      <c r="A181" s="22"/>
      <c r="B181" s="573"/>
      <c r="E181" s="268"/>
      <c r="F181" s="268"/>
      <c r="G181" s="268"/>
      <c r="H181" s="268"/>
    </row>
    <row r="182">
      <c r="A182" s="22"/>
      <c r="B182" s="573"/>
      <c r="E182" s="268"/>
      <c r="F182" s="268"/>
      <c r="G182" s="268"/>
      <c r="H182" s="268"/>
    </row>
    <row r="183">
      <c r="A183" s="22"/>
      <c r="B183" s="573"/>
      <c r="E183" s="268"/>
      <c r="F183" s="268"/>
      <c r="G183" s="268"/>
      <c r="H183" s="268"/>
    </row>
    <row r="184">
      <c r="A184" s="22"/>
      <c r="B184" s="573"/>
      <c r="E184" s="268"/>
      <c r="F184" s="268"/>
      <c r="G184" s="268"/>
      <c r="H184" s="268"/>
    </row>
    <row r="185">
      <c r="A185" s="22"/>
      <c r="B185" s="573"/>
      <c r="E185" s="268"/>
      <c r="F185" s="268"/>
      <c r="G185" s="268"/>
      <c r="H185" s="268"/>
    </row>
    <row r="186">
      <c r="A186" s="22"/>
      <c r="B186" s="573"/>
      <c r="E186" s="268"/>
      <c r="F186" s="268"/>
      <c r="G186" s="268"/>
      <c r="H186" s="268"/>
    </row>
    <row r="187">
      <c r="A187" s="22"/>
      <c r="B187" s="573"/>
      <c r="E187" s="268"/>
      <c r="F187" s="268"/>
      <c r="G187" s="268"/>
      <c r="H187" s="268"/>
    </row>
    <row r="188">
      <c r="A188" s="22"/>
      <c r="B188" s="573"/>
      <c r="E188" s="268"/>
      <c r="F188" s="268"/>
      <c r="G188" s="268"/>
      <c r="H188" s="268"/>
    </row>
    <row r="189">
      <c r="A189" s="22"/>
      <c r="B189" s="573"/>
      <c r="E189" s="268"/>
      <c r="F189" s="268"/>
      <c r="G189" s="268"/>
      <c r="H189" s="268"/>
    </row>
    <row r="190">
      <c r="A190" s="22"/>
      <c r="B190" s="573"/>
      <c r="E190" s="268"/>
      <c r="F190" s="268"/>
      <c r="G190" s="268"/>
      <c r="H190" s="268"/>
    </row>
    <row r="191">
      <c r="A191" s="22"/>
      <c r="B191" s="573"/>
      <c r="E191" s="268"/>
      <c r="F191" s="268"/>
      <c r="G191" s="268"/>
      <c r="H191" s="268"/>
    </row>
    <row r="192">
      <c r="A192" s="22"/>
      <c r="B192" s="573"/>
      <c r="E192" s="268"/>
      <c r="F192" s="268"/>
      <c r="G192" s="268"/>
      <c r="H192" s="268"/>
    </row>
    <row r="193">
      <c r="A193" s="22"/>
      <c r="B193" s="573"/>
      <c r="E193" s="268"/>
      <c r="F193" s="268"/>
      <c r="G193" s="268"/>
      <c r="H193" s="268"/>
    </row>
    <row r="194">
      <c r="A194" s="22"/>
      <c r="B194" s="573"/>
      <c r="E194" s="268"/>
      <c r="F194" s="268"/>
      <c r="G194" s="268"/>
      <c r="H194" s="268"/>
    </row>
    <row r="195">
      <c r="A195" s="22"/>
      <c r="B195" s="573"/>
      <c r="E195" s="268"/>
      <c r="F195" s="268"/>
      <c r="G195" s="268"/>
      <c r="H195" s="268"/>
    </row>
    <row r="196">
      <c r="A196" s="22"/>
      <c r="B196" s="573"/>
      <c r="E196" s="268"/>
      <c r="F196" s="268"/>
      <c r="G196" s="268"/>
      <c r="H196" s="268"/>
    </row>
    <row r="197">
      <c r="A197" s="22"/>
      <c r="B197" s="573"/>
      <c r="E197" s="268"/>
      <c r="F197" s="268"/>
      <c r="G197" s="268"/>
      <c r="H197" s="268"/>
    </row>
    <row r="198">
      <c r="A198" s="22"/>
      <c r="B198" s="573"/>
      <c r="E198" s="268"/>
      <c r="F198" s="268"/>
      <c r="G198" s="268"/>
      <c r="H198" s="268"/>
    </row>
    <row r="199">
      <c r="A199" s="22"/>
      <c r="B199" s="573"/>
      <c r="E199" s="268"/>
      <c r="F199" s="268"/>
      <c r="G199" s="268"/>
      <c r="H199" s="268"/>
    </row>
    <row r="200">
      <c r="A200" s="22"/>
      <c r="B200" s="573"/>
      <c r="E200" s="268"/>
      <c r="F200" s="268"/>
      <c r="G200" s="268"/>
      <c r="H200" s="268"/>
    </row>
    <row r="201">
      <c r="A201" s="22"/>
      <c r="B201" s="573"/>
      <c r="E201" s="268"/>
      <c r="F201" s="268"/>
      <c r="G201" s="268"/>
      <c r="H201" s="268"/>
    </row>
    <row r="202">
      <c r="A202" s="22"/>
      <c r="B202" s="573"/>
      <c r="E202" s="268"/>
      <c r="F202" s="268"/>
      <c r="G202" s="268"/>
      <c r="H202" s="268"/>
    </row>
    <row r="203">
      <c r="A203" s="22"/>
      <c r="B203" s="573"/>
      <c r="E203" s="268"/>
      <c r="F203" s="268"/>
      <c r="G203" s="268"/>
      <c r="H203" s="268"/>
    </row>
    <row r="204">
      <c r="A204" s="22"/>
      <c r="B204" s="573"/>
      <c r="E204" s="268"/>
      <c r="F204" s="268"/>
      <c r="G204" s="268"/>
      <c r="H204" s="268"/>
    </row>
    <row r="205">
      <c r="A205" s="22"/>
      <c r="B205" s="573"/>
      <c r="E205" s="268"/>
      <c r="F205" s="268"/>
      <c r="G205" s="268"/>
      <c r="H205" s="268"/>
    </row>
    <row r="206">
      <c r="A206" s="22"/>
      <c r="B206" s="573"/>
      <c r="E206" s="268"/>
      <c r="F206" s="268"/>
      <c r="G206" s="268"/>
      <c r="H206" s="268"/>
    </row>
    <row r="207">
      <c r="A207" s="22"/>
      <c r="B207" s="573"/>
      <c r="E207" s="268"/>
      <c r="F207" s="268"/>
      <c r="G207" s="268"/>
      <c r="H207" s="268"/>
    </row>
    <row r="208">
      <c r="A208" s="22"/>
      <c r="B208" s="573"/>
      <c r="E208" s="268"/>
      <c r="F208" s="268"/>
      <c r="G208" s="268"/>
      <c r="H208" s="268"/>
    </row>
    <row r="209">
      <c r="A209" s="22"/>
      <c r="B209" s="573"/>
      <c r="E209" s="268"/>
      <c r="F209" s="268"/>
      <c r="G209" s="268"/>
      <c r="H209" s="268"/>
    </row>
    <row r="210">
      <c r="A210" s="22"/>
      <c r="B210" s="573"/>
      <c r="E210" s="268"/>
      <c r="F210" s="268"/>
      <c r="G210" s="268"/>
      <c r="H210" s="268"/>
    </row>
    <row r="211">
      <c r="A211" s="22"/>
      <c r="B211" s="573"/>
      <c r="E211" s="268"/>
      <c r="F211" s="268"/>
      <c r="G211" s="268"/>
      <c r="H211" s="268"/>
    </row>
    <row r="212">
      <c r="A212" s="22"/>
      <c r="B212" s="573"/>
      <c r="E212" s="268"/>
      <c r="F212" s="268"/>
      <c r="G212" s="268"/>
      <c r="H212" s="268"/>
    </row>
    <row r="213">
      <c r="A213" s="22"/>
      <c r="B213" s="573"/>
      <c r="E213" s="268"/>
      <c r="F213" s="268"/>
      <c r="G213" s="268"/>
      <c r="H213" s="268"/>
    </row>
    <row r="214">
      <c r="A214" s="22"/>
      <c r="B214" s="573"/>
      <c r="E214" s="268"/>
      <c r="F214" s="268"/>
      <c r="G214" s="268"/>
      <c r="H214" s="268"/>
    </row>
    <row r="215">
      <c r="A215" s="22"/>
      <c r="B215" s="573"/>
      <c r="E215" s="268"/>
      <c r="F215" s="268"/>
      <c r="G215" s="268"/>
      <c r="H215" s="268"/>
    </row>
    <row r="216">
      <c r="A216" s="22"/>
      <c r="B216" s="573"/>
      <c r="E216" s="268"/>
      <c r="F216" s="268"/>
      <c r="G216" s="268"/>
      <c r="H216" s="268"/>
    </row>
    <row r="217">
      <c r="A217" s="22"/>
      <c r="B217" s="573"/>
      <c r="E217" s="268"/>
      <c r="F217" s="268"/>
      <c r="G217" s="268"/>
      <c r="H217" s="268"/>
    </row>
    <row r="218">
      <c r="A218" s="22"/>
      <c r="B218" s="573"/>
      <c r="E218" s="268"/>
      <c r="F218" s="268"/>
      <c r="G218" s="268"/>
      <c r="H218" s="268"/>
    </row>
    <row r="219">
      <c r="A219" s="22"/>
      <c r="B219" s="573"/>
      <c r="E219" s="268"/>
      <c r="F219" s="268"/>
      <c r="G219" s="268"/>
      <c r="H219" s="268"/>
    </row>
    <row r="220">
      <c r="A220" s="22"/>
      <c r="B220" s="573"/>
      <c r="E220" s="268"/>
      <c r="F220" s="268"/>
      <c r="G220" s="268"/>
      <c r="H220" s="268"/>
    </row>
    <row r="221">
      <c r="A221" s="22"/>
      <c r="B221" s="573"/>
      <c r="E221" s="268"/>
      <c r="F221" s="268"/>
      <c r="G221" s="268"/>
      <c r="H221" s="268"/>
    </row>
    <row r="222">
      <c r="A222" s="22"/>
      <c r="B222" s="573"/>
      <c r="E222" s="268"/>
      <c r="F222" s="268"/>
      <c r="G222" s="268"/>
      <c r="H222" s="268"/>
    </row>
    <row r="223">
      <c r="A223" s="22"/>
      <c r="B223" s="573"/>
      <c r="E223" s="268"/>
      <c r="F223" s="268"/>
      <c r="G223" s="268"/>
      <c r="H223" s="268"/>
    </row>
    <row r="224">
      <c r="A224" s="22"/>
      <c r="B224" s="573"/>
      <c r="E224" s="268"/>
      <c r="F224" s="268"/>
      <c r="G224" s="268"/>
      <c r="H224" s="268"/>
    </row>
    <row r="225">
      <c r="A225" s="22"/>
      <c r="B225" s="573"/>
      <c r="E225" s="268"/>
      <c r="F225" s="268"/>
      <c r="G225" s="268"/>
      <c r="H225" s="268"/>
    </row>
    <row r="226">
      <c r="A226" s="22"/>
      <c r="E226" s="268"/>
      <c r="F226" s="268"/>
      <c r="G226" s="268"/>
      <c r="H226" s="268"/>
    </row>
    <row r="227">
      <c r="A227" s="22"/>
      <c r="E227" s="268"/>
      <c r="F227" s="268"/>
      <c r="G227" s="268"/>
      <c r="H227" s="268"/>
    </row>
    <row r="228">
      <c r="A228" s="22"/>
      <c r="B228" s="573"/>
      <c r="E228" s="268"/>
      <c r="F228" s="268"/>
      <c r="G228" s="268"/>
      <c r="H228" s="268"/>
    </row>
    <row r="229">
      <c r="A229" s="22"/>
      <c r="B229" s="573"/>
      <c r="E229" s="268"/>
      <c r="F229" s="268"/>
      <c r="G229" s="268"/>
      <c r="H229" s="268"/>
    </row>
    <row r="230">
      <c r="A230" s="22"/>
      <c r="B230" s="573"/>
      <c r="E230" s="268"/>
      <c r="F230" s="268"/>
      <c r="G230" s="268"/>
      <c r="H230" s="268"/>
    </row>
    <row r="231">
      <c r="A231" s="22"/>
      <c r="B231" s="573"/>
      <c r="E231" s="268"/>
      <c r="F231" s="268"/>
      <c r="G231" s="268"/>
      <c r="H231" s="268"/>
    </row>
    <row r="232">
      <c r="A232" s="22"/>
      <c r="B232" s="573"/>
      <c r="E232" s="268"/>
      <c r="F232" s="268"/>
      <c r="G232" s="268"/>
      <c r="H232" s="268"/>
    </row>
    <row r="233">
      <c r="A233" s="22"/>
      <c r="B233" s="573"/>
      <c r="E233" s="268"/>
      <c r="F233" s="268"/>
      <c r="G233" s="268"/>
      <c r="H233" s="268"/>
    </row>
    <row r="234">
      <c r="A234" s="22"/>
      <c r="B234" s="573"/>
      <c r="E234" s="268"/>
      <c r="F234" s="268"/>
      <c r="G234" s="268"/>
      <c r="H234" s="268"/>
    </row>
    <row r="235">
      <c r="A235" s="22"/>
      <c r="B235" s="573"/>
      <c r="E235" s="268"/>
      <c r="F235" s="268"/>
      <c r="G235" s="268"/>
      <c r="H235" s="268"/>
    </row>
    <row r="236">
      <c r="A236" s="22"/>
      <c r="B236" s="573"/>
      <c r="E236" s="268"/>
      <c r="F236" s="268"/>
      <c r="G236" s="268"/>
      <c r="H236" s="268"/>
    </row>
    <row r="237">
      <c r="A237" s="22"/>
      <c r="B237" s="573"/>
      <c r="E237" s="268"/>
      <c r="F237" s="268"/>
      <c r="G237" s="268"/>
      <c r="H237" s="268"/>
    </row>
    <row r="238">
      <c r="A238" s="22"/>
      <c r="B238" s="573"/>
      <c r="E238" s="268"/>
      <c r="F238" s="268"/>
      <c r="G238" s="268"/>
      <c r="H238" s="268"/>
    </row>
    <row r="239">
      <c r="A239" s="22"/>
      <c r="B239" s="573"/>
      <c r="E239" s="268"/>
      <c r="F239" s="268"/>
      <c r="G239" s="268"/>
      <c r="H239" s="268"/>
    </row>
    <row r="240">
      <c r="A240" s="22"/>
      <c r="B240" s="573"/>
      <c r="E240" s="268"/>
      <c r="F240" s="268"/>
      <c r="G240" s="268"/>
      <c r="H240" s="268"/>
    </row>
    <row r="241">
      <c r="A241" s="22"/>
      <c r="B241" s="573"/>
      <c r="E241" s="268"/>
      <c r="F241" s="268"/>
      <c r="G241" s="268"/>
      <c r="H241" s="268"/>
    </row>
    <row r="242">
      <c r="A242" s="22"/>
      <c r="B242" s="573"/>
      <c r="E242" s="268"/>
      <c r="F242" s="268"/>
      <c r="G242" s="268"/>
      <c r="H242" s="268"/>
    </row>
    <row r="243">
      <c r="A243" s="22"/>
      <c r="B243" s="573"/>
      <c r="E243" s="268"/>
      <c r="F243" s="268"/>
      <c r="G243" s="268"/>
      <c r="H243" s="268"/>
    </row>
    <row r="244">
      <c r="A244" s="22"/>
      <c r="B244" s="573"/>
      <c r="E244" s="268"/>
      <c r="F244" s="268"/>
      <c r="G244" s="268"/>
      <c r="H244" s="268"/>
    </row>
    <row r="245">
      <c r="A245" s="22"/>
      <c r="B245" s="573"/>
      <c r="E245" s="268"/>
      <c r="F245" s="268"/>
      <c r="G245" s="268"/>
      <c r="H245" s="268"/>
    </row>
    <row r="246">
      <c r="A246" s="22"/>
      <c r="B246" s="573"/>
      <c r="E246" s="268"/>
      <c r="F246" s="268"/>
      <c r="G246" s="268"/>
      <c r="H246" s="268"/>
    </row>
    <row r="247">
      <c r="A247" s="22"/>
      <c r="B247" s="573"/>
      <c r="E247" s="268"/>
      <c r="F247" s="268"/>
      <c r="G247" s="268"/>
      <c r="H247" s="268"/>
    </row>
    <row r="248">
      <c r="A248" s="22"/>
      <c r="B248" s="573"/>
      <c r="E248" s="268"/>
      <c r="F248" s="268"/>
      <c r="G248" s="268"/>
      <c r="H248" s="268"/>
    </row>
    <row r="249">
      <c r="A249" s="22"/>
      <c r="B249" s="573"/>
      <c r="E249" s="268"/>
      <c r="F249" s="268"/>
      <c r="G249" s="268"/>
      <c r="H249" s="268"/>
    </row>
    <row r="250">
      <c r="A250" s="22"/>
      <c r="B250" s="573"/>
      <c r="E250" s="268"/>
      <c r="F250" s="268"/>
      <c r="G250" s="268"/>
      <c r="H250" s="268"/>
    </row>
    <row r="251">
      <c r="A251" s="22"/>
      <c r="B251" s="573"/>
      <c r="E251" s="268"/>
      <c r="F251" s="268"/>
      <c r="G251" s="268"/>
      <c r="H251" s="268"/>
    </row>
    <row r="252">
      <c r="A252" s="22"/>
      <c r="B252" s="573"/>
      <c r="E252" s="268"/>
      <c r="F252" s="268"/>
      <c r="G252" s="268"/>
      <c r="H252" s="268"/>
    </row>
    <row r="253">
      <c r="A253" s="22"/>
      <c r="B253" s="573"/>
      <c r="E253" s="268"/>
      <c r="F253" s="268"/>
      <c r="G253" s="268"/>
      <c r="H253" s="268"/>
    </row>
    <row r="254">
      <c r="A254" s="22"/>
      <c r="B254" s="573"/>
      <c r="E254" s="268"/>
      <c r="F254" s="268"/>
      <c r="G254" s="268"/>
      <c r="H254" s="268"/>
    </row>
    <row r="255">
      <c r="A255" s="22"/>
      <c r="B255" s="573"/>
      <c r="E255" s="268"/>
      <c r="F255" s="268"/>
      <c r="G255" s="268"/>
      <c r="H255" s="268"/>
    </row>
    <row r="256">
      <c r="A256" s="22"/>
      <c r="B256" s="573"/>
      <c r="E256" s="268"/>
      <c r="F256" s="268"/>
      <c r="G256" s="268"/>
      <c r="H256" s="268"/>
    </row>
    <row r="257">
      <c r="A257" s="22"/>
      <c r="B257" s="573"/>
      <c r="E257" s="268"/>
      <c r="F257" s="268"/>
      <c r="G257" s="268"/>
      <c r="H257" s="268"/>
    </row>
    <row r="258">
      <c r="A258" s="22"/>
      <c r="B258" s="573"/>
      <c r="E258" s="268"/>
      <c r="F258" s="268"/>
      <c r="G258" s="268"/>
      <c r="H258" s="268"/>
    </row>
    <row r="259">
      <c r="A259" s="22"/>
      <c r="B259" s="573"/>
      <c r="E259" s="268"/>
      <c r="F259" s="268"/>
      <c r="G259" s="268"/>
      <c r="H259" s="268"/>
    </row>
    <row r="260">
      <c r="A260" s="22"/>
      <c r="B260" s="573"/>
      <c r="E260" s="268"/>
      <c r="F260" s="268"/>
      <c r="G260" s="268"/>
      <c r="H260" s="268"/>
    </row>
    <row r="261">
      <c r="A261" s="22"/>
      <c r="B261" s="573"/>
      <c r="E261" s="268"/>
      <c r="F261" s="268"/>
      <c r="G261" s="268"/>
      <c r="H261" s="268"/>
    </row>
    <row r="262">
      <c r="A262" s="22"/>
      <c r="B262" s="573"/>
      <c r="E262" s="268"/>
      <c r="F262" s="268"/>
      <c r="G262" s="268"/>
      <c r="H262" s="268"/>
    </row>
    <row r="263">
      <c r="A263" s="22"/>
      <c r="B263" s="573"/>
      <c r="E263" s="268"/>
      <c r="F263" s="268"/>
      <c r="G263" s="268"/>
      <c r="H263" s="268"/>
    </row>
    <row r="264">
      <c r="A264" s="22"/>
      <c r="B264" s="573"/>
      <c r="E264" s="268"/>
      <c r="F264" s="268"/>
      <c r="G264" s="268"/>
      <c r="H264" s="268"/>
    </row>
    <row r="265">
      <c r="A265" s="22"/>
      <c r="B265" s="573"/>
      <c r="E265" s="268"/>
      <c r="F265" s="268"/>
      <c r="G265" s="268"/>
      <c r="H265" s="268"/>
    </row>
    <row r="266">
      <c r="A266" s="22"/>
      <c r="B266" s="573"/>
      <c r="E266" s="268"/>
      <c r="F266" s="268"/>
      <c r="G266" s="268"/>
      <c r="H266" s="268"/>
    </row>
    <row r="267">
      <c r="A267" s="22"/>
      <c r="B267" s="573"/>
      <c r="E267" s="268"/>
      <c r="F267" s="268"/>
      <c r="G267" s="268"/>
      <c r="H267" s="268"/>
    </row>
    <row r="268">
      <c r="A268" s="22"/>
      <c r="B268" s="573"/>
      <c r="E268" s="268"/>
      <c r="F268" s="268"/>
      <c r="G268" s="268"/>
      <c r="H268" s="268"/>
    </row>
    <row r="269">
      <c r="A269" s="22"/>
      <c r="B269" s="573"/>
      <c r="E269" s="268"/>
      <c r="F269" s="268"/>
      <c r="G269" s="268"/>
      <c r="H269" s="268"/>
    </row>
    <row r="270">
      <c r="A270" s="22"/>
      <c r="B270" s="573"/>
      <c r="E270" s="268"/>
      <c r="F270" s="268"/>
      <c r="G270" s="268"/>
      <c r="H270" s="268"/>
    </row>
    <row r="271">
      <c r="A271" s="22"/>
      <c r="B271" s="573"/>
      <c r="E271" s="268"/>
      <c r="F271" s="268"/>
      <c r="G271" s="268"/>
      <c r="H271" s="268"/>
    </row>
    <row r="272">
      <c r="A272" s="22"/>
      <c r="B272" s="573"/>
      <c r="E272" s="268"/>
      <c r="F272" s="268"/>
      <c r="G272" s="268"/>
      <c r="H272" s="268"/>
    </row>
    <row r="273">
      <c r="A273" s="22"/>
      <c r="B273" s="573"/>
      <c r="E273" s="268"/>
      <c r="F273" s="268"/>
      <c r="G273" s="268"/>
      <c r="H273" s="268"/>
    </row>
    <row r="274">
      <c r="A274" s="22"/>
      <c r="B274" s="573"/>
      <c r="E274" s="268"/>
      <c r="F274" s="268"/>
      <c r="G274" s="268"/>
      <c r="H274" s="268"/>
    </row>
    <row r="275">
      <c r="A275" s="22"/>
      <c r="B275" s="573"/>
      <c r="E275" s="268"/>
      <c r="F275" s="268"/>
      <c r="G275" s="268"/>
      <c r="H275" s="268"/>
    </row>
    <row r="276">
      <c r="A276" s="22"/>
      <c r="B276" s="573"/>
      <c r="E276" s="268"/>
      <c r="F276" s="268"/>
      <c r="G276" s="268"/>
      <c r="H276" s="268"/>
    </row>
    <row r="277">
      <c r="A277" s="22"/>
      <c r="B277" s="573"/>
      <c r="E277" s="268"/>
      <c r="F277" s="268"/>
      <c r="G277" s="268"/>
      <c r="H277" s="268"/>
    </row>
    <row r="278">
      <c r="A278" s="22"/>
      <c r="B278" s="573"/>
      <c r="E278" s="268"/>
      <c r="F278" s="268"/>
      <c r="G278" s="268"/>
      <c r="H278" s="268"/>
    </row>
    <row r="279">
      <c r="A279" s="22"/>
      <c r="B279" s="573"/>
      <c r="E279" s="268"/>
      <c r="F279" s="268"/>
      <c r="G279" s="268"/>
      <c r="H279" s="268"/>
    </row>
    <row r="280">
      <c r="A280" s="22"/>
      <c r="B280" s="573"/>
      <c r="E280" s="268"/>
      <c r="F280" s="268"/>
      <c r="G280" s="268"/>
      <c r="H280" s="268"/>
    </row>
    <row r="281">
      <c r="A281" s="22"/>
      <c r="B281" s="573"/>
      <c r="E281" s="268"/>
      <c r="F281" s="268"/>
      <c r="G281" s="268"/>
      <c r="H281" s="268"/>
    </row>
    <row r="282">
      <c r="A282" s="22"/>
      <c r="B282" s="573"/>
      <c r="E282" s="268"/>
      <c r="F282" s="268"/>
      <c r="G282" s="268"/>
      <c r="H282" s="268"/>
    </row>
    <row r="283">
      <c r="A283" s="22"/>
      <c r="E283" s="268"/>
      <c r="F283" s="268"/>
      <c r="G283" s="268"/>
      <c r="H283" s="268"/>
    </row>
    <row r="284">
      <c r="A284" s="22"/>
      <c r="E284" s="268"/>
      <c r="F284" s="268"/>
      <c r="G284" s="268"/>
      <c r="H284" s="268"/>
    </row>
    <row r="285">
      <c r="A285" s="22"/>
      <c r="B285" s="573"/>
      <c r="E285" s="268"/>
      <c r="F285" s="268"/>
      <c r="G285" s="268"/>
      <c r="H285" s="268"/>
    </row>
    <row r="286">
      <c r="A286" s="22"/>
      <c r="B286" s="573"/>
      <c r="E286" s="268"/>
      <c r="F286" s="268"/>
      <c r="G286" s="268"/>
      <c r="H286" s="268"/>
    </row>
    <row r="287">
      <c r="A287" s="22"/>
      <c r="B287" s="573"/>
      <c r="E287" s="268"/>
      <c r="F287" s="268"/>
      <c r="G287" s="268"/>
      <c r="H287" s="268"/>
    </row>
    <row r="288">
      <c r="A288" s="22"/>
      <c r="B288" s="573"/>
      <c r="E288" s="268"/>
      <c r="F288" s="268"/>
      <c r="G288" s="268"/>
      <c r="H288" s="268"/>
    </row>
    <row r="289">
      <c r="A289" s="22"/>
      <c r="B289" s="573"/>
      <c r="E289" s="268"/>
      <c r="F289" s="268"/>
      <c r="G289" s="268"/>
      <c r="H289" s="268"/>
    </row>
    <row r="290">
      <c r="A290" s="22"/>
      <c r="B290" s="573"/>
      <c r="E290" s="268"/>
      <c r="F290" s="268"/>
      <c r="G290" s="268"/>
      <c r="H290" s="268"/>
    </row>
    <row r="291">
      <c r="A291" s="22"/>
      <c r="B291" s="573"/>
      <c r="E291" s="268"/>
      <c r="F291" s="268"/>
      <c r="G291" s="268"/>
      <c r="H291" s="268"/>
    </row>
    <row r="292">
      <c r="A292" s="22"/>
      <c r="B292" s="573"/>
      <c r="E292" s="268"/>
      <c r="F292" s="268"/>
      <c r="G292" s="268"/>
      <c r="H292" s="268"/>
    </row>
    <row r="293">
      <c r="A293" s="22"/>
      <c r="B293" s="573"/>
      <c r="E293" s="268"/>
      <c r="F293" s="268"/>
      <c r="G293" s="268"/>
      <c r="H293" s="268"/>
    </row>
    <row r="294">
      <c r="A294" s="22"/>
      <c r="B294" s="573"/>
      <c r="E294" s="268"/>
      <c r="F294" s="268"/>
      <c r="G294" s="268"/>
      <c r="H294" s="268"/>
    </row>
    <row r="295">
      <c r="A295" s="22"/>
      <c r="B295" s="573"/>
      <c r="E295" s="268"/>
      <c r="F295" s="268"/>
      <c r="G295" s="268"/>
      <c r="H295" s="268"/>
    </row>
    <row r="296">
      <c r="A296" s="22"/>
      <c r="B296" s="573"/>
      <c r="E296" s="268"/>
      <c r="F296" s="268"/>
      <c r="G296" s="268"/>
      <c r="H296" s="268"/>
    </row>
    <row r="297">
      <c r="A297" s="22"/>
      <c r="B297" s="573"/>
      <c r="E297" s="268"/>
      <c r="F297" s="268"/>
      <c r="G297" s="268"/>
      <c r="H297" s="268"/>
    </row>
    <row r="298">
      <c r="A298" s="22"/>
      <c r="B298" s="573"/>
      <c r="E298" s="268"/>
      <c r="F298" s="268"/>
      <c r="G298" s="268"/>
      <c r="H298" s="268"/>
    </row>
    <row r="299">
      <c r="A299" s="22"/>
      <c r="B299" s="573"/>
      <c r="E299" s="268"/>
      <c r="F299" s="268"/>
      <c r="G299" s="268"/>
      <c r="H299" s="268"/>
    </row>
    <row r="300">
      <c r="A300" s="22"/>
      <c r="B300" s="573"/>
      <c r="E300" s="268"/>
      <c r="F300" s="268"/>
      <c r="G300" s="268"/>
      <c r="H300" s="268"/>
    </row>
    <row r="301">
      <c r="A301" s="22"/>
      <c r="B301" s="573"/>
      <c r="E301" s="268"/>
      <c r="F301" s="268"/>
      <c r="G301" s="268"/>
      <c r="H301" s="268"/>
    </row>
    <row r="302">
      <c r="A302" s="22"/>
      <c r="B302" s="573"/>
      <c r="E302" s="268"/>
      <c r="F302" s="268"/>
      <c r="G302" s="268"/>
      <c r="H302" s="268"/>
    </row>
    <row r="303">
      <c r="A303" s="22"/>
      <c r="B303" s="573"/>
      <c r="E303" s="268"/>
      <c r="F303" s="268"/>
      <c r="G303" s="268"/>
      <c r="H303" s="268"/>
    </row>
    <row r="304">
      <c r="A304" s="22"/>
      <c r="B304" s="573"/>
      <c r="E304" s="268"/>
      <c r="F304" s="268"/>
      <c r="G304" s="268"/>
      <c r="H304" s="268"/>
    </row>
    <row r="305">
      <c r="A305" s="22"/>
      <c r="B305" s="573"/>
      <c r="E305" s="268"/>
      <c r="F305" s="268"/>
      <c r="G305" s="268"/>
      <c r="H305" s="268"/>
    </row>
    <row r="306">
      <c r="A306" s="22"/>
      <c r="B306" s="573"/>
      <c r="E306" s="268"/>
      <c r="F306" s="268"/>
      <c r="G306" s="268"/>
      <c r="H306" s="268"/>
    </row>
    <row r="307">
      <c r="A307" s="22"/>
      <c r="B307" s="573"/>
      <c r="E307" s="268"/>
      <c r="F307" s="268"/>
      <c r="G307" s="268"/>
      <c r="H307" s="268"/>
    </row>
    <row r="308">
      <c r="A308" s="22"/>
      <c r="B308" s="573"/>
      <c r="E308" s="268"/>
      <c r="F308" s="268"/>
      <c r="G308" s="268"/>
      <c r="H308" s="268"/>
    </row>
    <row r="309">
      <c r="A309" s="22"/>
      <c r="B309" s="573"/>
      <c r="E309" s="268"/>
      <c r="F309" s="268"/>
      <c r="G309" s="268"/>
      <c r="H309" s="268"/>
    </row>
    <row r="310">
      <c r="A310" s="22"/>
      <c r="B310" s="573"/>
      <c r="E310" s="268"/>
      <c r="F310" s="268"/>
      <c r="G310" s="268"/>
      <c r="H310" s="268"/>
    </row>
    <row r="311">
      <c r="A311" s="22"/>
      <c r="B311" s="573"/>
      <c r="E311" s="268"/>
      <c r="F311" s="268"/>
      <c r="G311" s="268"/>
      <c r="H311" s="268"/>
    </row>
    <row r="312">
      <c r="A312" s="22"/>
      <c r="B312" s="573"/>
      <c r="E312" s="268"/>
      <c r="F312" s="268"/>
      <c r="G312" s="268"/>
      <c r="H312" s="268"/>
    </row>
    <row r="313">
      <c r="A313" s="22"/>
      <c r="B313" s="573"/>
      <c r="E313" s="268"/>
      <c r="F313" s="268"/>
      <c r="G313" s="268"/>
      <c r="H313" s="268"/>
    </row>
    <row r="314">
      <c r="A314" s="22"/>
      <c r="B314" s="573"/>
      <c r="E314" s="268"/>
      <c r="F314" s="268"/>
      <c r="G314" s="268"/>
      <c r="H314" s="268"/>
    </row>
    <row r="315">
      <c r="A315" s="22"/>
      <c r="B315" s="573"/>
      <c r="E315" s="268"/>
      <c r="F315" s="268"/>
      <c r="G315" s="268"/>
      <c r="H315" s="268"/>
    </row>
    <row r="316">
      <c r="A316" s="22"/>
      <c r="B316" s="573"/>
      <c r="E316" s="268"/>
      <c r="F316" s="268"/>
      <c r="G316" s="268"/>
      <c r="H316" s="268"/>
    </row>
    <row r="317">
      <c r="A317" s="22"/>
      <c r="B317" s="573"/>
      <c r="E317" s="268"/>
      <c r="F317" s="268"/>
      <c r="G317" s="268"/>
      <c r="H317" s="268"/>
    </row>
    <row r="318">
      <c r="A318" s="22"/>
      <c r="B318" s="573"/>
      <c r="E318" s="268"/>
      <c r="F318" s="268"/>
      <c r="G318" s="268"/>
      <c r="H318" s="268"/>
    </row>
    <row r="319">
      <c r="A319" s="22"/>
      <c r="B319" s="573"/>
      <c r="E319" s="268"/>
      <c r="F319" s="268"/>
      <c r="G319" s="268"/>
      <c r="H319" s="268"/>
    </row>
    <row r="320">
      <c r="A320" s="22"/>
      <c r="B320" s="573"/>
      <c r="E320" s="268"/>
      <c r="F320" s="268"/>
      <c r="G320" s="268"/>
      <c r="H320" s="268"/>
    </row>
    <row r="321">
      <c r="A321" s="22"/>
      <c r="B321" s="573"/>
      <c r="E321" s="268"/>
      <c r="F321" s="268"/>
      <c r="G321" s="268"/>
      <c r="H321" s="268"/>
    </row>
    <row r="322">
      <c r="A322" s="22"/>
      <c r="B322" s="573"/>
      <c r="E322" s="268"/>
      <c r="F322" s="268"/>
      <c r="G322" s="268"/>
      <c r="H322" s="268"/>
    </row>
    <row r="323">
      <c r="A323" s="22"/>
      <c r="B323" s="573"/>
      <c r="E323" s="268"/>
      <c r="F323" s="268"/>
      <c r="G323" s="268"/>
      <c r="H323" s="268"/>
    </row>
    <row r="324">
      <c r="A324" s="22"/>
      <c r="B324" s="573"/>
      <c r="E324" s="268"/>
      <c r="F324" s="268"/>
      <c r="G324" s="268"/>
      <c r="H324" s="268"/>
    </row>
    <row r="325">
      <c r="A325" s="22"/>
      <c r="B325" s="573"/>
      <c r="E325" s="268"/>
      <c r="F325" s="268"/>
      <c r="G325" s="268"/>
      <c r="H325" s="268"/>
    </row>
    <row r="326">
      <c r="A326" s="22"/>
      <c r="B326" s="573"/>
      <c r="E326" s="268"/>
      <c r="F326" s="268"/>
      <c r="G326" s="268"/>
      <c r="H326" s="268"/>
    </row>
    <row r="327">
      <c r="A327" s="22"/>
      <c r="B327" s="573"/>
      <c r="E327" s="268"/>
      <c r="F327" s="268"/>
      <c r="G327" s="268"/>
      <c r="H327" s="268"/>
    </row>
    <row r="328">
      <c r="A328" s="22"/>
      <c r="B328" s="573"/>
      <c r="E328" s="268"/>
      <c r="F328" s="268"/>
      <c r="G328" s="268"/>
      <c r="H328" s="268"/>
    </row>
    <row r="329">
      <c r="A329" s="22"/>
      <c r="B329" s="573"/>
      <c r="E329" s="268"/>
      <c r="F329" s="268"/>
      <c r="G329" s="268"/>
      <c r="H329" s="268"/>
    </row>
    <row r="330">
      <c r="A330" s="22"/>
      <c r="B330" s="573"/>
      <c r="E330" s="268"/>
      <c r="F330" s="268"/>
      <c r="G330" s="268"/>
      <c r="H330" s="268"/>
    </row>
    <row r="331">
      <c r="A331" s="22"/>
      <c r="B331" s="573"/>
      <c r="E331" s="268"/>
      <c r="F331" s="268"/>
      <c r="G331" s="268"/>
      <c r="H331" s="268"/>
    </row>
    <row r="332">
      <c r="A332" s="22"/>
      <c r="B332" s="573"/>
      <c r="E332" s="268"/>
      <c r="F332" s="268"/>
      <c r="G332" s="268"/>
      <c r="H332" s="268"/>
    </row>
    <row r="333">
      <c r="A333" s="22"/>
      <c r="B333" s="573"/>
      <c r="E333" s="268"/>
      <c r="F333" s="268"/>
      <c r="G333" s="268"/>
      <c r="H333" s="268"/>
    </row>
    <row r="334">
      <c r="A334" s="22"/>
      <c r="B334" s="573"/>
      <c r="E334" s="268"/>
      <c r="F334" s="268"/>
      <c r="G334" s="268"/>
      <c r="H334" s="268"/>
    </row>
    <row r="335">
      <c r="A335" s="22"/>
      <c r="B335" s="573"/>
      <c r="E335" s="268"/>
      <c r="F335" s="268"/>
      <c r="G335" s="268"/>
      <c r="H335" s="268"/>
    </row>
    <row r="336">
      <c r="A336" s="22"/>
      <c r="B336" s="573"/>
      <c r="E336" s="268"/>
      <c r="F336" s="268"/>
      <c r="G336" s="268"/>
      <c r="H336" s="268"/>
    </row>
    <row r="337">
      <c r="A337" s="22"/>
      <c r="B337" s="573"/>
      <c r="E337" s="268"/>
      <c r="F337" s="268"/>
      <c r="G337" s="268"/>
      <c r="H337" s="268"/>
    </row>
    <row r="338">
      <c r="A338" s="22"/>
      <c r="B338" s="573"/>
      <c r="E338" s="268"/>
      <c r="F338" s="268"/>
      <c r="G338" s="268"/>
      <c r="H338" s="268"/>
    </row>
    <row r="339">
      <c r="A339" s="22"/>
      <c r="B339" s="573"/>
      <c r="E339" s="268"/>
      <c r="F339" s="268"/>
      <c r="G339" s="268"/>
      <c r="H339" s="268"/>
    </row>
    <row r="340">
      <c r="A340" s="22"/>
      <c r="E340" s="268"/>
      <c r="F340" s="268"/>
      <c r="G340" s="268"/>
      <c r="H340" s="268"/>
    </row>
    <row r="341">
      <c r="A341" s="22"/>
      <c r="E341" s="268"/>
      <c r="F341" s="268"/>
      <c r="G341" s="268"/>
      <c r="H341" s="268"/>
    </row>
    <row r="342">
      <c r="A342" s="22"/>
      <c r="B342" s="573"/>
      <c r="E342" s="268"/>
      <c r="F342" s="268"/>
      <c r="G342" s="268"/>
      <c r="H342" s="268"/>
    </row>
    <row r="343">
      <c r="A343" s="22"/>
      <c r="B343" s="573"/>
      <c r="E343" s="268"/>
      <c r="F343" s="268"/>
      <c r="G343" s="268"/>
      <c r="H343" s="268"/>
    </row>
    <row r="344">
      <c r="A344" s="22"/>
      <c r="B344" s="573"/>
      <c r="E344" s="268"/>
      <c r="F344" s="268"/>
      <c r="G344" s="268"/>
      <c r="H344" s="268"/>
    </row>
    <row r="345">
      <c r="A345" s="22"/>
      <c r="B345" s="573"/>
      <c r="E345" s="268"/>
      <c r="F345" s="268"/>
      <c r="G345" s="268"/>
      <c r="H345" s="268"/>
    </row>
    <row r="346">
      <c r="A346" s="22"/>
      <c r="B346" s="573"/>
      <c r="E346" s="268"/>
      <c r="F346" s="268"/>
      <c r="G346" s="268"/>
      <c r="H346" s="268"/>
    </row>
    <row r="347">
      <c r="A347" s="22"/>
      <c r="B347" s="573"/>
      <c r="E347" s="268"/>
      <c r="F347" s="268"/>
      <c r="G347" s="268"/>
      <c r="H347" s="268"/>
    </row>
    <row r="348">
      <c r="A348" s="22"/>
      <c r="B348" s="573"/>
      <c r="E348" s="268"/>
      <c r="F348" s="268"/>
      <c r="G348" s="268"/>
      <c r="H348" s="268"/>
    </row>
    <row r="349">
      <c r="A349" s="22"/>
      <c r="B349" s="573"/>
      <c r="E349" s="268"/>
      <c r="F349" s="268"/>
      <c r="G349" s="268"/>
      <c r="H349" s="268"/>
    </row>
    <row r="350">
      <c r="A350" s="22"/>
      <c r="B350" s="573"/>
      <c r="E350" s="268"/>
      <c r="F350" s="268"/>
      <c r="G350" s="268"/>
      <c r="H350" s="268"/>
    </row>
    <row r="351">
      <c r="A351" s="22"/>
      <c r="B351" s="573"/>
      <c r="E351" s="268"/>
      <c r="F351" s="268"/>
      <c r="G351" s="268"/>
      <c r="H351" s="268"/>
    </row>
    <row r="352">
      <c r="A352" s="22"/>
      <c r="B352" s="573"/>
      <c r="E352" s="268"/>
      <c r="F352" s="268"/>
      <c r="G352" s="268"/>
      <c r="H352" s="268"/>
    </row>
    <row r="353">
      <c r="A353" s="22"/>
      <c r="B353" s="573"/>
      <c r="E353" s="268"/>
      <c r="F353" s="268"/>
      <c r="G353" s="268"/>
      <c r="H353" s="268"/>
    </row>
    <row r="354">
      <c r="A354" s="22"/>
      <c r="B354" s="573"/>
      <c r="E354" s="268"/>
      <c r="F354" s="268"/>
      <c r="G354" s="268"/>
      <c r="H354" s="268"/>
    </row>
    <row r="355">
      <c r="A355" s="22"/>
      <c r="B355" s="573"/>
      <c r="E355" s="268"/>
      <c r="F355" s="268"/>
      <c r="G355" s="268"/>
      <c r="H355" s="268"/>
    </row>
    <row r="356">
      <c r="A356" s="22"/>
      <c r="B356" s="573"/>
      <c r="E356" s="268"/>
      <c r="F356" s="268"/>
      <c r="G356" s="268"/>
      <c r="H356" s="268"/>
    </row>
    <row r="357">
      <c r="A357" s="22"/>
      <c r="B357" s="573"/>
      <c r="E357" s="268"/>
      <c r="F357" s="268"/>
      <c r="G357" s="268"/>
      <c r="H357" s="268"/>
    </row>
    <row r="358">
      <c r="A358" s="22"/>
      <c r="B358" s="573"/>
      <c r="E358" s="268"/>
      <c r="F358" s="268"/>
      <c r="G358" s="268"/>
      <c r="H358" s="268"/>
    </row>
    <row r="359">
      <c r="A359" s="22"/>
      <c r="B359" s="573"/>
      <c r="E359" s="268"/>
      <c r="F359" s="268"/>
      <c r="G359" s="268"/>
      <c r="H359" s="268"/>
    </row>
    <row r="360">
      <c r="A360" s="22"/>
      <c r="B360" s="573"/>
      <c r="E360" s="268"/>
      <c r="F360" s="268"/>
      <c r="G360" s="268"/>
      <c r="H360" s="268"/>
    </row>
    <row r="361">
      <c r="A361" s="22"/>
      <c r="B361" s="573"/>
      <c r="E361" s="268"/>
      <c r="F361" s="268"/>
      <c r="G361" s="268"/>
      <c r="H361" s="268"/>
    </row>
    <row r="362">
      <c r="A362" s="22"/>
      <c r="B362" s="573"/>
      <c r="E362" s="268"/>
      <c r="F362" s="268"/>
      <c r="G362" s="268"/>
      <c r="H362" s="268"/>
    </row>
    <row r="363">
      <c r="A363" s="22"/>
      <c r="B363" s="573"/>
      <c r="E363" s="268"/>
      <c r="F363" s="268"/>
      <c r="G363" s="268"/>
      <c r="H363" s="268"/>
    </row>
    <row r="364">
      <c r="A364" s="22"/>
      <c r="B364" s="573"/>
      <c r="E364" s="268"/>
      <c r="F364" s="268"/>
      <c r="G364" s="268"/>
      <c r="H364" s="268"/>
    </row>
    <row r="365">
      <c r="A365" s="22"/>
      <c r="B365" s="573"/>
      <c r="E365" s="268"/>
      <c r="F365" s="268"/>
      <c r="G365" s="268"/>
      <c r="H365" s="268"/>
    </row>
    <row r="366">
      <c r="A366" s="22"/>
      <c r="B366" s="573"/>
      <c r="E366" s="268"/>
      <c r="F366" s="268"/>
      <c r="G366" s="268"/>
      <c r="H366" s="268"/>
    </row>
    <row r="367">
      <c r="A367" s="22"/>
      <c r="B367" s="573"/>
      <c r="E367" s="268"/>
      <c r="F367" s="268"/>
      <c r="G367" s="268"/>
      <c r="H367" s="268"/>
    </row>
    <row r="368">
      <c r="A368" s="22"/>
      <c r="B368" s="573"/>
      <c r="E368" s="268"/>
      <c r="F368" s="268"/>
      <c r="G368" s="268"/>
      <c r="H368" s="268"/>
    </row>
    <row r="369">
      <c r="A369" s="22"/>
      <c r="B369" s="573"/>
      <c r="E369" s="268"/>
      <c r="F369" s="268"/>
      <c r="G369" s="268"/>
      <c r="H369" s="268"/>
    </row>
    <row r="370">
      <c r="A370" s="22"/>
      <c r="B370" s="573"/>
      <c r="E370" s="268"/>
      <c r="F370" s="268"/>
      <c r="G370" s="268"/>
      <c r="H370" s="268"/>
    </row>
    <row r="371">
      <c r="A371" s="22"/>
      <c r="B371" s="573"/>
      <c r="E371" s="268"/>
      <c r="F371" s="268"/>
      <c r="G371" s="268"/>
      <c r="H371" s="268"/>
    </row>
    <row r="372">
      <c r="A372" s="22"/>
      <c r="B372" s="573"/>
      <c r="E372" s="268"/>
      <c r="F372" s="268"/>
      <c r="G372" s="268"/>
      <c r="H372" s="268"/>
    </row>
    <row r="373">
      <c r="A373" s="22"/>
      <c r="B373" s="573"/>
      <c r="E373" s="268"/>
      <c r="F373" s="268"/>
      <c r="G373" s="268"/>
      <c r="H373" s="268"/>
    </row>
    <row r="374">
      <c r="A374" s="22"/>
      <c r="B374" s="573"/>
      <c r="E374" s="268"/>
      <c r="F374" s="268"/>
      <c r="G374" s="268"/>
      <c r="H374" s="268"/>
    </row>
    <row r="375">
      <c r="A375" s="22"/>
      <c r="B375" s="573"/>
      <c r="E375" s="268"/>
      <c r="F375" s="268"/>
      <c r="G375" s="268"/>
      <c r="H375" s="268"/>
    </row>
    <row r="376">
      <c r="A376" s="22"/>
      <c r="B376" s="573"/>
      <c r="E376" s="268"/>
      <c r="F376" s="268"/>
      <c r="G376" s="268"/>
      <c r="H376" s="268"/>
    </row>
    <row r="377">
      <c r="A377" s="22"/>
      <c r="B377" s="573"/>
      <c r="E377" s="268"/>
      <c r="F377" s="268"/>
      <c r="G377" s="268"/>
      <c r="H377" s="268"/>
    </row>
    <row r="378">
      <c r="A378" s="22"/>
      <c r="B378" s="573"/>
      <c r="E378" s="268"/>
      <c r="F378" s="268"/>
      <c r="G378" s="268"/>
      <c r="H378" s="268"/>
    </row>
    <row r="379">
      <c r="A379" s="22"/>
      <c r="B379" s="573"/>
      <c r="E379" s="268"/>
      <c r="F379" s="268"/>
      <c r="G379" s="268"/>
      <c r="H379" s="268"/>
    </row>
    <row r="380">
      <c r="A380" s="22"/>
      <c r="B380" s="573"/>
      <c r="E380" s="268"/>
      <c r="F380" s="268"/>
      <c r="G380" s="268"/>
      <c r="H380" s="268"/>
    </row>
    <row r="381">
      <c r="A381" s="22"/>
      <c r="B381" s="573"/>
      <c r="E381" s="268"/>
      <c r="F381" s="268"/>
      <c r="G381" s="268"/>
      <c r="H381" s="268"/>
    </row>
    <row r="382">
      <c r="A382" s="22"/>
      <c r="B382" s="573"/>
      <c r="E382" s="268"/>
      <c r="F382" s="268"/>
      <c r="G382" s="268"/>
      <c r="H382" s="268"/>
    </row>
    <row r="383">
      <c r="A383" s="22"/>
      <c r="B383" s="573"/>
      <c r="E383" s="268"/>
      <c r="F383" s="268"/>
      <c r="G383" s="268"/>
      <c r="H383" s="268"/>
    </row>
    <row r="384">
      <c r="A384" s="22"/>
      <c r="B384" s="573"/>
      <c r="E384" s="268"/>
      <c r="F384" s="268"/>
      <c r="G384" s="268"/>
      <c r="H384" s="268"/>
    </row>
    <row r="385">
      <c r="A385" s="22"/>
      <c r="B385" s="573"/>
      <c r="E385" s="268"/>
      <c r="F385" s="268"/>
      <c r="G385" s="268"/>
      <c r="H385" s="268"/>
    </row>
    <row r="386">
      <c r="A386" s="22"/>
      <c r="B386" s="573"/>
      <c r="E386" s="268"/>
      <c r="F386" s="268"/>
      <c r="G386" s="268"/>
      <c r="H386" s="268"/>
    </row>
    <row r="387">
      <c r="A387" s="22"/>
      <c r="B387" s="573"/>
      <c r="E387" s="268"/>
      <c r="F387" s="268"/>
      <c r="G387" s="268"/>
      <c r="H387" s="268"/>
    </row>
    <row r="388">
      <c r="A388" s="22"/>
      <c r="B388" s="573"/>
      <c r="E388" s="268"/>
      <c r="F388" s="268"/>
      <c r="G388" s="268"/>
      <c r="H388" s="268"/>
    </row>
    <row r="389">
      <c r="A389" s="22"/>
      <c r="B389" s="573"/>
      <c r="E389" s="268"/>
      <c r="F389" s="268"/>
      <c r="G389" s="268"/>
      <c r="H389" s="268"/>
    </row>
    <row r="390">
      <c r="A390" s="22"/>
      <c r="B390" s="573"/>
      <c r="E390" s="268"/>
      <c r="F390" s="268"/>
      <c r="G390" s="268"/>
      <c r="H390" s="268"/>
    </row>
    <row r="391">
      <c r="A391" s="22"/>
      <c r="B391" s="573"/>
      <c r="E391" s="268"/>
      <c r="F391" s="268"/>
      <c r="G391" s="268"/>
      <c r="H391" s="268"/>
    </row>
    <row r="392">
      <c r="A392" s="22"/>
      <c r="B392" s="573"/>
      <c r="E392" s="268"/>
      <c r="F392" s="268"/>
      <c r="G392" s="268"/>
      <c r="H392" s="268"/>
    </row>
    <row r="393">
      <c r="A393" s="22"/>
      <c r="B393" s="573"/>
      <c r="E393" s="268"/>
      <c r="F393" s="268"/>
      <c r="G393" s="268"/>
      <c r="H393" s="268"/>
    </row>
    <row r="394">
      <c r="A394" s="22"/>
      <c r="B394" s="573"/>
      <c r="E394" s="268"/>
      <c r="F394" s="268"/>
      <c r="G394" s="268"/>
      <c r="H394" s="268"/>
    </row>
    <row r="395">
      <c r="A395" s="22"/>
      <c r="B395" s="573"/>
      <c r="E395" s="268"/>
      <c r="F395" s="268"/>
      <c r="G395" s="268"/>
      <c r="H395" s="268"/>
    </row>
    <row r="396">
      <c r="A396" s="22"/>
      <c r="B396" s="573"/>
      <c r="E396" s="268"/>
      <c r="F396" s="268"/>
      <c r="G396" s="268"/>
      <c r="H396" s="268"/>
    </row>
    <row r="397">
      <c r="A397" s="22"/>
      <c r="E397" s="268"/>
      <c r="F397" s="268"/>
      <c r="G397" s="268"/>
      <c r="H397" s="268"/>
    </row>
    <row r="398">
      <c r="A398" s="22"/>
      <c r="E398" s="268"/>
      <c r="F398" s="268"/>
      <c r="G398" s="268"/>
      <c r="H398" s="268"/>
    </row>
    <row r="399">
      <c r="A399" s="22"/>
      <c r="B399" s="573"/>
      <c r="E399" s="268"/>
      <c r="F399" s="268"/>
      <c r="G399" s="268"/>
      <c r="H399" s="268"/>
    </row>
    <row r="400">
      <c r="A400" s="22"/>
      <c r="B400" s="573"/>
      <c r="E400" s="268"/>
      <c r="F400" s="268"/>
      <c r="G400" s="268"/>
      <c r="H400" s="268"/>
    </row>
    <row r="401">
      <c r="A401" s="22"/>
      <c r="B401" s="573"/>
      <c r="E401" s="268"/>
      <c r="F401" s="268"/>
      <c r="G401" s="268"/>
      <c r="H401" s="268"/>
    </row>
    <row r="402">
      <c r="A402" s="22"/>
      <c r="B402" s="573"/>
      <c r="E402" s="268"/>
      <c r="F402" s="268"/>
      <c r="G402" s="268"/>
      <c r="H402" s="268"/>
    </row>
    <row r="403">
      <c r="A403" s="22"/>
      <c r="B403" s="573"/>
      <c r="E403" s="268"/>
      <c r="F403" s="268"/>
      <c r="G403" s="268"/>
      <c r="H403" s="268"/>
    </row>
    <row r="404">
      <c r="A404" s="22"/>
      <c r="B404" s="573"/>
      <c r="E404" s="268"/>
      <c r="F404" s="268"/>
      <c r="G404" s="268"/>
      <c r="H404" s="268"/>
    </row>
    <row r="405">
      <c r="A405" s="22"/>
      <c r="B405" s="573"/>
      <c r="E405" s="268"/>
      <c r="F405" s="268"/>
      <c r="G405" s="268"/>
      <c r="H405" s="268"/>
    </row>
    <row r="406">
      <c r="A406" s="22"/>
      <c r="B406" s="573"/>
      <c r="E406" s="268"/>
      <c r="F406" s="268"/>
      <c r="G406" s="268"/>
      <c r="H406" s="268"/>
    </row>
    <row r="407">
      <c r="A407" s="22"/>
      <c r="B407" s="573"/>
      <c r="E407" s="268"/>
      <c r="F407" s="268"/>
      <c r="G407" s="268"/>
      <c r="H407" s="268"/>
    </row>
    <row r="408">
      <c r="A408" s="22"/>
      <c r="B408" s="573"/>
      <c r="E408" s="268"/>
      <c r="F408" s="268"/>
      <c r="G408" s="268"/>
      <c r="H408" s="268"/>
    </row>
    <row r="409">
      <c r="A409" s="22"/>
      <c r="B409" s="573"/>
      <c r="E409" s="268"/>
      <c r="F409" s="268"/>
      <c r="G409" s="268"/>
      <c r="H409" s="268"/>
    </row>
    <row r="410">
      <c r="A410" s="22"/>
      <c r="B410" s="573"/>
      <c r="E410" s="268"/>
      <c r="F410" s="268"/>
      <c r="G410" s="268"/>
      <c r="H410" s="268"/>
    </row>
    <row r="411">
      <c r="A411" s="22"/>
      <c r="B411" s="573"/>
      <c r="E411" s="268"/>
      <c r="F411" s="268"/>
      <c r="G411" s="268"/>
      <c r="H411" s="268"/>
    </row>
    <row r="412">
      <c r="A412" s="22"/>
      <c r="B412" s="573"/>
      <c r="E412" s="268"/>
      <c r="F412" s="268"/>
      <c r="G412" s="268"/>
      <c r="H412" s="268"/>
    </row>
    <row r="413">
      <c r="A413" s="22"/>
      <c r="B413" s="573"/>
      <c r="E413" s="268"/>
      <c r="F413" s="268"/>
      <c r="G413" s="268"/>
      <c r="H413" s="268"/>
    </row>
    <row r="414">
      <c r="A414" s="22"/>
      <c r="B414" s="573"/>
      <c r="E414" s="268"/>
      <c r="F414" s="268"/>
      <c r="G414" s="268"/>
      <c r="H414" s="268"/>
    </row>
    <row r="415">
      <c r="A415" s="22"/>
      <c r="B415" s="573"/>
      <c r="E415" s="268"/>
      <c r="F415" s="268"/>
      <c r="G415" s="268"/>
      <c r="H415" s="268"/>
    </row>
    <row r="416">
      <c r="A416" s="22"/>
      <c r="B416" s="573"/>
      <c r="E416" s="268"/>
      <c r="F416" s="268"/>
      <c r="G416" s="268"/>
      <c r="H416" s="268"/>
    </row>
    <row r="417">
      <c r="A417" s="22"/>
      <c r="B417" s="573"/>
      <c r="E417" s="268"/>
      <c r="F417" s="268"/>
      <c r="G417" s="268"/>
      <c r="H417" s="268"/>
    </row>
    <row r="418">
      <c r="A418" s="22"/>
      <c r="B418" s="573"/>
      <c r="E418" s="268"/>
      <c r="F418" s="268"/>
      <c r="G418" s="268"/>
      <c r="H418" s="268"/>
    </row>
    <row r="419">
      <c r="A419" s="22"/>
      <c r="B419" s="573"/>
      <c r="E419" s="268"/>
      <c r="F419" s="268"/>
      <c r="G419" s="268"/>
      <c r="H419" s="268"/>
    </row>
    <row r="420">
      <c r="A420" s="22"/>
      <c r="B420" s="573"/>
      <c r="E420" s="268"/>
      <c r="F420" s="268"/>
      <c r="G420" s="268"/>
      <c r="H420" s="268"/>
    </row>
    <row r="421">
      <c r="A421" s="22"/>
      <c r="B421" s="573"/>
      <c r="E421" s="268"/>
      <c r="F421" s="268"/>
      <c r="G421" s="268"/>
      <c r="H421" s="268"/>
    </row>
    <row r="422">
      <c r="A422" s="22"/>
      <c r="B422" s="573"/>
      <c r="E422" s="268"/>
      <c r="F422" s="268"/>
      <c r="G422" s="268"/>
      <c r="H422" s="268"/>
    </row>
    <row r="423">
      <c r="A423" s="22"/>
      <c r="B423" s="573"/>
      <c r="E423" s="268"/>
      <c r="F423" s="268"/>
      <c r="G423" s="268"/>
      <c r="H423" s="268"/>
    </row>
    <row r="424">
      <c r="A424" s="22"/>
      <c r="B424" s="573"/>
      <c r="E424" s="268"/>
      <c r="F424" s="268"/>
      <c r="G424" s="268"/>
      <c r="H424" s="268"/>
    </row>
    <row r="425">
      <c r="A425" s="22"/>
      <c r="B425" s="573"/>
      <c r="E425" s="268"/>
      <c r="F425" s="268"/>
      <c r="G425" s="268"/>
      <c r="H425" s="268"/>
    </row>
    <row r="426">
      <c r="A426" s="22"/>
      <c r="B426" s="573"/>
      <c r="E426" s="268"/>
      <c r="F426" s="268"/>
      <c r="G426" s="268"/>
      <c r="H426" s="268"/>
    </row>
    <row r="427">
      <c r="A427" s="22"/>
      <c r="B427" s="573"/>
      <c r="E427" s="268"/>
      <c r="F427" s="268"/>
      <c r="G427" s="268"/>
      <c r="H427" s="268"/>
    </row>
    <row r="428">
      <c r="A428" s="22"/>
      <c r="B428" s="573"/>
      <c r="E428" s="268"/>
      <c r="F428" s="268"/>
      <c r="G428" s="268"/>
      <c r="H428" s="268"/>
    </row>
    <row r="429">
      <c r="A429" s="22"/>
      <c r="B429" s="573"/>
      <c r="E429" s="268"/>
      <c r="F429" s="268"/>
      <c r="G429" s="268"/>
      <c r="H429" s="268"/>
    </row>
    <row r="430">
      <c r="A430" s="22"/>
      <c r="B430" s="573"/>
      <c r="E430" s="268"/>
      <c r="F430" s="268"/>
      <c r="G430" s="268"/>
      <c r="H430" s="268"/>
    </row>
    <row r="431">
      <c r="A431" s="22"/>
      <c r="B431" s="573"/>
      <c r="E431" s="268"/>
      <c r="F431" s="268"/>
      <c r="G431" s="268"/>
      <c r="H431" s="268"/>
    </row>
    <row r="432">
      <c r="A432" s="22"/>
      <c r="B432" s="573"/>
      <c r="E432" s="268"/>
      <c r="F432" s="268"/>
      <c r="G432" s="268"/>
      <c r="H432" s="268"/>
    </row>
    <row r="433">
      <c r="A433" s="22"/>
      <c r="B433" s="573"/>
      <c r="E433" s="268"/>
      <c r="F433" s="268"/>
      <c r="G433" s="268"/>
      <c r="H433" s="268"/>
    </row>
    <row r="434">
      <c r="A434" s="22"/>
      <c r="B434" s="573"/>
      <c r="E434" s="268"/>
      <c r="F434" s="268"/>
      <c r="G434" s="268"/>
      <c r="H434" s="268"/>
    </row>
    <row r="435">
      <c r="A435" s="22"/>
      <c r="B435" s="573"/>
      <c r="E435" s="268"/>
      <c r="F435" s="268"/>
      <c r="G435" s="268"/>
      <c r="H435" s="268"/>
    </row>
    <row r="436">
      <c r="A436" s="22"/>
      <c r="B436" s="573"/>
      <c r="E436" s="268"/>
      <c r="F436" s="268"/>
      <c r="G436" s="268"/>
      <c r="H436" s="268"/>
    </row>
    <row r="437">
      <c r="A437" s="22"/>
      <c r="B437" s="573"/>
      <c r="E437" s="268"/>
      <c r="F437" s="268"/>
      <c r="G437" s="268"/>
      <c r="H437" s="268"/>
    </row>
    <row r="438">
      <c r="A438" s="22"/>
      <c r="B438" s="573"/>
      <c r="E438" s="268"/>
      <c r="F438" s="268"/>
      <c r="G438" s="268"/>
      <c r="H438" s="268"/>
    </row>
    <row r="439">
      <c r="A439" s="22"/>
      <c r="B439" s="573"/>
      <c r="E439" s="268"/>
      <c r="F439" s="268"/>
      <c r="G439" s="268"/>
      <c r="H439" s="268"/>
    </row>
    <row r="440">
      <c r="A440" s="22"/>
      <c r="B440" s="573"/>
      <c r="E440" s="268"/>
      <c r="F440" s="268"/>
      <c r="G440" s="268"/>
      <c r="H440" s="268"/>
    </row>
    <row r="441">
      <c r="A441" s="22"/>
      <c r="B441" s="573"/>
      <c r="E441" s="268"/>
      <c r="F441" s="268"/>
      <c r="G441" s="268"/>
      <c r="H441" s="268"/>
    </row>
    <row r="442">
      <c r="A442" s="22"/>
      <c r="B442" s="573"/>
      <c r="E442" s="268"/>
      <c r="F442" s="268"/>
      <c r="G442" s="268"/>
      <c r="H442" s="268"/>
    </row>
    <row r="443">
      <c r="A443" s="22"/>
      <c r="B443" s="573"/>
      <c r="E443" s="268"/>
      <c r="F443" s="268"/>
      <c r="G443" s="268"/>
      <c r="H443" s="268"/>
    </row>
    <row r="444">
      <c r="A444" s="22"/>
      <c r="B444" s="573"/>
      <c r="E444" s="268"/>
      <c r="F444" s="268"/>
      <c r="G444" s="268"/>
      <c r="H444" s="268"/>
    </row>
    <row r="445">
      <c r="A445" s="22"/>
      <c r="B445" s="573"/>
      <c r="E445" s="268"/>
      <c r="F445" s="268"/>
      <c r="G445" s="268"/>
      <c r="H445" s="268"/>
    </row>
    <row r="446">
      <c r="A446" s="22"/>
      <c r="B446" s="573"/>
      <c r="E446" s="268"/>
      <c r="F446" s="268"/>
      <c r="G446" s="268"/>
      <c r="H446" s="268"/>
    </row>
    <row r="447">
      <c r="A447" s="22"/>
      <c r="B447" s="573"/>
      <c r="E447" s="268"/>
      <c r="F447" s="268"/>
      <c r="G447" s="268"/>
      <c r="H447" s="268"/>
    </row>
    <row r="448">
      <c r="A448" s="22"/>
      <c r="B448" s="573"/>
      <c r="E448" s="268"/>
      <c r="F448" s="268"/>
      <c r="G448" s="268"/>
      <c r="H448" s="268"/>
    </row>
    <row r="449">
      <c r="A449" s="22"/>
      <c r="B449" s="573"/>
      <c r="E449" s="268"/>
      <c r="F449" s="268"/>
      <c r="G449" s="268"/>
      <c r="H449" s="268"/>
    </row>
    <row r="450">
      <c r="A450" s="22"/>
      <c r="B450" s="573"/>
      <c r="E450" s="268"/>
      <c r="F450" s="268"/>
      <c r="G450" s="268"/>
      <c r="H450" s="268"/>
    </row>
    <row r="451">
      <c r="A451" s="22"/>
      <c r="B451" s="573"/>
      <c r="E451" s="268"/>
      <c r="F451" s="268"/>
      <c r="G451" s="268"/>
      <c r="H451" s="268"/>
    </row>
    <row r="452">
      <c r="A452" s="22"/>
      <c r="B452" s="573"/>
      <c r="E452" s="268"/>
      <c r="F452" s="268"/>
      <c r="G452" s="268"/>
      <c r="H452" s="268"/>
    </row>
    <row r="453">
      <c r="A453" s="22"/>
      <c r="B453" s="573"/>
      <c r="E453" s="268"/>
      <c r="F453" s="268"/>
      <c r="G453" s="268"/>
      <c r="H453" s="268"/>
    </row>
    <row r="454">
      <c r="A454" s="22"/>
      <c r="E454" s="268"/>
      <c r="F454" s="268"/>
      <c r="G454" s="268"/>
      <c r="H454" s="268"/>
    </row>
    <row r="455">
      <c r="A455" s="22"/>
      <c r="E455" s="268"/>
      <c r="F455" s="268"/>
      <c r="G455" s="268"/>
      <c r="H455" s="268"/>
    </row>
    <row r="456">
      <c r="A456" s="22"/>
      <c r="B456" s="573"/>
      <c r="E456" s="268"/>
      <c r="F456" s="268"/>
      <c r="G456" s="268"/>
      <c r="H456" s="268"/>
    </row>
    <row r="457">
      <c r="A457" s="22"/>
      <c r="B457" s="573"/>
      <c r="E457" s="268"/>
      <c r="F457" s="268"/>
      <c r="G457" s="268"/>
      <c r="H457" s="268"/>
    </row>
    <row r="458">
      <c r="A458" s="22"/>
      <c r="B458" s="573"/>
      <c r="E458" s="268"/>
      <c r="F458" s="268"/>
      <c r="G458" s="268"/>
      <c r="H458" s="268"/>
    </row>
    <row r="459">
      <c r="A459" s="22"/>
      <c r="B459" s="573"/>
      <c r="E459" s="268"/>
      <c r="F459" s="268"/>
      <c r="G459" s="268"/>
      <c r="H459" s="268"/>
    </row>
    <row r="460">
      <c r="A460" s="22"/>
      <c r="B460" s="573"/>
      <c r="E460" s="268"/>
      <c r="F460" s="268"/>
      <c r="G460" s="268"/>
      <c r="H460" s="268"/>
    </row>
    <row r="461">
      <c r="A461" s="22"/>
      <c r="B461" s="573"/>
      <c r="E461" s="268"/>
      <c r="F461" s="268"/>
      <c r="G461" s="268"/>
      <c r="H461" s="268"/>
    </row>
    <row r="462">
      <c r="A462" s="22"/>
      <c r="B462" s="573"/>
      <c r="E462" s="268"/>
      <c r="F462" s="268"/>
      <c r="G462" s="268"/>
      <c r="H462" s="268"/>
    </row>
    <row r="463">
      <c r="A463" s="22"/>
      <c r="B463" s="573"/>
      <c r="E463" s="268"/>
      <c r="F463" s="268"/>
      <c r="G463" s="268"/>
      <c r="H463" s="268"/>
    </row>
    <row r="464">
      <c r="A464" s="22"/>
      <c r="B464" s="573"/>
      <c r="E464" s="268"/>
      <c r="F464" s="268"/>
      <c r="G464" s="268"/>
      <c r="H464" s="268"/>
    </row>
    <row r="465">
      <c r="A465" s="22"/>
      <c r="B465" s="573"/>
      <c r="E465" s="268"/>
      <c r="F465" s="268"/>
      <c r="G465" s="268"/>
      <c r="H465" s="268"/>
    </row>
    <row r="466">
      <c r="A466" s="22"/>
      <c r="B466" s="573"/>
      <c r="E466" s="268"/>
      <c r="F466" s="268"/>
      <c r="G466" s="268"/>
      <c r="H466" s="268"/>
    </row>
    <row r="467">
      <c r="A467" s="22"/>
      <c r="B467" s="573"/>
      <c r="E467" s="268"/>
      <c r="F467" s="268"/>
      <c r="G467" s="268"/>
      <c r="H467" s="268"/>
    </row>
    <row r="468">
      <c r="A468" s="22"/>
      <c r="B468" s="573"/>
      <c r="E468" s="268"/>
      <c r="F468" s="268"/>
      <c r="G468" s="268"/>
      <c r="H468" s="268"/>
    </row>
    <row r="469">
      <c r="A469" s="22"/>
      <c r="B469" s="573"/>
      <c r="E469" s="268"/>
      <c r="F469" s="268"/>
      <c r="G469" s="268"/>
      <c r="H469" s="268"/>
    </row>
    <row r="470">
      <c r="A470" s="22"/>
      <c r="B470" s="573"/>
      <c r="E470" s="268"/>
      <c r="F470" s="268"/>
      <c r="G470" s="268"/>
      <c r="H470" s="268"/>
    </row>
    <row r="471">
      <c r="A471" s="22"/>
      <c r="B471" s="573"/>
      <c r="E471" s="268"/>
      <c r="F471" s="268"/>
      <c r="G471" s="268"/>
      <c r="H471" s="268"/>
    </row>
    <row r="472">
      <c r="A472" s="22"/>
      <c r="B472" s="573"/>
      <c r="E472" s="268"/>
      <c r="F472" s="268"/>
      <c r="G472" s="268"/>
      <c r="H472" s="268"/>
    </row>
    <row r="473">
      <c r="A473" s="22"/>
      <c r="B473" s="573"/>
      <c r="E473" s="268"/>
      <c r="F473" s="268"/>
      <c r="G473" s="268"/>
      <c r="H473" s="268"/>
    </row>
    <row r="474">
      <c r="A474" s="22"/>
      <c r="B474" s="573"/>
      <c r="E474" s="268"/>
      <c r="F474" s="268"/>
      <c r="G474" s="268"/>
      <c r="H474" s="268"/>
    </row>
    <row r="475">
      <c r="A475" s="22"/>
      <c r="B475" s="573"/>
      <c r="E475" s="268"/>
      <c r="F475" s="268"/>
      <c r="G475" s="268"/>
      <c r="H475" s="268"/>
    </row>
    <row r="476">
      <c r="A476" s="22"/>
      <c r="B476" s="573"/>
      <c r="E476" s="268"/>
      <c r="F476" s="268"/>
      <c r="G476" s="268"/>
      <c r="H476" s="268"/>
    </row>
    <row r="477">
      <c r="A477" s="22"/>
      <c r="B477" s="573"/>
      <c r="E477" s="268"/>
      <c r="F477" s="268"/>
      <c r="G477" s="268"/>
      <c r="H477" s="268"/>
    </row>
    <row r="478">
      <c r="A478" s="22"/>
      <c r="B478" s="573"/>
      <c r="E478" s="268"/>
      <c r="F478" s="268"/>
      <c r="G478" s="268"/>
      <c r="H478" s="268"/>
    </row>
    <row r="479">
      <c r="A479" s="22"/>
      <c r="B479" s="573"/>
      <c r="E479" s="268"/>
      <c r="F479" s="268"/>
      <c r="G479" s="268"/>
      <c r="H479" s="268"/>
    </row>
    <row r="480">
      <c r="A480" s="22"/>
      <c r="B480" s="573"/>
      <c r="E480" s="268"/>
      <c r="F480" s="268"/>
      <c r="G480" s="268"/>
      <c r="H480" s="268"/>
    </row>
    <row r="481">
      <c r="A481" s="22"/>
      <c r="B481" s="573"/>
      <c r="E481" s="268"/>
      <c r="F481" s="268"/>
      <c r="G481" s="268"/>
      <c r="H481" s="268"/>
    </row>
    <row r="482">
      <c r="A482" s="22"/>
      <c r="B482" s="573"/>
      <c r="E482" s="268"/>
      <c r="F482" s="268"/>
      <c r="G482" s="268"/>
      <c r="H482" s="268"/>
    </row>
    <row r="483">
      <c r="A483" s="22"/>
      <c r="B483" s="573"/>
      <c r="E483" s="268"/>
      <c r="F483" s="268"/>
      <c r="G483" s="268"/>
      <c r="H483" s="268"/>
    </row>
    <row r="484">
      <c r="A484" s="22"/>
      <c r="B484" s="573"/>
      <c r="E484" s="268"/>
      <c r="F484" s="268"/>
      <c r="G484" s="268"/>
      <c r="H484" s="268"/>
    </row>
    <row r="485">
      <c r="A485" s="22"/>
      <c r="B485" s="573"/>
      <c r="E485" s="268"/>
      <c r="F485" s="268"/>
      <c r="G485" s="268"/>
      <c r="H485" s="268"/>
    </row>
    <row r="486">
      <c r="A486" s="22"/>
      <c r="B486" s="573"/>
      <c r="E486" s="268"/>
      <c r="F486" s="268"/>
      <c r="G486" s="268"/>
      <c r="H486" s="268"/>
    </row>
    <row r="487">
      <c r="A487" s="22"/>
      <c r="B487" s="573"/>
      <c r="E487" s="268"/>
      <c r="F487" s="268"/>
      <c r="G487" s="268"/>
      <c r="H487" s="268"/>
    </row>
    <row r="488">
      <c r="A488" s="22"/>
      <c r="B488" s="573"/>
      <c r="E488" s="268"/>
      <c r="F488" s="268"/>
      <c r="G488" s="268"/>
      <c r="H488" s="268"/>
    </row>
    <row r="489">
      <c r="A489" s="22"/>
      <c r="B489" s="573"/>
      <c r="E489" s="268"/>
      <c r="F489" s="268"/>
      <c r="G489" s="268"/>
      <c r="H489" s="268"/>
    </row>
    <row r="490">
      <c r="A490" s="22"/>
      <c r="B490" s="573"/>
      <c r="E490" s="268"/>
      <c r="F490" s="268"/>
      <c r="G490" s="268"/>
      <c r="H490" s="268"/>
    </row>
    <row r="491">
      <c r="A491" s="22"/>
      <c r="B491" s="573"/>
      <c r="E491" s="268"/>
      <c r="F491" s="268"/>
      <c r="G491" s="268"/>
      <c r="H491" s="268"/>
    </row>
    <row r="492">
      <c r="A492" s="22"/>
      <c r="B492" s="573"/>
      <c r="E492" s="268"/>
      <c r="F492" s="268"/>
      <c r="G492" s="268"/>
      <c r="H492" s="268"/>
    </row>
    <row r="493">
      <c r="A493" s="22"/>
      <c r="B493" s="573"/>
      <c r="E493" s="268"/>
      <c r="F493" s="268"/>
      <c r="G493" s="268"/>
      <c r="H493" s="268"/>
    </row>
    <row r="494">
      <c r="A494" s="22"/>
      <c r="B494" s="573"/>
      <c r="E494" s="268"/>
      <c r="F494" s="268"/>
      <c r="G494" s="268"/>
      <c r="H494" s="268"/>
    </row>
    <row r="495">
      <c r="A495" s="22"/>
      <c r="B495" s="573"/>
      <c r="E495" s="268"/>
      <c r="F495" s="268"/>
      <c r="G495" s="268"/>
      <c r="H495" s="268"/>
    </row>
    <row r="496">
      <c r="A496" s="22"/>
      <c r="B496" s="573"/>
      <c r="E496" s="268"/>
      <c r="F496" s="268"/>
      <c r="G496" s="268"/>
      <c r="H496" s="268"/>
    </row>
    <row r="497">
      <c r="A497" s="22"/>
      <c r="B497" s="573"/>
      <c r="E497" s="268"/>
      <c r="F497" s="268"/>
      <c r="G497" s="268"/>
      <c r="H497" s="268"/>
    </row>
    <row r="498">
      <c r="A498" s="22"/>
      <c r="B498" s="573"/>
      <c r="E498" s="268"/>
      <c r="F498" s="268"/>
      <c r="G498" s="268"/>
      <c r="H498" s="268"/>
    </row>
    <row r="499">
      <c r="A499" s="22"/>
      <c r="B499" s="573"/>
      <c r="E499" s="268"/>
      <c r="F499" s="268"/>
      <c r="G499" s="268"/>
      <c r="H499" s="268"/>
    </row>
    <row r="500">
      <c r="A500" s="22"/>
      <c r="B500" s="573"/>
      <c r="E500" s="268"/>
      <c r="F500" s="268"/>
      <c r="G500" s="268"/>
      <c r="H500" s="268"/>
    </row>
    <row r="501">
      <c r="A501" s="22"/>
      <c r="B501" s="573"/>
      <c r="E501" s="268"/>
      <c r="F501" s="268"/>
      <c r="G501" s="268"/>
      <c r="H501" s="268"/>
    </row>
    <row r="502">
      <c r="A502" s="22"/>
      <c r="B502" s="573"/>
      <c r="E502" s="268"/>
      <c r="F502" s="268"/>
      <c r="G502" s="268"/>
      <c r="H502" s="268"/>
    </row>
    <row r="503">
      <c r="A503" s="22"/>
      <c r="B503" s="573"/>
      <c r="E503" s="268"/>
      <c r="F503" s="268"/>
      <c r="G503" s="268"/>
      <c r="H503" s="268"/>
    </row>
    <row r="504">
      <c r="A504" s="22"/>
      <c r="B504" s="573"/>
      <c r="E504" s="268"/>
      <c r="F504" s="268"/>
      <c r="G504" s="268"/>
      <c r="H504" s="268"/>
    </row>
    <row r="505">
      <c r="A505" s="22"/>
      <c r="B505" s="573"/>
      <c r="E505" s="268"/>
      <c r="F505" s="268"/>
      <c r="G505" s="268"/>
      <c r="H505" s="268"/>
    </row>
    <row r="506">
      <c r="A506" s="22"/>
      <c r="B506" s="573"/>
      <c r="E506" s="268"/>
      <c r="F506" s="268"/>
      <c r="G506" s="268"/>
      <c r="H506" s="268"/>
    </row>
    <row r="507">
      <c r="A507" s="22"/>
      <c r="B507" s="573"/>
      <c r="E507" s="268"/>
      <c r="F507" s="268"/>
      <c r="G507" s="268"/>
      <c r="H507" s="268"/>
    </row>
    <row r="508">
      <c r="A508" s="22"/>
      <c r="B508" s="573"/>
      <c r="E508" s="268"/>
      <c r="F508" s="268"/>
      <c r="G508" s="268"/>
      <c r="H508" s="268"/>
    </row>
    <row r="509">
      <c r="A509" s="22"/>
      <c r="B509" s="573"/>
      <c r="E509" s="268"/>
      <c r="F509" s="268"/>
      <c r="G509" s="268"/>
      <c r="H509" s="268"/>
    </row>
    <row r="510">
      <c r="A510" s="22"/>
      <c r="B510" s="573"/>
      <c r="E510" s="268"/>
      <c r="F510" s="268"/>
      <c r="G510" s="268"/>
      <c r="H510" s="268"/>
    </row>
    <row r="511">
      <c r="A511" s="22"/>
      <c r="E511" s="268"/>
      <c r="F511" s="268"/>
      <c r="G511" s="268"/>
      <c r="H511" s="268"/>
    </row>
    <row r="512">
      <c r="A512" s="22"/>
      <c r="E512" s="268"/>
      <c r="F512" s="268"/>
      <c r="G512" s="268"/>
      <c r="H512" s="268"/>
    </row>
    <row r="513">
      <c r="A513" s="22"/>
      <c r="B513" s="573"/>
      <c r="E513" s="268"/>
      <c r="F513" s="268"/>
      <c r="G513" s="268"/>
      <c r="H513" s="268"/>
    </row>
    <row r="514">
      <c r="A514" s="22"/>
      <c r="B514" s="573"/>
      <c r="E514" s="268"/>
      <c r="F514" s="268"/>
      <c r="G514" s="268"/>
      <c r="H514" s="268"/>
    </row>
    <row r="515">
      <c r="A515" s="22"/>
      <c r="B515" s="573"/>
      <c r="E515" s="268"/>
      <c r="F515" s="268"/>
      <c r="G515" s="268"/>
      <c r="H515" s="268"/>
    </row>
    <row r="516">
      <c r="A516" s="22"/>
      <c r="B516" s="573"/>
      <c r="E516" s="268"/>
      <c r="F516" s="268"/>
      <c r="G516" s="268"/>
      <c r="H516" s="268"/>
    </row>
    <row r="517">
      <c r="A517" s="22"/>
      <c r="B517" s="573"/>
      <c r="E517" s="268"/>
      <c r="F517" s="268"/>
      <c r="G517" s="268"/>
      <c r="H517" s="268"/>
    </row>
    <row r="518">
      <c r="A518" s="22"/>
      <c r="B518" s="573"/>
      <c r="E518" s="268"/>
      <c r="F518" s="268"/>
      <c r="G518" s="268"/>
      <c r="H518" s="268"/>
    </row>
    <row r="519">
      <c r="A519" s="22"/>
      <c r="B519" s="573"/>
      <c r="E519" s="268"/>
      <c r="F519" s="268"/>
      <c r="G519" s="268"/>
      <c r="H519" s="268"/>
    </row>
    <row r="520">
      <c r="A520" s="22"/>
      <c r="B520" s="573"/>
      <c r="E520" s="268"/>
      <c r="F520" s="268"/>
      <c r="G520" s="268"/>
      <c r="H520" s="268"/>
    </row>
    <row r="521">
      <c r="A521" s="22"/>
      <c r="B521" s="573"/>
      <c r="E521" s="268"/>
      <c r="F521" s="268"/>
      <c r="G521" s="268"/>
      <c r="H521" s="268"/>
    </row>
    <row r="522">
      <c r="A522" s="22"/>
      <c r="B522" s="573"/>
      <c r="E522" s="268"/>
      <c r="F522" s="268"/>
      <c r="G522" s="268"/>
      <c r="H522" s="268"/>
    </row>
    <row r="523">
      <c r="A523" s="22"/>
      <c r="B523" s="573"/>
      <c r="E523" s="268"/>
      <c r="F523" s="268"/>
      <c r="G523" s="268"/>
      <c r="H523" s="268"/>
    </row>
    <row r="524">
      <c r="A524" s="22"/>
      <c r="B524" s="573"/>
      <c r="E524" s="268"/>
      <c r="F524" s="268"/>
      <c r="G524" s="268"/>
      <c r="H524" s="268"/>
    </row>
    <row r="525">
      <c r="A525" s="22"/>
      <c r="B525" s="573"/>
      <c r="E525" s="268"/>
      <c r="F525" s="268"/>
      <c r="G525" s="268"/>
      <c r="H525" s="268"/>
    </row>
    <row r="526">
      <c r="A526" s="22"/>
      <c r="B526" s="573"/>
      <c r="E526" s="268"/>
      <c r="F526" s="268"/>
      <c r="G526" s="268"/>
      <c r="H526" s="268"/>
    </row>
    <row r="527">
      <c r="A527" s="22"/>
      <c r="B527" s="573"/>
      <c r="E527" s="268"/>
      <c r="F527" s="268"/>
      <c r="G527" s="268"/>
      <c r="H527" s="268"/>
    </row>
    <row r="528">
      <c r="A528" s="22"/>
      <c r="B528" s="573"/>
      <c r="E528" s="268"/>
      <c r="F528" s="268"/>
      <c r="G528" s="268"/>
      <c r="H528" s="268"/>
    </row>
    <row r="529">
      <c r="A529" s="22"/>
      <c r="B529" s="573"/>
      <c r="E529" s="268"/>
      <c r="F529" s="268"/>
      <c r="G529" s="268"/>
      <c r="H529" s="268"/>
    </row>
    <row r="530">
      <c r="A530" s="22"/>
      <c r="B530" s="573"/>
      <c r="E530" s="268"/>
      <c r="F530" s="268"/>
      <c r="G530" s="268"/>
      <c r="H530" s="268"/>
    </row>
    <row r="531">
      <c r="A531" s="22"/>
      <c r="B531" s="573"/>
      <c r="E531" s="268"/>
      <c r="F531" s="268"/>
      <c r="G531" s="268"/>
      <c r="H531" s="268"/>
    </row>
    <row r="532">
      <c r="A532" s="22"/>
      <c r="B532" s="573"/>
      <c r="E532" s="268"/>
      <c r="F532" s="268"/>
      <c r="G532" s="268"/>
      <c r="H532" s="268"/>
    </row>
    <row r="533">
      <c r="A533" s="22"/>
      <c r="B533" s="573"/>
      <c r="E533" s="268"/>
      <c r="F533" s="268"/>
      <c r="G533" s="268"/>
      <c r="H533" s="268"/>
    </row>
    <row r="534">
      <c r="A534" s="22"/>
      <c r="B534" s="573"/>
      <c r="E534" s="268"/>
      <c r="F534" s="268"/>
      <c r="G534" s="268"/>
      <c r="H534" s="268"/>
    </row>
    <row r="535">
      <c r="A535" s="22"/>
      <c r="B535" s="573"/>
      <c r="E535" s="268"/>
      <c r="F535" s="268"/>
      <c r="G535" s="268"/>
      <c r="H535" s="268"/>
    </row>
    <row r="536">
      <c r="A536" s="22"/>
      <c r="B536" s="573"/>
      <c r="E536" s="268"/>
      <c r="F536" s="268"/>
      <c r="G536" s="268"/>
      <c r="H536" s="268"/>
    </row>
    <row r="537">
      <c r="A537" s="22"/>
      <c r="B537" s="573"/>
      <c r="E537" s="268"/>
      <c r="F537" s="268"/>
      <c r="G537" s="268"/>
      <c r="H537" s="268"/>
    </row>
    <row r="538">
      <c r="A538" s="22"/>
      <c r="B538" s="573"/>
      <c r="E538" s="268"/>
      <c r="F538" s="268"/>
      <c r="G538" s="268"/>
      <c r="H538" s="268"/>
    </row>
    <row r="539">
      <c r="A539" s="22"/>
      <c r="B539" s="573"/>
      <c r="E539" s="268"/>
      <c r="F539" s="268"/>
      <c r="G539" s="268"/>
      <c r="H539" s="268"/>
    </row>
    <row r="540">
      <c r="A540" s="22"/>
      <c r="B540" s="573"/>
      <c r="E540" s="268"/>
      <c r="F540" s="268"/>
      <c r="G540" s="268"/>
      <c r="H540" s="268"/>
    </row>
    <row r="541">
      <c r="A541" s="22"/>
      <c r="B541" s="573"/>
      <c r="E541" s="268"/>
      <c r="F541" s="268"/>
      <c r="G541" s="268"/>
      <c r="H541" s="268"/>
    </row>
    <row r="542">
      <c r="A542" s="22"/>
      <c r="B542" s="573"/>
      <c r="E542" s="268"/>
      <c r="F542" s="268"/>
      <c r="G542" s="268"/>
      <c r="H542" s="268"/>
    </row>
    <row r="543">
      <c r="A543" s="22"/>
      <c r="B543" s="573"/>
      <c r="E543" s="268"/>
      <c r="F543" s="268"/>
      <c r="G543" s="268"/>
      <c r="H543" s="268"/>
    </row>
    <row r="544">
      <c r="A544" s="22"/>
      <c r="B544" s="573"/>
      <c r="E544" s="268"/>
      <c r="F544" s="268"/>
      <c r="G544" s="268"/>
      <c r="H544" s="268"/>
    </row>
    <row r="545">
      <c r="A545" s="22"/>
      <c r="B545" s="573"/>
      <c r="E545" s="268"/>
      <c r="F545" s="268"/>
      <c r="G545" s="268"/>
      <c r="H545" s="268"/>
    </row>
    <row r="546">
      <c r="A546" s="22"/>
      <c r="B546" s="573"/>
      <c r="E546" s="268"/>
      <c r="F546" s="268"/>
      <c r="G546" s="268"/>
      <c r="H546" s="268"/>
    </row>
    <row r="547">
      <c r="A547" s="22"/>
      <c r="B547" s="573"/>
      <c r="E547" s="268"/>
      <c r="F547" s="268"/>
      <c r="G547" s="268"/>
      <c r="H547" s="268"/>
    </row>
    <row r="548">
      <c r="A548" s="22"/>
      <c r="B548" s="573"/>
      <c r="E548" s="268"/>
      <c r="F548" s="268"/>
      <c r="G548" s="268"/>
      <c r="H548" s="268"/>
    </row>
    <row r="549">
      <c r="A549" s="22"/>
      <c r="B549" s="573"/>
      <c r="E549" s="268"/>
      <c r="F549" s="268"/>
      <c r="G549" s="268"/>
      <c r="H549" s="268"/>
    </row>
    <row r="550">
      <c r="A550" s="22"/>
      <c r="B550" s="573"/>
      <c r="E550" s="268"/>
      <c r="F550" s="268"/>
      <c r="G550" s="268"/>
      <c r="H550" s="268"/>
    </row>
    <row r="551">
      <c r="A551" s="22"/>
      <c r="B551" s="573"/>
      <c r="E551" s="268"/>
      <c r="F551" s="268"/>
      <c r="G551" s="268"/>
      <c r="H551" s="268"/>
    </row>
    <row r="552">
      <c r="A552" s="22"/>
      <c r="B552" s="573"/>
      <c r="E552" s="268"/>
      <c r="F552" s="268"/>
      <c r="G552" s="268"/>
      <c r="H552" s="268"/>
    </row>
    <row r="553">
      <c r="A553" s="22"/>
      <c r="B553" s="573"/>
      <c r="E553" s="268"/>
      <c r="F553" s="268"/>
      <c r="G553" s="268"/>
      <c r="H553" s="268"/>
    </row>
    <row r="554">
      <c r="A554" s="22"/>
      <c r="B554" s="573"/>
      <c r="E554" s="268"/>
      <c r="F554" s="268"/>
      <c r="G554" s="268"/>
      <c r="H554" s="268"/>
    </row>
    <row r="555">
      <c r="A555" s="22"/>
      <c r="B555" s="573"/>
      <c r="E555" s="268"/>
      <c r="F555" s="268"/>
      <c r="G555" s="268"/>
      <c r="H555" s="268"/>
    </row>
    <row r="556">
      <c r="A556" s="22"/>
      <c r="B556" s="573"/>
      <c r="E556" s="268"/>
      <c r="F556" s="268"/>
      <c r="G556" s="268"/>
      <c r="H556" s="268"/>
    </row>
    <row r="557">
      <c r="A557" s="22"/>
      <c r="B557" s="573"/>
      <c r="E557" s="268"/>
      <c r="F557" s="268"/>
      <c r="G557" s="268"/>
      <c r="H557" s="268"/>
    </row>
    <row r="558">
      <c r="A558" s="22"/>
      <c r="B558" s="573"/>
      <c r="E558" s="268"/>
      <c r="F558" s="268"/>
      <c r="G558" s="268"/>
      <c r="H558" s="268"/>
    </row>
    <row r="559">
      <c r="A559" s="22"/>
      <c r="B559" s="573"/>
      <c r="E559" s="268"/>
      <c r="F559" s="268"/>
      <c r="G559" s="268"/>
      <c r="H559" s="268"/>
    </row>
    <row r="560">
      <c r="A560" s="22"/>
      <c r="B560" s="573"/>
      <c r="E560" s="268"/>
      <c r="F560" s="268"/>
      <c r="G560" s="268"/>
      <c r="H560" s="268"/>
    </row>
    <row r="561">
      <c r="A561" s="22"/>
      <c r="B561" s="573"/>
      <c r="E561" s="268"/>
      <c r="F561" s="268"/>
      <c r="G561" s="268"/>
      <c r="H561" s="268"/>
    </row>
    <row r="562">
      <c r="A562" s="22"/>
      <c r="B562" s="573"/>
      <c r="E562" s="268"/>
      <c r="F562" s="268"/>
      <c r="G562" s="268"/>
      <c r="H562" s="268"/>
    </row>
    <row r="563">
      <c r="A563" s="22"/>
      <c r="B563" s="573"/>
      <c r="E563" s="268"/>
      <c r="F563" s="268"/>
      <c r="G563" s="268"/>
      <c r="H563" s="268"/>
    </row>
    <row r="564">
      <c r="A564" s="22"/>
      <c r="B564" s="573"/>
      <c r="E564" s="268"/>
      <c r="F564" s="268"/>
      <c r="G564" s="268"/>
      <c r="H564" s="268"/>
    </row>
    <row r="565">
      <c r="A565" s="22"/>
      <c r="B565" s="573"/>
      <c r="E565" s="268"/>
      <c r="F565" s="268"/>
      <c r="G565" s="268"/>
      <c r="H565" s="268"/>
    </row>
    <row r="566">
      <c r="A566" s="22"/>
      <c r="B566" s="573"/>
      <c r="E566" s="268"/>
      <c r="F566" s="268"/>
      <c r="G566" s="268"/>
      <c r="H566" s="268"/>
    </row>
    <row r="567">
      <c r="A567" s="22"/>
      <c r="B567" s="573"/>
      <c r="E567" s="268"/>
      <c r="F567" s="268"/>
      <c r="G567" s="268"/>
      <c r="H567" s="268"/>
    </row>
    <row r="568">
      <c r="A568" s="22"/>
      <c r="E568" s="268"/>
      <c r="F568" s="268"/>
      <c r="G568" s="268"/>
      <c r="H568" s="268"/>
    </row>
    <row r="569">
      <c r="A569" s="22"/>
      <c r="E569" s="268"/>
      <c r="F569" s="268"/>
      <c r="G569" s="268"/>
      <c r="H569" s="268"/>
    </row>
    <row r="570">
      <c r="A570" s="22"/>
      <c r="B570" s="573"/>
      <c r="E570" s="268"/>
      <c r="F570" s="268"/>
      <c r="G570" s="268"/>
      <c r="H570" s="268"/>
    </row>
    <row r="571">
      <c r="A571" s="22"/>
      <c r="B571" s="573"/>
      <c r="E571" s="268"/>
      <c r="F571" s="268"/>
      <c r="G571" s="268"/>
      <c r="H571" s="268"/>
    </row>
    <row r="572">
      <c r="A572" s="22"/>
      <c r="B572" s="573"/>
      <c r="E572" s="268"/>
      <c r="F572" s="268"/>
      <c r="G572" s="268"/>
      <c r="H572" s="268"/>
    </row>
    <row r="573">
      <c r="A573" s="22"/>
      <c r="B573" s="573"/>
      <c r="E573" s="268"/>
      <c r="F573" s="268"/>
      <c r="G573" s="268"/>
      <c r="H573" s="268"/>
    </row>
    <row r="574">
      <c r="A574" s="22"/>
      <c r="B574" s="573"/>
      <c r="E574" s="268"/>
      <c r="F574" s="268"/>
      <c r="G574" s="268"/>
      <c r="H574" s="268"/>
    </row>
    <row r="575">
      <c r="A575" s="22"/>
      <c r="B575" s="573"/>
      <c r="E575" s="268"/>
      <c r="F575" s="268"/>
      <c r="G575" s="268"/>
      <c r="H575" s="268"/>
    </row>
    <row r="576">
      <c r="A576" s="22"/>
      <c r="B576" s="573"/>
      <c r="E576" s="268"/>
      <c r="F576" s="268"/>
      <c r="G576" s="268"/>
      <c r="H576" s="268"/>
    </row>
    <row r="577">
      <c r="A577" s="22"/>
      <c r="B577" s="573"/>
      <c r="E577" s="268"/>
      <c r="F577" s="268"/>
      <c r="G577" s="268"/>
      <c r="H577" s="268"/>
    </row>
    <row r="578">
      <c r="A578" s="22"/>
      <c r="B578" s="573"/>
      <c r="E578" s="268"/>
      <c r="F578" s="268"/>
      <c r="G578" s="268"/>
      <c r="H578" s="268"/>
    </row>
    <row r="579">
      <c r="A579" s="22"/>
      <c r="B579" s="573"/>
      <c r="E579" s="268"/>
      <c r="F579" s="268"/>
      <c r="G579" s="268"/>
      <c r="H579" s="268"/>
    </row>
    <row r="580">
      <c r="A580" s="22"/>
      <c r="B580" s="573"/>
      <c r="E580" s="268"/>
      <c r="F580" s="268"/>
      <c r="G580" s="268"/>
      <c r="H580" s="268"/>
    </row>
    <row r="581">
      <c r="A581" s="22"/>
      <c r="B581" s="573"/>
      <c r="E581" s="268"/>
      <c r="F581" s="268"/>
      <c r="G581" s="268"/>
      <c r="H581" s="268"/>
    </row>
    <row r="582">
      <c r="A582" s="22"/>
      <c r="B582" s="573"/>
      <c r="E582" s="268"/>
      <c r="F582" s="268"/>
      <c r="G582" s="268"/>
      <c r="H582" s="268"/>
    </row>
    <row r="583">
      <c r="A583" s="22"/>
      <c r="B583" s="573"/>
      <c r="E583" s="268"/>
      <c r="F583" s="268"/>
      <c r="G583" s="268"/>
      <c r="H583" s="268"/>
    </row>
    <row r="584">
      <c r="A584" s="22"/>
      <c r="B584" s="573"/>
      <c r="E584" s="268"/>
      <c r="F584" s="268"/>
      <c r="G584" s="268"/>
      <c r="H584" s="268"/>
    </row>
    <row r="585">
      <c r="A585" s="22"/>
      <c r="B585" s="573"/>
      <c r="E585" s="268"/>
      <c r="F585" s="268"/>
      <c r="G585" s="268"/>
      <c r="H585" s="268"/>
    </row>
    <row r="586">
      <c r="A586" s="22"/>
      <c r="B586" s="573"/>
      <c r="E586" s="268"/>
      <c r="F586" s="268"/>
      <c r="G586" s="268"/>
      <c r="H586" s="268"/>
    </row>
    <row r="587">
      <c r="A587" s="22"/>
      <c r="B587" s="573"/>
      <c r="E587" s="268"/>
      <c r="F587" s="268"/>
      <c r="G587" s="268"/>
      <c r="H587" s="268"/>
    </row>
    <row r="588">
      <c r="A588" s="22"/>
      <c r="B588" s="573"/>
      <c r="E588" s="268"/>
      <c r="F588" s="268"/>
      <c r="G588" s="268"/>
      <c r="H588" s="268"/>
    </row>
    <row r="589">
      <c r="A589" s="22"/>
      <c r="B589" s="573"/>
      <c r="E589" s="268"/>
      <c r="F589" s="268"/>
      <c r="G589" s="268"/>
      <c r="H589" s="268"/>
    </row>
    <row r="590">
      <c r="A590" s="22"/>
      <c r="B590" s="573"/>
      <c r="E590" s="268"/>
      <c r="F590" s="268"/>
      <c r="G590" s="268"/>
      <c r="H590" s="268"/>
    </row>
    <row r="591">
      <c r="A591" s="22"/>
      <c r="B591" s="573"/>
      <c r="E591" s="268"/>
      <c r="F591" s="268"/>
      <c r="G591" s="268"/>
      <c r="H591" s="268"/>
    </row>
    <row r="592">
      <c r="A592" s="22"/>
      <c r="B592" s="573"/>
      <c r="E592" s="268"/>
      <c r="F592" s="268"/>
      <c r="G592" s="268"/>
      <c r="H592" s="268"/>
    </row>
    <row r="593">
      <c r="A593" s="22"/>
      <c r="B593" s="573"/>
      <c r="E593" s="268"/>
      <c r="F593" s="268"/>
      <c r="G593" s="268"/>
      <c r="H593" s="268"/>
    </row>
    <row r="594">
      <c r="A594" s="22"/>
      <c r="B594" s="573"/>
      <c r="E594" s="268"/>
      <c r="F594" s="268"/>
      <c r="G594" s="268"/>
      <c r="H594" s="268"/>
    </row>
    <row r="595">
      <c r="A595" s="22"/>
      <c r="B595" s="573"/>
      <c r="E595" s="268"/>
      <c r="F595" s="268"/>
      <c r="G595" s="268"/>
      <c r="H595" s="268"/>
    </row>
    <row r="596">
      <c r="A596" s="22"/>
      <c r="B596" s="573"/>
      <c r="E596" s="268"/>
      <c r="F596" s="268"/>
      <c r="G596" s="268"/>
      <c r="H596" s="268"/>
    </row>
    <row r="597">
      <c r="A597" s="22"/>
      <c r="B597" s="573"/>
      <c r="E597" s="268"/>
      <c r="F597" s="268"/>
      <c r="G597" s="268"/>
      <c r="H597" s="268"/>
    </row>
    <row r="598">
      <c r="A598" s="22"/>
      <c r="B598" s="573"/>
      <c r="E598" s="268"/>
      <c r="F598" s="268"/>
      <c r="G598" s="268"/>
      <c r="H598" s="268"/>
    </row>
    <row r="599">
      <c r="A599" s="22"/>
      <c r="B599" s="573"/>
      <c r="E599" s="268"/>
      <c r="F599" s="268"/>
      <c r="G599" s="268"/>
      <c r="H599" s="268"/>
    </row>
    <row r="600">
      <c r="A600" s="22"/>
      <c r="B600" s="573"/>
      <c r="E600" s="268"/>
      <c r="F600" s="268"/>
      <c r="G600" s="268"/>
      <c r="H600" s="268"/>
    </row>
    <row r="601">
      <c r="A601" s="22"/>
      <c r="B601" s="573"/>
      <c r="E601" s="268"/>
      <c r="F601" s="268"/>
      <c r="G601" s="268"/>
      <c r="H601" s="268"/>
    </row>
    <row r="602">
      <c r="A602" s="22"/>
      <c r="B602" s="573"/>
      <c r="E602" s="268"/>
      <c r="F602" s="268"/>
      <c r="G602" s="268"/>
      <c r="H602" s="268"/>
    </row>
    <row r="603">
      <c r="A603" s="22"/>
      <c r="B603" s="573"/>
      <c r="E603" s="268"/>
      <c r="F603" s="268"/>
      <c r="G603" s="268"/>
      <c r="H603" s="268"/>
    </row>
    <row r="604">
      <c r="A604" s="22"/>
      <c r="B604" s="573"/>
      <c r="E604" s="268"/>
      <c r="F604" s="268"/>
      <c r="G604" s="268"/>
      <c r="H604" s="268"/>
    </row>
    <row r="605">
      <c r="A605" s="22"/>
      <c r="B605" s="573"/>
      <c r="E605" s="268"/>
      <c r="F605" s="268"/>
      <c r="G605" s="268"/>
      <c r="H605" s="268"/>
    </row>
    <row r="606">
      <c r="A606" s="22"/>
      <c r="B606" s="573"/>
      <c r="E606" s="268"/>
      <c r="F606" s="268"/>
      <c r="G606" s="268"/>
      <c r="H606" s="268"/>
    </row>
    <row r="607">
      <c r="A607" s="22"/>
      <c r="B607" s="573"/>
      <c r="E607" s="268"/>
      <c r="F607" s="268"/>
      <c r="G607" s="268"/>
      <c r="H607" s="268"/>
    </row>
    <row r="608">
      <c r="A608" s="22"/>
      <c r="B608" s="573"/>
      <c r="E608" s="268"/>
      <c r="F608" s="268"/>
      <c r="G608" s="268"/>
      <c r="H608" s="268"/>
    </row>
    <row r="609">
      <c r="A609" s="22"/>
      <c r="B609" s="573"/>
      <c r="E609" s="268"/>
      <c r="F609" s="268"/>
      <c r="G609" s="268"/>
      <c r="H609" s="268"/>
    </row>
    <row r="610">
      <c r="A610" s="22"/>
      <c r="B610" s="573"/>
      <c r="E610" s="268"/>
      <c r="F610" s="268"/>
      <c r="G610" s="268"/>
      <c r="H610" s="268"/>
    </row>
    <row r="611">
      <c r="A611" s="22"/>
      <c r="B611" s="573"/>
      <c r="E611" s="268"/>
      <c r="F611" s="268"/>
      <c r="G611" s="268"/>
      <c r="H611" s="268"/>
    </row>
    <row r="612">
      <c r="A612" s="22"/>
      <c r="B612" s="573"/>
      <c r="E612" s="268"/>
      <c r="F612" s="268"/>
      <c r="G612" s="268"/>
      <c r="H612" s="268"/>
    </row>
    <row r="613">
      <c r="A613" s="22"/>
      <c r="B613" s="573"/>
      <c r="E613" s="268"/>
      <c r="F613" s="268"/>
      <c r="G613" s="268"/>
      <c r="H613" s="268"/>
    </row>
    <row r="614">
      <c r="A614" s="22"/>
      <c r="B614" s="573"/>
      <c r="E614" s="268"/>
      <c r="F614" s="268"/>
      <c r="G614" s="268"/>
      <c r="H614" s="268"/>
    </row>
    <row r="615">
      <c r="A615" s="22"/>
      <c r="B615" s="573"/>
      <c r="E615" s="268"/>
      <c r="F615" s="268"/>
      <c r="G615" s="268"/>
      <c r="H615" s="268"/>
    </row>
    <row r="616">
      <c r="A616" s="22"/>
      <c r="B616" s="573"/>
      <c r="E616" s="268"/>
      <c r="F616" s="268"/>
      <c r="G616" s="268"/>
      <c r="H616" s="268"/>
    </row>
    <row r="617">
      <c r="A617" s="22"/>
      <c r="B617" s="573"/>
      <c r="E617" s="268"/>
      <c r="F617" s="268"/>
      <c r="G617" s="268"/>
      <c r="H617" s="268"/>
    </row>
    <row r="618">
      <c r="A618" s="22"/>
      <c r="B618" s="573"/>
      <c r="E618" s="268"/>
      <c r="F618" s="268"/>
      <c r="G618" s="268"/>
      <c r="H618" s="268"/>
    </row>
    <row r="619">
      <c r="A619" s="22"/>
      <c r="B619" s="573"/>
      <c r="E619" s="268"/>
      <c r="F619" s="268"/>
      <c r="G619" s="268"/>
      <c r="H619" s="268"/>
    </row>
    <row r="620">
      <c r="A620" s="22"/>
      <c r="B620" s="573"/>
      <c r="E620" s="268"/>
      <c r="F620" s="268"/>
      <c r="G620" s="268"/>
      <c r="H620" s="268"/>
    </row>
    <row r="621">
      <c r="A621" s="22"/>
      <c r="B621" s="573"/>
      <c r="E621" s="268"/>
      <c r="F621" s="268"/>
      <c r="G621" s="268"/>
      <c r="H621" s="268"/>
    </row>
    <row r="622">
      <c r="A622" s="22"/>
      <c r="B622" s="573"/>
      <c r="E622" s="268"/>
      <c r="F622" s="268"/>
      <c r="G622" s="268"/>
      <c r="H622" s="268"/>
    </row>
    <row r="623">
      <c r="A623" s="22"/>
      <c r="B623" s="573"/>
      <c r="E623" s="268"/>
      <c r="F623" s="268"/>
      <c r="G623" s="268"/>
      <c r="H623" s="268"/>
    </row>
    <row r="624">
      <c r="A624" s="22"/>
      <c r="B624" s="573"/>
      <c r="E624" s="268"/>
      <c r="F624" s="268"/>
      <c r="G624" s="268"/>
      <c r="H624" s="268"/>
    </row>
    <row r="625">
      <c r="A625" s="22"/>
      <c r="E625" s="268"/>
      <c r="F625" s="268"/>
      <c r="G625" s="268"/>
      <c r="H625" s="268"/>
    </row>
    <row r="626">
      <c r="A626" s="22"/>
      <c r="E626" s="268"/>
      <c r="F626" s="268"/>
      <c r="G626" s="268"/>
      <c r="H626" s="268"/>
    </row>
    <row r="627">
      <c r="A627" s="22"/>
      <c r="B627" s="573"/>
      <c r="E627" s="268"/>
      <c r="F627" s="268"/>
      <c r="G627" s="268"/>
      <c r="H627" s="268"/>
    </row>
    <row r="628">
      <c r="A628" s="22"/>
      <c r="B628" s="573"/>
      <c r="E628" s="268"/>
      <c r="F628" s="268"/>
      <c r="G628" s="268"/>
      <c r="H628" s="268"/>
    </row>
    <row r="629">
      <c r="A629" s="22"/>
      <c r="B629" s="573"/>
      <c r="E629" s="268"/>
      <c r="F629" s="268"/>
      <c r="G629" s="268"/>
      <c r="H629" s="268"/>
    </row>
    <row r="630">
      <c r="A630" s="22"/>
      <c r="B630" s="573"/>
      <c r="E630" s="268"/>
      <c r="F630" s="268"/>
      <c r="G630" s="268"/>
      <c r="H630" s="268"/>
    </row>
    <row r="631">
      <c r="A631" s="22"/>
      <c r="B631" s="573"/>
      <c r="E631" s="268"/>
      <c r="F631" s="268"/>
      <c r="G631" s="268"/>
      <c r="H631" s="268"/>
    </row>
    <row r="632">
      <c r="A632" s="22"/>
      <c r="B632" s="573"/>
      <c r="E632" s="268"/>
      <c r="F632" s="268"/>
      <c r="G632" s="268"/>
      <c r="H632" s="268"/>
    </row>
    <row r="633">
      <c r="A633" s="22"/>
      <c r="B633" s="573"/>
      <c r="E633" s="268"/>
      <c r="F633" s="268"/>
      <c r="G633" s="268"/>
      <c r="H633" s="268"/>
    </row>
    <row r="634">
      <c r="A634" s="22"/>
      <c r="B634" s="573"/>
      <c r="E634" s="268"/>
      <c r="F634" s="268"/>
      <c r="G634" s="268"/>
      <c r="H634" s="268"/>
    </row>
    <row r="635">
      <c r="A635" s="22"/>
      <c r="B635" s="573"/>
      <c r="E635" s="268"/>
      <c r="F635" s="268"/>
      <c r="G635" s="268"/>
      <c r="H635" s="268"/>
    </row>
    <row r="636">
      <c r="A636" s="22"/>
      <c r="B636" s="573"/>
      <c r="E636" s="268"/>
      <c r="F636" s="268"/>
      <c r="G636" s="268"/>
      <c r="H636" s="268"/>
    </row>
    <row r="637">
      <c r="A637" s="22"/>
      <c r="B637" s="573"/>
      <c r="E637" s="268"/>
      <c r="F637" s="268"/>
      <c r="G637" s="268"/>
      <c r="H637" s="268"/>
    </row>
    <row r="638">
      <c r="A638" s="22"/>
      <c r="B638" s="573"/>
      <c r="E638" s="268"/>
      <c r="F638" s="268"/>
      <c r="G638" s="268"/>
      <c r="H638" s="268"/>
    </row>
    <row r="639">
      <c r="A639" s="22"/>
      <c r="B639" s="573"/>
      <c r="E639" s="268"/>
      <c r="F639" s="268"/>
      <c r="G639" s="268"/>
      <c r="H639" s="268"/>
    </row>
    <row r="640">
      <c r="A640" s="22"/>
      <c r="B640" s="573"/>
      <c r="E640" s="268"/>
      <c r="F640" s="268"/>
      <c r="G640" s="268"/>
      <c r="H640" s="268"/>
    </row>
    <row r="641">
      <c r="A641" s="22"/>
      <c r="B641" s="573"/>
      <c r="E641" s="268"/>
      <c r="F641" s="268"/>
      <c r="G641" s="268"/>
      <c r="H641" s="268"/>
    </row>
    <row r="642">
      <c r="A642" s="22"/>
      <c r="B642" s="573"/>
      <c r="E642" s="268"/>
      <c r="F642" s="268"/>
      <c r="G642" s="268"/>
      <c r="H642" s="268"/>
    </row>
    <row r="643">
      <c r="A643" s="22"/>
      <c r="B643" s="573"/>
      <c r="E643" s="268"/>
      <c r="F643" s="268"/>
      <c r="G643" s="268"/>
      <c r="H643" s="268"/>
    </row>
    <row r="644">
      <c r="A644" s="22"/>
      <c r="B644" s="573"/>
      <c r="E644" s="268"/>
      <c r="F644" s="268"/>
      <c r="G644" s="268"/>
      <c r="H644" s="268"/>
    </row>
    <row r="645">
      <c r="A645" s="22"/>
      <c r="B645" s="573"/>
      <c r="E645" s="268"/>
      <c r="F645" s="268"/>
      <c r="G645" s="268"/>
      <c r="H645" s="268"/>
    </row>
    <row r="646">
      <c r="A646" s="22"/>
      <c r="B646" s="573"/>
      <c r="E646" s="268"/>
      <c r="F646" s="268"/>
      <c r="G646" s="268"/>
      <c r="H646" s="268"/>
    </row>
    <row r="647">
      <c r="A647" s="22"/>
      <c r="B647" s="573"/>
      <c r="E647" s="268"/>
      <c r="F647" s="268"/>
      <c r="G647" s="268"/>
      <c r="H647" s="268"/>
    </row>
    <row r="648">
      <c r="A648" s="22"/>
      <c r="B648" s="573"/>
      <c r="E648" s="268"/>
      <c r="F648" s="268"/>
      <c r="G648" s="268"/>
      <c r="H648" s="268"/>
    </row>
    <row r="649">
      <c r="A649" s="22"/>
      <c r="B649" s="573"/>
      <c r="E649" s="268"/>
      <c r="F649" s="268"/>
      <c r="G649" s="268"/>
      <c r="H649" s="268"/>
    </row>
    <row r="650">
      <c r="A650" s="22"/>
      <c r="B650" s="573"/>
      <c r="E650" s="268"/>
      <c r="F650" s="268"/>
      <c r="G650" s="268"/>
      <c r="H650" s="268"/>
    </row>
    <row r="651">
      <c r="A651" s="22"/>
      <c r="B651" s="573"/>
      <c r="E651" s="268"/>
      <c r="F651" s="268"/>
      <c r="G651" s="268"/>
      <c r="H651" s="268"/>
    </row>
    <row r="652">
      <c r="A652" s="22"/>
      <c r="B652" s="573"/>
      <c r="E652" s="268"/>
      <c r="F652" s="268"/>
      <c r="G652" s="268"/>
      <c r="H652" s="268"/>
    </row>
    <row r="653">
      <c r="A653" s="22"/>
      <c r="B653" s="573"/>
      <c r="E653" s="268"/>
      <c r="F653" s="268"/>
      <c r="G653" s="268"/>
      <c r="H653" s="268"/>
    </row>
    <row r="654">
      <c r="A654" s="22"/>
      <c r="B654" s="573"/>
      <c r="E654" s="268"/>
      <c r="F654" s="268"/>
      <c r="G654" s="268"/>
      <c r="H654" s="268"/>
    </row>
    <row r="655">
      <c r="A655" s="22"/>
      <c r="B655" s="573"/>
      <c r="E655" s="268"/>
      <c r="F655" s="268"/>
      <c r="G655" s="268"/>
      <c r="H655" s="268"/>
    </row>
    <row r="656">
      <c r="A656" s="22"/>
      <c r="B656" s="573"/>
      <c r="E656" s="268"/>
      <c r="F656" s="268"/>
      <c r="G656" s="268"/>
      <c r="H656" s="268"/>
    </row>
    <row r="657">
      <c r="A657" s="22"/>
      <c r="B657" s="573"/>
      <c r="E657" s="268"/>
      <c r="F657" s="268"/>
      <c r="G657" s="268"/>
      <c r="H657" s="268"/>
    </row>
    <row r="658">
      <c r="A658" s="22"/>
      <c r="B658" s="573"/>
      <c r="E658" s="268"/>
      <c r="F658" s="268"/>
      <c r="G658" s="268"/>
      <c r="H658" s="268"/>
    </row>
    <row r="659">
      <c r="A659" s="22"/>
      <c r="B659" s="573"/>
      <c r="E659" s="268"/>
      <c r="F659" s="268"/>
      <c r="G659" s="268"/>
      <c r="H659" s="268"/>
    </row>
    <row r="660">
      <c r="A660" s="22"/>
      <c r="B660" s="573"/>
      <c r="E660" s="268"/>
      <c r="F660" s="268"/>
      <c r="G660" s="268"/>
      <c r="H660" s="268"/>
    </row>
    <row r="661">
      <c r="A661" s="22"/>
      <c r="B661" s="573"/>
      <c r="E661" s="268"/>
      <c r="F661" s="268"/>
      <c r="G661" s="268"/>
      <c r="H661" s="268"/>
    </row>
    <row r="662">
      <c r="A662" s="22"/>
      <c r="B662" s="573"/>
      <c r="E662" s="268"/>
      <c r="F662" s="268"/>
      <c r="G662" s="268"/>
      <c r="H662" s="268"/>
    </row>
    <row r="663">
      <c r="A663" s="22"/>
      <c r="B663" s="573"/>
      <c r="E663" s="268"/>
      <c r="F663" s="268"/>
      <c r="G663" s="268"/>
      <c r="H663" s="268"/>
    </row>
    <row r="664">
      <c r="A664" s="22"/>
      <c r="B664" s="573"/>
      <c r="E664" s="268"/>
      <c r="F664" s="268"/>
      <c r="G664" s="268"/>
      <c r="H664" s="268"/>
    </row>
    <row r="665">
      <c r="A665" s="22"/>
      <c r="B665" s="573"/>
      <c r="E665" s="268"/>
      <c r="F665" s="268"/>
      <c r="G665" s="268"/>
      <c r="H665" s="268"/>
    </row>
    <row r="666">
      <c r="A666" s="22"/>
      <c r="B666" s="573"/>
      <c r="E666" s="268"/>
      <c r="F666" s="268"/>
      <c r="G666" s="268"/>
      <c r="H666" s="268"/>
    </row>
    <row r="667">
      <c r="A667" s="22"/>
      <c r="B667" s="573"/>
      <c r="E667" s="268"/>
      <c r="F667" s="268"/>
      <c r="G667" s="268"/>
      <c r="H667" s="268"/>
    </row>
    <row r="668">
      <c r="A668" s="22"/>
      <c r="B668" s="573"/>
      <c r="E668" s="268"/>
      <c r="F668" s="268"/>
      <c r="G668" s="268"/>
      <c r="H668" s="268"/>
    </row>
    <row r="669">
      <c r="A669" s="22"/>
      <c r="B669" s="573"/>
      <c r="E669" s="268"/>
      <c r="F669" s="268"/>
      <c r="G669" s="268"/>
      <c r="H669" s="268"/>
    </row>
    <row r="670">
      <c r="A670" s="22"/>
      <c r="B670" s="573"/>
      <c r="E670" s="268"/>
      <c r="F670" s="268"/>
      <c r="G670" s="268"/>
      <c r="H670" s="268"/>
    </row>
    <row r="671">
      <c r="A671" s="22"/>
      <c r="B671" s="573"/>
      <c r="E671" s="268"/>
      <c r="F671" s="268"/>
      <c r="G671" s="268"/>
      <c r="H671" s="268"/>
    </row>
    <row r="672">
      <c r="A672" s="22"/>
      <c r="B672" s="573"/>
      <c r="E672" s="268"/>
      <c r="F672" s="268"/>
      <c r="G672" s="268"/>
      <c r="H672" s="268"/>
    </row>
    <row r="673">
      <c r="A673" s="22"/>
      <c r="B673" s="573"/>
      <c r="E673" s="268"/>
      <c r="F673" s="268"/>
      <c r="G673" s="268"/>
      <c r="H673" s="268"/>
    </row>
    <row r="674">
      <c r="A674" s="22"/>
      <c r="B674" s="573"/>
      <c r="E674" s="268"/>
      <c r="F674" s="268"/>
      <c r="G674" s="268"/>
      <c r="H674" s="268"/>
    </row>
    <row r="675">
      <c r="A675" s="22"/>
      <c r="B675" s="573"/>
      <c r="E675" s="268"/>
      <c r="F675" s="268"/>
      <c r="G675" s="268"/>
      <c r="H675" s="268"/>
    </row>
    <row r="676">
      <c r="A676" s="22"/>
      <c r="B676" s="573"/>
      <c r="E676" s="268"/>
      <c r="F676" s="268"/>
      <c r="G676" s="268"/>
      <c r="H676" s="268"/>
    </row>
    <row r="677">
      <c r="A677" s="22"/>
      <c r="B677" s="573"/>
      <c r="E677" s="268"/>
      <c r="F677" s="268"/>
      <c r="G677" s="268"/>
      <c r="H677" s="268"/>
    </row>
    <row r="678">
      <c r="A678" s="22"/>
      <c r="B678" s="573"/>
      <c r="E678" s="268"/>
      <c r="F678" s="268"/>
      <c r="G678" s="268"/>
      <c r="H678" s="268"/>
    </row>
    <row r="679">
      <c r="A679" s="22"/>
      <c r="B679" s="573"/>
      <c r="E679" s="268"/>
      <c r="F679" s="268"/>
      <c r="G679" s="268"/>
      <c r="H679" s="268"/>
    </row>
    <row r="680">
      <c r="A680" s="22"/>
      <c r="B680" s="573"/>
      <c r="E680" s="268"/>
      <c r="F680" s="268"/>
      <c r="G680" s="268"/>
      <c r="H680" s="268"/>
    </row>
    <row r="681">
      <c r="A681" s="22"/>
      <c r="B681" s="573"/>
      <c r="E681" s="268"/>
      <c r="F681" s="268"/>
      <c r="G681" s="268"/>
      <c r="H681" s="268"/>
    </row>
    <row r="682">
      <c r="A682" s="22"/>
      <c r="E682" s="268"/>
      <c r="F682" s="268"/>
      <c r="G682" s="268"/>
      <c r="H682" s="268"/>
    </row>
    <row r="683">
      <c r="A683" s="22"/>
      <c r="E683" s="268"/>
      <c r="F683" s="268"/>
      <c r="G683" s="268"/>
      <c r="H683" s="268"/>
    </row>
    <row r="684">
      <c r="A684" s="22"/>
      <c r="B684" s="573"/>
      <c r="E684" s="268"/>
      <c r="F684" s="268"/>
      <c r="G684" s="268"/>
      <c r="H684" s="268"/>
    </row>
    <row r="685">
      <c r="A685" s="22"/>
      <c r="B685" s="573"/>
      <c r="E685" s="268"/>
      <c r="F685" s="268"/>
      <c r="G685" s="268"/>
      <c r="H685" s="268"/>
    </row>
    <row r="686">
      <c r="A686" s="22"/>
      <c r="B686" s="573"/>
      <c r="E686" s="268"/>
      <c r="F686" s="268"/>
      <c r="G686" s="268"/>
      <c r="H686" s="268"/>
    </row>
    <row r="687">
      <c r="A687" s="22"/>
      <c r="B687" s="573"/>
      <c r="E687" s="268"/>
      <c r="F687" s="268"/>
      <c r="G687" s="268"/>
      <c r="H687" s="268"/>
    </row>
    <row r="688">
      <c r="A688" s="22"/>
      <c r="B688" s="573"/>
      <c r="E688" s="268"/>
      <c r="F688" s="268"/>
      <c r="G688" s="268"/>
      <c r="H688" s="268"/>
    </row>
    <row r="689">
      <c r="A689" s="22"/>
      <c r="B689" s="573"/>
      <c r="E689" s="268"/>
      <c r="F689" s="268"/>
      <c r="G689" s="268"/>
      <c r="H689" s="268"/>
    </row>
    <row r="690">
      <c r="A690" s="22"/>
      <c r="B690" s="573"/>
      <c r="E690" s="268"/>
      <c r="F690" s="268"/>
      <c r="G690" s="268"/>
      <c r="H690" s="268"/>
    </row>
    <row r="691">
      <c r="A691" s="22"/>
      <c r="B691" s="573"/>
      <c r="E691" s="268"/>
      <c r="F691" s="268"/>
      <c r="G691" s="268"/>
      <c r="H691" s="268"/>
    </row>
    <row r="692">
      <c r="A692" s="22"/>
      <c r="B692" s="573"/>
      <c r="E692" s="268"/>
      <c r="F692" s="268"/>
      <c r="G692" s="268"/>
      <c r="H692" s="268"/>
    </row>
    <row r="693">
      <c r="A693" s="22"/>
      <c r="B693" s="573"/>
      <c r="E693" s="268"/>
      <c r="F693" s="268"/>
      <c r="G693" s="268"/>
      <c r="H693" s="268"/>
    </row>
    <row r="694">
      <c r="A694" s="22"/>
      <c r="B694" s="573"/>
      <c r="E694" s="268"/>
      <c r="F694" s="268"/>
      <c r="G694" s="268"/>
      <c r="H694" s="268"/>
    </row>
    <row r="695">
      <c r="A695" s="22"/>
      <c r="B695" s="573"/>
      <c r="E695" s="268"/>
      <c r="F695" s="268"/>
      <c r="G695" s="268"/>
      <c r="H695" s="268"/>
    </row>
    <row r="696">
      <c r="A696" s="22"/>
      <c r="B696" s="573"/>
      <c r="E696" s="268"/>
      <c r="F696" s="268"/>
      <c r="G696" s="268"/>
      <c r="H696" s="268"/>
    </row>
    <row r="697">
      <c r="A697" s="22"/>
      <c r="B697" s="573"/>
      <c r="E697" s="268"/>
      <c r="F697" s="268"/>
      <c r="G697" s="268"/>
      <c r="H697" s="268"/>
    </row>
    <row r="698">
      <c r="A698" s="22"/>
      <c r="B698" s="573"/>
      <c r="E698" s="268"/>
      <c r="F698" s="268"/>
      <c r="G698" s="268"/>
      <c r="H698" s="268"/>
    </row>
    <row r="699">
      <c r="A699" s="22"/>
      <c r="B699" s="573"/>
      <c r="E699" s="268"/>
      <c r="F699" s="268"/>
      <c r="G699" s="268"/>
      <c r="H699" s="268"/>
    </row>
    <row r="700">
      <c r="A700" s="22"/>
      <c r="B700" s="573"/>
      <c r="E700" s="268"/>
      <c r="F700" s="268"/>
      <c r="G700" s="268"/>
      <c r="H700" s="268"/>
    </row>
    <row r="701">
      <c r="A701" s="22"/>
      <c r="B701" s="573"/>
      <c r="E701" s="268"/>
      <c r="F701" s="268"/>
      <c r="G701" s="268"/>
      <c r="H701" s="268"/>
    </row>
    <row r="702">
      <c r="A702" s="22"/>
      <c r="B702" s="573"/>
      <c r="E702" s="268"/>
      <c r="F702" s="268"/>
      <c r="G702" s="268"/>
      <c r="H702" s="268"/>
    </row>
    <row r="703">
      <c r="A703" s="22"/>
      <c r="B703" s="573"/>
      <c r="E703" s="268"/>
      <c r="F703" s="268"/>
      <c r="G703" s="268"/>
      <c r="H703" s="268"/>
    </row>
    <row r="704">
      <c r="A704" s="22"/>
      <c r="B704" s="573"/>
      <c r="E704" s="268"/>
      <c r="F704" s="268"/>
      <c r="G704" s="268"/>
      <c r="H704" s="268"/>
    </row>
    <row r="705">
      <c r="A705" s="22"/>
      <c r="B705" s="573"/>
      <c r="E705" s="268"/>
      <c r="F705" s="268"/>
      <c r="G705" s="268"/>
      <c r="H705" s="268"/>
    </row>
    <row r="706">
      <c r="A706" s="22"/>
      <c r="B706" s="573"/>
      <c r="E706" s="268"/>
      <c r="F706" s="268"/>
      <c r="G706" s="268"/>
      <c r="H706" s="268"/>
    </row>
    <row r="707">
      <c r="A707" s="22"/>
      <c r="B707" s="573"/>
      <c r="E707" s="268"/>
      <c r="F707" s="268"/>
      <c r="G707" s="268"/>
      <c r="H707" s="268"/>
    </row>
    <row r="708">
      <c r="A708" s="22"/>
      <c r="B708" s="573"/>
      <c r="E708" s="268"/>
      <c r="F708" s="268"/>
      <c r="G708" s="268"/>
      <c r="H708" s="268"/>
    </row>
    <row r="709">
      <c r="A709" s="22"/>
      <c r="B709" s="573"/>
      <c r="E709" s="268"/>
      <c r="F709" s="268"/>
      <c r="G709" s="268"/>
      <c r="H709" s="268"/>
    </row>
    <row r="710">
      <c r="A710" s="22"/>
      <c r="B710" s="573"/>
      <c r="E710" s="268"/>
      <c r="F710" s="268"/>
      <c r="G710" s="268"/>
      <c r="H710" s="268"/>
    </row>
    <row r="711">
      <c r="A711" s="22"/>
      <c r="B711" s="573"/>
      <c r="E711" s="268"/>
      <c r="F711" s="268"/>
      <c r="G711" s="268"/>
      <c r="H711" s="268"/>
    </row>
    <row r="712">
      <c r="A712" s="22"/>
      <c r="B712" s="573"/>
      <c r="E712" s="268"/>
      <c r="F712" s="268"/>
      <c r="G712" s="268"/>
      <c r="H712" s="268"/>
    </row>
    <row r="713">
      <c r="A713" s="22"/>
      <c r="B713" s="573"/>
      <c r="E713" s="268"/>
      <c r="F713" s="268"/>
      <c r="G713" s="268"/>
      <c r="H713" s="268"/>
    </row>
    <row r="714">
      <c r="A714" s="22"/>
      <c r="B714" s="573"/>
      <c r="E714" s="268"/>
      <c r="F714" s="268"/>
      <c r="G714" s="268"/>
      <c r="H714" s="268"/>
    </row>
    <row r="715">
      <c r="A715" s="22"/>
      <c r="B715" s="573"/>
      <c r="E715" s="268"/>
      <c r="F715" s="268"/>
      <c r="G715" s="268"/>
      <c r="H715" s="268"/>
    </row>
    <row r="716">
      <c r="A716" s="22"/>
      <c r="B716" s="573"/>
      <c r="E716" s="268"/>
      <c r="F716" s="268"/>
      <c r="G716" s="268"/>
      <c r="H716" s="268"/>
    </row>
    <row r="717">
      <c r="A717" s="22"/>
      <c r="B717" s="573"/>
      <c r="E717" s="268"/>
      <c r="F717" s="268"/>
      <c r="G717" s="268"/>
      <c r="H717" s="268"/>
    </row>
    <row r="718">
      <c r="A718" s="22"/>
      <c r="B718" s="573"/>
      <c r="E718" s="268"/>
      <c r="F718" s="268"/>
      <c r="G718" s="268"/>
      <c r="H718" s="268"/>
    </row>
    <row r="719">
      <c r="A719" s="22"/>
      <c r="B719" s="573"/>
      <c r="E719" s="268"/>
      <c r="F719" s="268"/>
      <c r="G719" s="268"/>
      <c r="H719" s="268"/>
    </row>
    <row r="720">
      <c r="A720" s="22"/>
      <c r="B720" s="573"/>
      <c r="E720" s="268"/>
      <c r="F720" s="268"/>
      <c r="G720" s="268"/>
      <c r="H720" s="268"/>
    </row>
    <row r="721">
      <c r="A721" s="22"/>
      <c r="B721" s="573"/>
      <c r="E721" s="268"/>
      <c r="F721" s="268"/>
      <c r="G721" s="268"/>
      <c r="H721" s="268"/>
    </row>
    <row r="722">
      <c r="A722" s="22"/>
      <c r="B722" s="573"/>
      <c r="E722" s="268"/>
      <c r="F722" s="268"/>
      <c r="G722" s="268"/>
      <c r="H722" s="268"/>
    </row>
    <row r="723">
      <c r="A723" s="22"/>
      <c r="B723" s="573"/>
      <c r="E723" s="268"/>
      <c r="F723" s="268"/>
      <c r="G723" s="268"/>
      <c r="H723" s="268"/>
    </row>
    <row r="724">
      <c r="A724" s="22"/>
      <c r="B724" s="573"/>
      <c r="E724" s="268"/>
      <c r="F724" s="268"/>
      <c r="G724" s="268"/>
      <c r="H724" s="268"/>
    </row>
    <row r="725">
      <c r="A725" s="22"/>
      <c r="B725" s="573"/>
      <c r="E725" s="268"/>
      <c r="F725" s="268"/>
      <c r="G725" s="268"/>
      <c r="H725" s="268"/>
    </row>
    <row r="726">
      <c r="A726" s="22"/>
      <c r="B726" s="573"/>
      <c r="E726" s="268"/>
      <c r="F726" s="268"/>
      <c r="G726" s="268"/>
      <c r="H726" s="268"/>
    </row>
    <row r="727">
      <c r="A727" s="22"/>
      <c r="B727" s="573"/>
      <c r="E727" s="268"/>
      <c r="F727" s="268"/>
      <c r="G727" s="268"/>
      <c r="H727" s="268"/>
    </row>
    <row r="728">
      <c r="A728" s="22"/>
      <c r="B728" s="573"/>
      <c r="E728" s="268"/>
      <c r="F728" s="268"/>
      <c r="G728" s="268"/>
      <c r="H728" s="268"/>
    </row>
    <row r="729">
      <c r="A729" s="22"/>
      <c r="B729" s="573"/>
      <c r="E729" s="268"/>
      <c r="F729" s="268"/>
      <c r="G729" s="268"/>
      <c r="H729" s="268"/>
    </row>
    <row r="730">
      <c r="A730" s="22"/>
      <c r="B730" s="573"/>
      <c r="E730" s="268"/>
      <c r="F730" s="268"/>
      <c r="G730" s="268"/>
      <c r="H730" s="268"/>
    </row>
    <row r="731">
      <c r="A731" s="22"/>
      <c r="B731" s="573"/>
      <c r="E731" s="268"/>
      <c r="F731" s="268"/>
      <c r="G731" s="268"/>
      <c r="H731" s="268"/>
    </row>
    <row r="732">
      <c r="A732" s="22"/>
      <c r="B732" s="573"/>
      <c r="E732" s="268"/>
      <c r="F732" s="268"/>
      <c r="G732" s="268"/>
      <c r="H732" s="268"/>
    </row>
    <row r="733">
      <c r="A733" s="22"/>
      <c r="B733" s="573"/>
      <c r="E733" s="268"/>
      <c r="F733" s="268"/>
      <c r="G733" s="268"/>
      <c r="H733" s="268"/>
    </row>
    <row r="734">
      <c r="A734" s="22"/>
      <c r="B734" s="573"/>
      <c r="E734" s="268"/>
      <c r="F734" s="268"/>
      <c r="G734" s="268"/>
      <c r="H734" s="268"/>
    </row>
    <row r="735">
      <c r="A735" s="22"/>
      <c r="B735" s="573"/>
      <c r="E735" s="268"/>
      <c r="F735" s="268"/>
      <c r="G735" s="268"/>
      <c r="H735" s="268"/>
    </row>
    <row r="736">
      <c r="A736" s="22"/>
      <c r="B736" s="573"/>
      <c r="E736" s="268"/>
      <c r="F736" s="268"/>
      <c r="G736" s="268"/>
      <c r="H736" s="268"/>
    </row>
    <row r="737">
      <c r="A737" s="22"/>
      <c r="B737" s="573"/>
      <c r="E737" s="268"/>
      <c r="F737" s="268"/>
      <c r="G737" s="268"/>
      <c r="H737" s="268"/>
    </row>
    <row r="738">
      <c r="A738" s="22"/>
      <c r="B738" s="573"/>
      <c r="E738" s="268"/>
      <c r="F738" s="268"/>
      <c r="G738" s="268"/>
      <c r="H738" s="268"/>
    </row>
    <row r="739">
      <c r="A739" s="22"/>
      <c r="E739" s="268"/>
      <c r="F739" s="268"/>
      <c r="G739" s="268"/>
      <c r="H739" s="268"/>
    </row>
    <row r="740">
      <c r="A740" s="22"/>
      <c r="E740" s="268"/>
      <c r="F740" s="268"/>
      <c r="G740" s="268"/>
      <c r="H740" s="268"/>
    </row>
    <row r="741">
      <c r="A741" s="22"/>
      <c r="B741" s="573"/>
      <c r="E741" s="268"/>
      <c r="F741" s="268"/>
      <c r="G741" s="268"/>
      <c r="H741" s="268"/>
    </row>
    <row r="742">
      <c r="A742" s="22"/>
      <c r="B742" s="573"/>
      <c r="E742" s="268"/>
      <c r="F742" s="268"/>
      <c r="G742" s="268"/>
      <c r="H742" s="268"/>
    </row>
    <row r="743">
      <c r="A743" s="22"/>
      <c r="B743" s="573"/>
      <c r="E743" s="268"/>
      <c r="F743" s="268"/>
      <c r="G743" s="268"/>
      <c r="H743" s="268"/>
    </row>
    <row r="744">
      <c r="A744" s="22"/>
      <c r="B744" s="573"/>
      <c r="E744" s="268"/>
      <c r="F744" s="268"/>
      <c r="G744" s="268"/>
      <c r="H744" s="268"/>
    </row>
    <row r="745">
      <c r="A745" s="22"/>
      <c r="B745" s="573"/>
      <c r="E745" s="268"/>
      <c r="F745" s="268"/>
      <c r="G745" s="268"/>
      <c r="H745" s="268"/>
    </row>
    <row r="746">
      <c r="A746" s="22"/>
      <c r="B746" s="573"/>
      <c r="E746" s="268"/>
      <c r="F746" s="268"/>
      <c r="G746" s="268"/>
      <c r="H746" s="268"/>
    </row>
    <row r="747">
      <c r="A747" s="22"/>
      <c r="B747" s="573"/>
      <c r="E747" s="268"/>
      <c r="F747" s="268"/>
      <c r="G747" s="268"/>
      <c r="H747" s="268"/>
    </row>
    <row r="748">
      <c r="A748" s="22"/>
      <c r="B748" s="573"/>
      <c r="E748" s="268"/>
      <c r="F748" s="268"/>
      <c r="G748" s="268"/>
      <c r="H748" s="268"/>
    </row>
    <row r="749">
      <c r="A749" s="22"/>
      <c r="B749" s="573"/>
      <c r="E749" s="268"/>
      <c r="F749" s="268"/>
      <c r="G749" s="268"/>
      <c r="H749" s="268"/>
    </row>
    <row r="750">
      <c r="A750" s="22"/>
      <c r="B750" s="573"/>
      <c r="E750" s="268"/>
      <c r="F750" s="268"/>
      <c r="G750" s="268"/>
      <c r="H750" s="268"/>
    </row>
    <row r="751">
      <c r="A751" s="22"/>
      <c r="B751" s="573"/>
      <c r="E751" s="268"/>
      <c r="F751" s="268"/>
      <c r="G751" s="268"/>
      <c r="H751" s="268"/>
    </row>
    <row r="752">
      <c r="A752" s="22"/>
      <c r="B752" s="573"/>
      <c r="E752" s="268"/>
      <c r="F752" s="268"/>
      <c r="G752" s="268"/>
      <c r="H752" s="268"/>
    </row>
    <row r="753">
      <c r="A753" s="22"/>
      <c r="B753" s="573"/>
      <c r="E753" s="268"/>
      <c r="F753" s="268"/>
      <c r="G753" s="268"/>
      <c r="H753" s="268"/>
    </row>
    <row r="754">
      <c r="A754" s="22"/>
      <c r="B754" s="573"/>
      <c r="E754" s="268"/>
      <c r="F754" s="268"/>
      <c r="G754" s="268"/>
      <c r="H754" s="268"/>
    </row>
    <row r="755">
      <c r="A755" s="22"/>
      <c r="B755" s="573"/>
      <c r="E755" s="268"/>
      <c r="F755" s="268"/>
      <c r="G755" s="268"/>
      <c r="H755" s="268"/>
    </row>
    <row r="756">
      <c r="A756" s="22"/>
      <c r="B756" s="573"/>
      <c r="E756" s="268"/>
      <c r="F756" s="268"/>
      <c r="G756" s="268"/>
      <c r="H756" s="268"/>
    </row>
    <row r="757">
      <c r="A757" s="22"/>
      <c r="B757" s="573"/>
      <c r="E757" s="268"/>
      <c r="F757" s="268"/>
      <c r="G757" s="268"/>
      <c r="H757" s="268"/>
    </row>
    <row r="758">
      <c r="A758" s="22"/>
      <c r="B758" s="573"/>
      <c r="E758" s="268"/>
      <c r="F758" s="268"/>
      <c r="G758" s="268"/>
      <c r="H758" s="268"/>
    </row>
    <row r="759">
      <c r="A759" s="22"/>
      <c r="B759" s="573"/>
      <c r="E759" s="268"/>
      <c r="F759" s="268"/>
      <c r="G759" s="268"/>
      <c r="H759" s="268"/>
    </row>
    <row r="760">
      <c r="A760" s="22"/>
      <c r="B760" s="573"/>
      <c r="E760" s="268"/>
      <c r="F760" s="268"/>
      <c r="G760" s="268"/>
      <c r="H760" s="268"/>
    </row>
    <row r="761">
      <c r="A761" s="22"/>
      <c r="B761" s="573"/>
      <c r="E761" s="268"/>
      <c r="F761" s="268"/>
      <c r="G761" s="268"/>
      <c r="H761" s="268"/>
    </row>
    <row r="762">
      <c r="A762" s="22"/>
      <c r="B762" s="573"/>
      <c r="E762" s="268"/>
      <c r="F762" s="268"/>
      <c r="G762" s="268"/>
      <c r="H762" s="268"/>
    </row>
    <row r="763">
      <c r="A763" s="22"/>
      <c r="B763" s="573"/>
      <c r="E763" s="268"/>
      <c r="F763" s="268"/>
      <c r="G763" s="268"/>
      <c r="H763" s="268"/>
    </row>
    <row r="764">
      <c r="A764" s="22"/>
      <c r="B764" s="573"/>
      <c r="E764" s="268"/>
      <c r="F764" s="268"/>
      <c r="G764" s="268"/>
      <c r="H764" s="268"/>
    </row>
    <row r="765">
      <c r="A765" s="22"/>
      <c r="B765" s="573"/>
      <c r="E765" s="268"/>
      <c r="F765" s="268"/>
      <c r="G765" s="268"/>
      <c r="H765" s="268"/>
    </row>
    <row r="766">
      <c r="A766" s="22"/>
      <c r="B766" s="573"/>
      <c r="E766" s="268"/>
      <c r="F766" s="268"/>
      <c r="G766" s="268"/>
      <c r="H766" s="268"/>
    </row>
    <row r="767">
      <c r="A767" s="22"/>
      <c r="B767" s="573"/>
      <c r="E767" s="268"/>
      <c r="F767" s="268"/>
      <c r="G767" s="268"/>
      <c r="H767" s="268"/>
    </row>
    <row r="768">
      <c r="A768" s="22"/>
      <c r="B768" s="573"/>
      <c r="E768" s="268"/>
      <c r="F768" s="268"/>
      <c r="G768" s="268"/>
      <c r="H768" s="268"/>
    </row>
    <row r="769">
      <c r="A769" s="22"/>
      <c r="B769" s="573"/>
      <c r="E769" s="268"/>
      <c r="F769" s="268"/>
      <c r="G769" s="268"/>
      <c r="H769" s="268"/>
    </row>
    <row r="770">
      <c r="A770" s="22"/>
      <c r="B770" s="573"/>
      <c r="E770" s="268"/>
      <c r="F770" s="268"/>
      <c r="G770" s="268"/>
      <c r="H770" s="268"/>
    </row>
    <row r="771">
      <c r="A771" s="22"/>
      <c r="B771" s="573"/>
      <c r="E771" s="268"/>
      <c r="F771" s="268"/>
      <c r="G771" s="268"/>
      <c r="H771" s="268"/>
    </row>
    <row r="772">
      <c r="A772" s="22"/>
      <c r="B772" s="573"/>
      <c r="E772" s="268"/>
      <c r="F772" s="268"/>
      <c r="G772" s="268"/>
      <c r="H772" s="268"/>
    </row>
    <row r="773">
      <c r="A773" s="22"/>
      <c r="B773" s="573"/>
      <c r="E773" s="268"/>
      <c r="F773" s="268"/>
      <c r="G773" s="268"/>
      <c r="H773" s="268"/>
    </row>
    <row r="774">
      <c r="A774" s="22"/>
      <c r="B774" s="573"/>
      <c r="E774" s="268"/>
      <c r="F774" s="268"/>
      <c r="G774" s="268"/>
      <c r="H774" s="268"/>
    </row>
    <row r="775">
      <c r="A775" s="22"/>
      <c r="B775" s="573"/>
      <c r="E775" s="268"/>
      <c r="F775" s="268"/>
      <c r="G775" s="268"/>
      <c r="H775" s="268"/>
    </row>
    <row r="776">
      <c r="A776" s="22"/>
      <c r="B776" s="573"/>
      <c r="E776" s="268"/>
      <c r="F776" s="268"/>
      <c r="G776" s="268"/>
      <c r="H776" s="268"/>
    </row>
    <row r="777">
      <c r="A777" s="22"/>
      <c r="B777" s="573"/>
      <c r="E777" s="268"/>
      <c r="F777" s="268"/>
      <c r="G777" s="268"/>
      <c r="H777" s="268"/>
    </row>
    <row r="778">
      <c r="A778" s="22"/>
      <c r="B778" s="573"/>
      <c r="E778" s="268"/>
      <c r="F778" s="268"/>
      <c r="G778" s="268"/>
      <c r="H778" s="268"/>
    </row>
    <row r="779">
      <c r="A779" s="22"/>
      <c r="B779" s="573"/>
      <c r="E779" s="268"/>
      <c r="F779" s="268"/>
      <c r="G779" s="268"/>
      <c r="H779" s="268"/>
    </row>
    <row r="780">
      <c r="A780" s="22"/>
      <c r="B780" s="573"/>
      <c r="E780" s="268"/>
      <c r="F780" s="268"/>
      <c r="G780" s="268"/>
      <c r="H780" s="268"/>
    </row>
    <row r="781">
      <c r="A781" s="22"/>
      <c r="B781" s="573"/>
      <c r="E781" s="268"/>
      <c r="F781" s="268"/>
      <c r="G781" s="268"/>
      <c r="H781" s="268"/>
    </row>
    <row r="782">
      <c r="A782" s="22"/>
      <c r="B782" s="573"/>
      <c r="E782" s="268"/>
      <c r="F782" s="268"/>
      <c r="G782" s="268"/>
      <c r="H782" s="268"/>
    </row>
    <row r="783">
      <c r="A783" s="22"/>
      <c r="B783" s="573"/>
      <c r="E783" s="268"/>
      <c r="F783" s="268"/>
      <c r="G783" s="268"/>
      <c r="H783" s="268"/>
    </row>
    <row r="784">
      <c r="A784" s="22"/>
      <c r="B784" s="573"/>
      <c r="E784" s="268"/>
      <c r="F784" s="268"/>
      <c r="G784" s="268"/>
      <c r="H784" s="268"/>
    </row>
    <row r="785">
      <c r="A785" s="22"/>
      <c r="B785" s="573"/>
      <c r="E785" s="268"/>
      <c r="F785" s="268"/>
      <c r="G785" s="268"/>
      <c r="H785" s="268"/>
    </row>
    <row r="786">
      <c r="A786" s="22"/>
      <c r="B786" s="573"/>
      <c r="E786" s="268"/>
      <c r="F786" s="268"/>
      <c r="G786" s="268"/>
      <c r="H786" s="268"/>
    </row>
    <row r="787">
      <c r="A787" s="22"/>
      <c r="B787" s="573"/>
      <c r="E787" s="268"/>
      <c r="F787" s="268"/>
      <c r="G787" s="268"/>
      <c r="H787" s="268"/>
    </row>
    <row r="788">
      <c r="A788" s="22"/>
      <c r="B788" s="573"/>
      <c r="E788" s="268"/>
      <c r="F788" s="268"/>
      <c r="G788" s="268"/>
      <c r="H788" s="268"/>
    </row>
    <row r="789">
      <c r="A789" s="22"/>
      <c r="B789" s="573"/>
      <c r="E789" s="268"/>
      <c r="F789" s="268"/>
      <c r="G789" s="268"/>
      <c r="H789" s="268"/>
    </row>
    <row r="790">
      <c r="A790" s="22"/>
      <c r="B790" s="573"/>
      <c r="E790" s="268"/>
      <c r="F790" s="268"/>
      <c r="G790" s="268"/>
      <c r="H790" s="268"/>
    </row>
    <row r="791">
      <c r="A791" s="22"/>
      <c r="B791" s="573"/>
      <c r="E791" s="268"/>
      <c r="F791" s="268"/>
      <c r="G791" s="268"/>
      <c r="H791" s="268"/>
    </row>
    <row r="792">
      <c r="A792" s="22"/>
      <c r="B792" s="573"/>
      <c r="E792" s="268"/>
      <c r="F792" s="268"/>
      <c r="G792" s="268"/>
      <c r="H792" s="268"/>
    </row>
    <row r="793">
      <c r="A793" s="22"/>
      <c r="B793" s="573"/>
      <c r="E793" s="268"/>
      <c r="F793" s="268"/>
      <c r="G793" s="268"/>
      <c r="H793" s="268"/>
    </row>
    <row r="794">
      <c r="A794" s="22"/>
      <c r="B794" s="573"/>
      <c r="E794" s="268"/>
      <c r="F794" s="268"/>
      <c r="G794" s="268"/>
      <c r="H794" s="268"/>
    </row>
    <row r="795">
      <c r="A795" s="22"/>
      <c r="B795" s="573"/>
      <c r="E795" s="268"/>
      <c r="F795" s="268"/>
      <c r="G795" s="268"/>
      <c r="H795" s="268"/>
    </row>
    <row r="796">
      <c r="A796" s="22"/>
      <c r="E796" s="268"/>
      <c r="F796" s="268"/>
      <c r="G796" s="268"/>
      <c r="H796" s="268"/>
    </row>
    <row r="797">
      <c r="A797" s="22"/>
      <c r="E797" s="268"/>
      <c r="F797" s="268"/>
      <c r="G797" s="268"/>
      <c r="H797" s="268"/>
    </row>
    <row r="798">
      <c r="A798" s="22"/>
      <c r="B798" s="573"/>
      <c r="E798" s="268"/>
      <c r="F798" s="268"/>
      <c r="G798" s="268"/>
      <c r="H798" s="268"/>
    </row>
    <row r="799">
      <c r="A799" s="22"/>
      <c r="B799" s="573"/>
      <c r="E799" s="268"/>
      <c r="F799" s="268"/>
      <c r="G799" s="268"/>
      <c r="H799" s="268"/>
    </row>
    <row r="800">
      <c r="A800" s="22"/>
      <c r="B800" s="573"/>
      <c r="E800" s="268"/>
      <c r="F800" s="268"/>
      <c r="G800" s="268"/>
      <c r="H800" s="268"/>
    </row>
    <row r="801">
      <c r="A801" s="22"/>
      <c r="B801" s="573"/>
      <c r="E801" s="268"/>
      <c r="F801" s="268"/>
      <c r="G801" s="268"/>
      <c r="H801" s="268"/>
    </row>
    <row r="802">
      <c r="A802" s="22"/>
      <c r="B802" s="573"/>
      <c r="E802" s="268"/>
      <c r="F802" s="268"/>
      <c r="G802" s="268"/>
      <c r="H802" s="268"/>
    </row>
    <row r="803">
      <c r="A803" s="22"/>
      <c r="B803" s="573"/>
      <c r="E803" s="268"/>
      <c r="F803" s="268"/>
      <c r="G803" s="268"/>
      <c r="H803" s="268"/>
    </row>
    <row r="804">
      <c r="A804" s="22"/>
      <c r="B804" s="573"/>
      <c r="E804" s="268"/>
      <c r="F804" s="268"/>
      <c r="G804" s="268"/>
      <c r="H804" s="268"/>
    </row>
    <row r="805">
      <c r="A805" s="22"/>
      <c r="B805" s="573"/>
      <c r="E805" s="268"/>
      <c r="F805" s="268"/>
      <c r="G805" s="268"/>
      <c r="H805" s="268"/>
    </row>
    <row r="806">
      <c r="A806" s="22"/>
      <c r="B806" s="573"/>
      <c r="E806" s="268"/>
      <c r="F806" s="268"/>
      <c r="G806" s="268"/>
      <c r="H806" s="268"/>
    </row>
    <row r="807">
      <c r="A807" s="22"/>
      <c r="B807" s="573"/>
      <c r="E807" s="268"/>
      <c r="F807" s="268"/>
      <c r="G807" s="268"/>
      <c r="H807" s="268"/>
    </row>
    <row r="808">
      <c r="A808" s="22"/>
      <c r="B808" s="573"/>
      <c r="E808" s="268"/>
      <c r="F808" s="268"/>
      <c r="G808" s="268"/>
      <c r="H808" s="268"/>
    </row>
    <row r="809">
      <c r="A809" s="22"/>
      <c r="B809" s="573"/>
      <c r="E809" s="268"/>
      <c r="F809" s="268"/>
      <c r="G809" s="268"/>
      <c r="H809" s="268"/>
    </row>
    <row r="810">
      <c r="A810" s="22"/>
      <c r="B810" s="573"/>
      <c r="E810" s="268"/>
      <c r="F810" s="268"/>
      <c r="G810" s="268"/>
      <c r="H810" s="268"/>
    </row>
    <row r="811">
      <c r="A811" s="22"/>
      <c r="B811" s="573"/>
      <c r="E811" s="268"/>
      <c r="F811" s="268"/>
      <c r="G811" s="268"/>
      <c r="H811" s="268"/>
    </row>
    <row r="812">
      <c r="A812" s="22"/>
      <c r="B812" s="573"/>
      <c r="E812" s="268"/>
      <c r="F812" s="268"/>
      <c r="G812" s="268"/>
      <c r="H812" s="268"/>
    </row>
    <row r="813">
      <c r="A813" s="22"/>
      <c r="B813" s="573"/>
      <c r="E813" s="268"/>
      <c r="F813" s="268"/>
      <c r="G813" s="268"/>
      <c r="H813" s="268"/>
    </row>
    <row r="814">
      <c r="A814" s="22"/>
      <c r="B814" s="573"/>
      <c r="E814" s="268"/>
      <c r="F814" s="268"/>
      <c r="G814" s="268"/>
      <c r="H814" s="268"/>
    </row>
    <row r="815">
      <c r="A815" s="22"/>
      <c r="B815" s="573"/>
      <c r="E815" s="268"/>
      <c r="F815" s="268"/>
      <c r="G815" s="268"/>
      <c r="H815" s="268"/>
    </row>
    <row r="816">
      <c r="A816" s="22"/>
      <c r="B816" s="573"/>
      <c r="E816" s="268"/>
      <c r="F816" s="268"/>
      <c r="G816" s="268"/>
      <c r="H816" s="268"/>
    </row>
    <row r="817">
      <c r="A817" s="22"/>
      <c r="B817" s="573"/>
      <c r="E817" s="268"/>
      <c r="F817" s="268"/>
      <c r="G817" s="268"/>
      <c r="H817" s="268"/>
    </row>
    <row r="818">
      <c r="A818" s="22"/>
      <c r="B818" s="573"/>
      <c r="E818" s="268"/>
      <c r="F818" s="268"/>
      <c r="G818" s="268"/>
      <c r="H818" s="268"/>
    </row>
    <row r="819">
      <c r="A819" s="22"/>
      <c r="B819" s="573"/>
      <c r="E819" s="268"/>
      <c r="F819" s="268"/>
      <c r="G819" s="268"/>
      <c r="H819" s="268"/>
    </row>
    <row r="820">
      <c r="A820" s="22"/>
      <c r="B820" s="573"/>
      <c r="E820" s="268"/>
      <c r="F820" s="268"/>
      <c r="G820" s="268"/>
      <c r="H820" s="268"/>
    </row>
    <row r="821">
      <c r="A821" s="22"/>
      <c r="B821" s="573"/>
      <c r="E821" s="268"/>
      <c r="F821" s="268"/>
      <c r="G821" s="268"/>
      <c r="H821" s="268"/>
    </row>
    <row r="822">
      <c r="A822" s="22"/>
      <c r="B822" s="573"/>
      <c r="E822" s="268"/>
      <c r="F822" s="268"/>
      <c r="G822" s="268"/>
      <c r="H822" s="268"/>
    </row>
    <row r="823">
      <c r="A823" s="22"/>
      <c r="B823" s="573"/>
      <c r="E823" s="268"/>
      <c r="F823" s="268"/>
      <c r="G823" s="268"/>
      <c r="H823" s="268"/>
    </row>
    <row r="824">
      <c r="A824" s="22"/>
      <c r="B824" s="573"/>
      <c r="E824" s="268"/>
      <c r="F824" s="268"/>
      <c r="G824" s="268"/>
      <c r="H824" s="268"/>
    </row>
    <row r="825">
      <c r="A825" s="22"/>
      <c r="B825" s="573"/>
      <c r="E825" s="268"/>
      <c r="F825" s="268"/>
      <c r="G825" s="268"/>
      <c r="H825" s="268"/>
    </row>
    <row r="826">
      <c r="A826" s="22"/>
      <c r="B826" s="573"/>
      <c r="E826" s="268"/>
      <c r="F826" s="268"/>
      <c r="G826" s="268"/>
      <c r="H826" s="268"/>
    </row>
    <row r="827">
      <c r="A827" s="22"/>
      <c r="B827" s="573"/>
      <c r="E827" s="268"/>
      <c r="F827" s="268"/>
      <c r="G827" s="268"/>
      <c r="H827" s="268"/>
    </row>
    <row r="828">
      <c r="A828" s="22"/>
      <c r="B828" s="573"/>
      <c r="E828" s="268"/>
      <c r="F828" s="268"/>
      <c r="G828" s="268"/>
      <c r="H828" s="268"/>
    </row>
    <row r="829">
      <c r="A829" s="22"/>
      <c r="B829" s="573"/>
      <c r="E829" s="268"/>
      <c r="F829" s="268"/>
      <c r="G829" s="268"/>
      <c r="H829" s="268"/>
    </row>
    <row r="830">
      <c r="A830" s="22"/>
      <c r="B830" s="573"/>
      <c r="E830" s="268"/>
      <c r="F830" s="268"/>
      <c r="G830" s="268"/>
      <c r="H830" s="268"/>
    </row>
    <row r="831">
      <c r="A831" s="22"/>
      <c r="B831" s="573"/>
      <c r="E831" s="268"/>
      <c r="F831" s="268"/>
      <c r="G831" s="268"/>
      <c r="H831" s="268"/>
    </row>
    <row r="832">
      <c r="A832" s="22"/>
      <c r="B832" s="573"/>
      <c r="E832" s="268"/>
      <c r="F832" s="268"/>
      <c r="G832" s="268"/>
      <c r="H832" s="268"/>
    </row>
    <row r="833">
      <c r="A833" s="22"/>
      <c r="B833" s="573"/>
      <c r="E833" s="268"/>
      <c r="F833" s="268"/>
      <c r="G833" s="268"/>
      <c r="H833" s="268"/>
    </row>
    <row r="834">
      <c r="A834" s="22"/>
      <c r="B834" s="573"/>
      <c r="E834" s="268"/>
      <c r="F834" s="268"/>
      <c r="G834" s="268"/>
      <c r="H834" s="268"/>
    </row>
    <row r="835">
      <c r="A835" s="22"/>
      <c r="B835" s="573"/>
      <c r="E835" s="268"/>
      <c r="F835" s="268"/>
      <c r="G835" s="268"/>
      <c r="H835" s="268"/>
    </row>
    <row r="836">
      <c r="A836" s="22"/>
      <c r="B836" s="573"/>
      <c r="E836" s="268"/>
      <c r="F836" s="268"/>
      <c r="G836" s="268"/>
      <c r="H836" s="268"/>
    </row>
    <row r="837">
      <c r="A837" s="22"/>
      <c r="B837" s="573"/>
      <c r="E837" s="268"/>
      <c r="F837" s="268"/>
      <c r="G837" s="268"/>
      <c r="H837" s="268"/>
    </row>
    <row r="838">
      <c r="A838" s="22"/>
      <c r="B838" s="573"/>
      <c r="E838" s="268"/>
      <c r="F838" s="268"/>
      <c r="G838" s="268"/>
      <c r="H838" s="268"/>
    </row>
    <row r="839">
      <c r="A839" s="22"/>
      <c r="B839" s="573"/>
      <c r="E839" s="268"/>
      <c r="F839" s="268"/>
      <c r="G839" s="268"/>
      <c r="H839" s="268"/>
    </row>
    <row r="840">
      <c r="A840" s="22"/>
      <c r="B840" s="573"/>
      <c r="E840" s="268"/>
      <c r="F840" s="268"/>
      <c r="G840" s="268"/>
      <c r="H840" s="268"/>
    </row>
    <row r="841">
      <c r="A841" s="22"/>
      <c r="B841" s="573"/>
      <c r="E841" s="268"/>
      <c r="F841" s="268"/>
      <c r="G841" s="268"/>
      <c r="H841" s="268"/>
    </row>
    <row r="842">
      <c r="A842" s="22"/>
      <c r="B842" s="573"/>
      <c r="E842" s="268"/>
      <c r="F842" s="268"/>
      <c r="G842" s="268"/>
      <c r="H842" s="268"/>
    </row>
    <row r="843">
      <c r="A843" s="22"/>
      <c r="B843" s="573"/>
      <c r="E843" s="268"/>
      <c r="F843" s="268"/>
      <c r="G843" s="268"/>
      <c r="H843" s="268"/>
    </row>
    <row r="844">
      <c r="A844" s="22"/>
      <c r="B844" s="573"/>
      <c r="E844" s="268"/>
      <c r="F844" s="268"/>
      <c r="G844" s="268"/>
      <c r="H844" s="268"/>
    </row>
    <row r="845">
      <c r="A845" s="22"/>
      <c r="B845" s="573"/>
      <c r="E845" s="268"/>
      <c r="F845" s="268"/>
      <c r="G845" s="268"/>
      <c r="H845" s="268"/>
    </row>
    <row r="846">
      <c r="A846" s="22"/>
      <c r="B846" s="573"/>
      <c r="E846" s="268"/>
      <c r="F846" s="268"/>
      <c r="G846" s="268"/>
      <c r="H846" s="268"/>
    </row>
    <row r="847">
      <c r="A847" s="22"/>
      <c r="B847" s="573"/>
      <c r="E847" s="268"/>
      <c r="F847" s="268"/>
      <c r="G847" s="268"/>
      <c r="H847" s="268"/>
    </row>
    <row r="848">
      <c r="A848" s="22"/>
      <c r="B848" s="573"/>
      <c r="E848" s="268"/>
      <c r="F848" s="268"/>
      <c r="G848" s="268"/>
      <c r="H848" s="268"/>
    </row>
    <row r="849">
      <c r="A849" s="22"/>
      <c r="B849" s="573"/>
      <c r="E849" s="268"/>
      <c r="F849" s="268"/>
      <c r="G849" s="268"/>
      <c r="H849" s="268"/>
    </row>
    <row r="850">
      <c r="A850" s="22"/>
      <c r="B850" s="573"/>
      <c r="E850" s="268"/>
      <c r="F850" s="268"/>
      <c r="G850" s="268"/>
      <c r="H850" s="268"/>
    </row>
    <row r="851">
      <c r="A851" s="22"/>
      <c r="B851" s="573"/>
      <c r="E851" s="268"/>
      <c r="F851" s="268"/>
      <c r="G851" s="268"/>
      <c r="H851" s="268"/>
    </row>
    <row r="852">
      <c r="A852" s="22"/>
      <c r="B852" s="573"/>
      <c r="E852" s="268"/>
      <c r="F852" s="268"/>
      <c r="G852" s="268"/>
      <c r="H852" s="268"/>
    </row>
    <row r="853">
      <c r="A853" s="22"/>
      <c r="E853" s="268"/>
      <c r="F853" s="268"/>
      <c r="G853" s="268"/>
      <c r="H853" s="268"/>
    </row>
    <row r="854">
      <c r="A854" s="22"/>
      <c r="E854" s="268"/>
      <c r="F854" s="268"/>
      <c r="G854" s="268"/>
      <c r="H854" s="268"/>
    </row>
    <row r="855">
      <c r="A855" s="22"/>
      <c r="B855" s="573"/>
      <c r="E855" s="268"/>
      <c r="F855" s="268"/>
      <c r="G855" s="268"/>
      <c r="H855" s="268"/>
    </row>
    <row r="856">
      <c r="A856" s="22"/>
      <c r="B856" s="573"/>
      <c r="E856" s="268"/>
      <c r="F856" s="268"/>
      <c r="G856" s="268"/>
      <c r="H856" s="268"/>
    </row>
    <row r="857">
      <c r="A857" s="22"/>
      <c r="B857" s="573"/>
      <c r="E857" s="268"/>
      <c r="F857" s="268"/>
      <c r="G857" s="268"/>
      <c r="H857" s="268"/>
    </row>
    <row r="858">
      <c r="A858" s="22"/>
      <c r="B858" s="573"/>
      <c r="E858" s="268"/>
      <c r="F858" s="268"/>
      <c r="G858" s="268"/>
      <c r="H858" s="268"/>
    </row>
    <row r="859">
      <c r="A859" s="22"/>
      <c r="B859" s="573"/>
      <c r="E859" s="268"/>
      <c r="F859" s="268"/>
      <c r="G859" s="268"/>
      <c r="H859" s="268"/>
    </row>
    <row r="860">
      <c r="A860" s="22"/>
      <c r="B860" s="573"/>
      <c r="E860" s="268"/>
      <c r="F860" s="268"/>
      <c r="G860" s="268"/>
      <c r="H860" s="268"/>
    </row>
    <row r="861">
      <c r="A861" s="22"/>
      <c r="B861" s="573"/>
      <c r="E861" s="268"/>
      <c r="F861" s="268"/>
      <c r="G861" s="268"/>
      <c r="H861" s="268"/>
    </row>
    <row r="862">
      <c r="A862" s="22"/>
      <c r="B862" s="573"/>
      <c r="E862" s="268"/>
      <c r="F862" s="268"/>
      <c r="G862" s="268"/>
      <c r="H862" s="268"/>
    </row>
    <row r="863">
      <c r="A863" s="22"/>
      <c r="B863" s="573"/>
      <c r="E863" s="268"/>
      <c r="F863" s="268"/>
      <c r="G863" s="268"/>
      <c r="H863" s="268"/>
    </row>
    <row r="864">
      <c r="A864" s="22"/>
      <c r="B864" s="573"/>
      <c r="E864" s="268"/>
      <c r="F864" s="268"/>
      <c r="G864" s="268"/>
      <c r="H864" s="268"/>
    </row>
    <row r="865">
      <c r="A865" s="22"/>
      <c r="B865" s="573"/>
      <c r="E865" s="268"/>
      <c r="F865" s="268"/>
      <c r="G865" s="268"/>
      <c r="H865" s="268"/>
    </row>
    <row r="866">
      <c r="A866" s="22"/>
      <c r="B866" s="573"/>
      <c r="E866" s="268"/>
      <c r="F866" s="268"/>
      <c r="G866" s="268"/>
      <c r="H866" s="268"/>
    </row>
    <row r="867">
      <c r="A867" s="22"/>
      <c r="B867" s="573"/>
      <c r="E867" s="268"/>
      <c r="F867" s="268"/>
      <c r="G867" s="268"/>
      <c r="H867" s="268"/>
    </row>
    <row r="868">
      <c r="A868" s="22"/>
      <c r="B868" s="573"/>
      <c r="E868" s="268"/>
      <c r="F868" s="268"/>
      <c r="G868" s="268"/>
      <c r="H868" s="268"/>
    </row>
    <row r="869">
      <c r="A869" s="22"/>
      <c r="B869" s="573"/>
      <c r="E869" s="268"/>
      <c r="F869" s="268"/>
      <c r="G869" s="268"/>
      <c r="H869" s="268"/>
    </row>
    <row r="870">
      <c r="A870" s="22"/>
      <c r="B870" s="573"/>
      <c r="E870" s="268"/>
      <c r="F870" s="268"/>
      <c r="G870" s="268"/>
      <c r="H870" s="268"/>
    </row>
    <row r="871">
      <c r="A871" s="22"/>
      <c r="B871" s="573"/>
      <c r="E871" s="268"/>
      <c r="F871" s="268"/>
      <c r="G871" s="268"/>
      <c r="H871" s="268"/>
    </row>
    <row r="872">
      <c r="A872" s="22"/>
      <c r="B872" s="573"/>
      <c r="E872" s="268"/>
      <c r="F872" s="268"/>
      <c r="G872" s="268"/>
      <c r="H872" s="268"/>
    </row>
    <row r="873">
      <c r="A873" s="22"/>
      <c r="B873" s="573"/>
      <c r="E873" s="268"/>
      <c r="F873" s="268"/>
      <c r="G873" s="268"/>
      <c r="H873" s="268"/>
    </row>
    <row r="874">
      <c r="A874" s="22"/>
      <c r="B874" s="573"/>
      <c r="E874" s="268"/>
      <c r="F874" s="268"/>
      <c r="G874" s="268"/>
      <c r="H874" s="268"/>
    </row>
    <row r="875">
      <c r="A875" s="22"/>
      <c r="B875" s="573"/>
      <c r="E875" s="268"/>
      <c r="F875" s="268"/>
      <c r="G875" s="268"/>
      <c r="H875" s="268"/>
    </row>
    <row r="876">
      <c r="A876" s="22"/>
      <c r="B876" s="573"/>
      <c r="E876" s="268"/>
      <c r="F876" s="268"/>
      <c r="G876" s="268"/>
      <c r="H876" s="268"/>
    </row>
    <row r="877">
      <c r="A877" s="22"/>
      <c r="B877" s="573"/>
      <c r="E877" s="268"/>
      <c r="F877" s="268"/>
      <c r="G877" s="268"/>
      <c r="H877" s="268"/>
    </row>
    <row r="878">
      <c r="A878" s="22"/>
      <c r="B878" s="573"/>
      <c r="E878" s="268"/>
      <c r="F878" s="268"/>
      <c r="G878" s="268"/>
      <c r="H878" s="268"/>
    </row>
    <row r="879">
      <c r="A879" s="22"/>
      <c r="B879" s="573"/>
      <c r="E879" s="268"/>
      <c r="F879" s="268"/>
      <c r="G879" s="268"/>
      <c r="H879" s="268"/>
    </row>
    <row r="880">
      <c r="A880" s="22"/>
      <c r="B880" s="573"/>
      <c r="E880" s="268"/>
      <c r="F880" s="268"/>
      <c r="G880" s="268"/>
      <c r="H880" s="268"/>
    </row>
    <row r="881">
      <c r="A881" s="22"/>
      <c r="B881" s="573"/>
      <c r="E881" s="268"/>
      <c r="F881" s="268"/>
      <c r="G881" s="268"/>
      <c r="H881" s="268"/>
    </row>
    <row r="882">
      <c r="A882" s="22"/>
      <c r="B882" s="573"/>
      <c r="E882" s="268"/>
      <c r="F882" s="268"/>
      <c r="G882" s="268"/>
      <c r="H882" s="268"/>
    </row>
    <row r="883">
      <c r="A883" s="22"/>
      <c r="B883" s="573"/>
      <c r="E883" s="268"/>
      <c r="F883" s="268"/>
      <c r="G883" s="268"/>
      <c r="H883" s="268"/>
    </row>
    <row r="884">
      <c r="A884" s="22"/>
      <c r="B884" s="573"/>
      <c r="E884" s="268"/>
      <c r="F884" s="268"/>
      <c r="G884" s="268"/>
      <c r="H884" s="268"/>
    </row>
    <row r="885">
      <c r="A885" s="22"/>
      <c r="B885" s="573"/>
      <c r="E885" s="268"/>
      <c r="F885" s="268"/>
      <c r="G885" s="268"/>
      <c r="H885" s="268"/>
    </row>
    <row r="886">
      <c r="A886" s="22"/>
      <c r="B886" s="573"/>
      <c r="E886" s="268"/>
      <c r="F886" s="268"/>
      <c r="G886" s="268"/>
      <c r="H886" s="268"/>
    </row>
    <row r="887">
      <c r="A887" s="22"/>
      <c r="B887" s="573"/>
      <c r="E887" s="268"/>
      <c r="F887" s="268"/>
      <c r="G887" s="268"/>
      <c r="H887" s="268"/>
    </row>
    <row r="888">
      <c r="A888" s="22"/>
      <c r="B888" s="573"/>
      <c r="E888" s="268"/>
      <c r="F888" s="268"/>
      <c r="G888" s="268"/>
      <c r="H888" s="268"/>
    </row>
    <row r="889">
      <c r="A889" s="22"/>
      <c r="B889" s="573"/>
      <c r="E889" s="268"/>
      <c r="F889" s="268"/>
      <c r="G889" s="268"/>
      <c r="H889" s="268"/>
    </row>
    <row r="890">
      <c r="A890" s="22"/>
      <c r="B890" s="573"/>
      <c r="E890" s="268"/>
      <c r="F890" s="268"/>
      <c r="G890" s="268"/>
      <c r="H890" s="268"/>
    </row>
    <row r="891">
      <c r="A891" s="22"/>
      <c r="B891" s="573"/>
      <c r="E891" s="268"/>
      <c r="F891" s="268"/>
      <c r="G891" s="268"/>
      <c r="H891" s="268"/>
    </row>
    <row r="892">
      <c r="A892" s="22"/>
      <c r="B892" s="573"/>
      <c r="E892" s="268"/>
      <c r="F892" s="268"/>
      <c r="G892" s="268"/>
      <c r="H892" s="268"/>
    </row>
    <row r="893">
      <c r="A893" s="22"/>
      <c r="B893" s="573"/>
      <c r="E893" s="268"/>
      <c r="F893" s="268"/>
      <c r="G893" s="268"/>
      <c r="H893" s="268"/>
    </row>
    <row r="894">
      <c r="A894" s="22"/>
      <c r="B894" s="573"/>
      <c r="E894" s="268"/>
      <c r="F894" s="268"/>
      <c r="G894" s="268"/>
      <c r="H894" s="268"/>
    </row>
    <row r="895">
      <c r="A895" s="22"/>
      <c r="B895" s="573"/>
      <c r="E895" s="268"/>
      <c r="F895" s="268"/>
      <c r="G895" s="268"/>
      <c r="H895" s="268"/>
    </row>
    <row r="896">
      <c r="A896" s="22"/>
      <c r="B896" s="573"/>
      <c r="E896" s="268"/>
      <c r="F896" s="268"/>
      <c r="G896" s="268"/>
      <c r="H896" s="268"/>
    </row>
    <row r="897">
      <c r="A897" s="22"/>
      <c r="B897" s="573"/>
      <c r="E897" s="268"/>
      <c r="F897" s="268"/>
      <c r="G897" s="268"/>
      <c r="H897" s="268"/>
    </row>
    <row r="898">
      <c r="A898" s="22"/>
      <c r="B898" s="573"/>
      <c r="E898" s="268"/>
      <c r="F898" s="268"/>
      <c r="G898" s="268"/>
      <c r="H898" s="268"/>
    </row>
    <row r="899">
      <c r="A899" s="22"/>
      <c r="B899" s="573"/>
      <c r="E899" s="268"/>
      <c r="F899" s="268"/>
      <c r="G899" s="268"/>
      <c r="H899" s="268"/>
    </row>
    <row r="900">
      <c r="A900" s="22"/>
      <c r="B900" s="573"/>
      <c r="E900" s="268"/>
      <c r="F900" s="268"/>
      <c r="G900" s="268"/>
      <c r="H900" s="268"/>
    </row>
    <row r="901">
      <c r="A901" s="22"/>
      <c r="B901" s="573"/>
      <c r="E901" s="268"/>
      <c r="F901" s="268"/>
      <c r="G901" s="268"/>
      <c r="H901" s="268"/>
    </row>
    <row r="902">
      <c r="A902" s="22"/>
      <c r="B902" s="573"/>
      <c r="E902" s="268"/>
      <c r="F902" s="268"/>
      <c r="G902" s="268"/>
      <c r="H902" s="268"/>
    </row>
    <row r="903">
      <c r="A903" s="22"/>
      <c r="B903" s="573"/>
      <c r="E903" s="268"/>
      <c r="F903" s="268"/>
      <c r="G903" s="268"/>
      <c r="H903" s="268"/>
    </row>
    <row r="904">
      <c r="A904" s="22"/>
      <c r="B904" s="573"/>
      <c r="E904" s="268"/>
      <c r="F904" s="268"/>
      <c r="G904" s="268"/>
      <c r="H904" s="268"/>
    </row>
    <row r="905">
      <c r="A905" s="22"/>
      <c r="B905" s="573"/>
      <c r="E905" s="268"/>
      <c r="F905" s="268"/>
      <c r="G905" s="268"/>
      <c r="H905" s="268"/>
    </row>
    <row r="906">
      <c r="A906" s="22"/>
      <c r="B906" s="573"/>
      <c r="E906" s="268"/>
      <c r="F906" s="268"/>
      <c r="G906" s="268"/>
      <c r="H906" s="268"/>
    </row>
    <row r="907">
      <c r="A907" s="22"/>
      <c r="B907" s="573"/>
      <c r="E907" s="268"/>
      <c r="F907" s="268"/>
      <c r="G907" s="268"/>
      <c r="H907" s="268"/>
    </row>
    <row r="908">
      <c r="A908" s="22"/>
      <c r="B908" s="573"/>
      <c r="E908" s="268"/>
      <c r="F908" s="268"/>
      <c r="G908" s="268"/>
      <c r="H908" s="268"/>
    </row>
    <row r="909">
      <c r="A909" s="22"/>
      <c r="B909" s="573"/>
      <c r="E909" s="268"/>
      <c r="F909" s="268"/>
      <c r="G909" s="268"/>
      <c r="H909" s="268"/>
    </row>
    <row r="910">
      <c r="A910" s="22"/>
      <c r="E910" s="268"/>
      <c r="F910" s="268"/>
      <c r="G910" s="268"/>
      <c r="H910" s="268"/>
    </row>
    <row r="911">
      <c r="A911" s="22"/>
      <c r="E911" s="268"/>
      <c r="F911" s="268"/>
      <c r="G911" s="268"/>
      <c r="H911" s="268"/>
    </row>
    <row r="912">
      <c r="A912" s="22"/>
      <c r="B912" s="573"/>
      <c r="E912" s="268"/>
      <c r="F912" s="268"/>
      <c r="G912" s="268"/>
      <c r="H912" s="268"/>
    </row>
    <row r="913">
      <c r="A913" s="22"/>
      <c r="B913" s="573"/>
      <c r="E913" s="268"/>
      <c r="F913" s="268"/>
      <c r="G913" s="268"/>
      <c r="H913" s="268"/>
    </row>
    <row r="914">
      <c r="A914" s="22"/>
      <c r="B914" s="573"/>
      <c r="E914" s="268"/>
      <c r="F914" s="268"/>
      <c r="G914" s="268"/>
      <c r="H914" s="268"/>
    </row>
    <row r="915">
      <c r="A915" s="22"/>
      <c r="B915" s="573"/>
      <c r="E915" s="268"/>
      <c r="F915" s="268"/>
      <c r="G915" s="268"/>
      <c r="H915" s="268"/>
    </row>
    <row r="916">
      <c r="A916" s="22"/>
      <c r="B916" s="573"/>
      <c r="E916" s="268"/>
      <c r="F916" s="268"/>
      <c r="G916" s="268"/>
      <c r="H916" s="268"/>
    </row>
    <row r="917">
      <c r="A917" s="22"/>
      <c r="B917" s="573"/>
      <c r="E917" s="268"/>
      <c r="F917" s="268"/>
      <c r="G917" s="268"/>
      <c r="H917" s="268"/>
    </row>
    <row r="918">
      <c r="A918" s="22"/>
      <c r="B918" s="573"/>
      <c r="E918" s="268"/>
      <c r="F918" s="268"/>
      <c r="G918" s="268"/>
      <c r="H918" s="268"/>
    </row>
    <row r="919">
      <c r="A919" s="22"/>
      <c r="B919" s="573"/>
      <c r="E919" s="268"/>
      <c r="F919" s="268"/>
      <c r="G919" s="268"/>
      <c r="H919" s="268"/>
    </row>
    <row r="920">
      <c r="A920" s="22"/>
      <c r="B920" s="573"/>
      <c r="E920" s="268"/>
      <c r="F920" s="268"/>
      <c r="G920" s="268"/>
      <c r="H920" s="268"/>
    </row>
    <row r="921">
      <c r="A921" s="22"/>
      <c r="B921" s="573"/>
      <c r="E921" s="268"/>
      <c r="F921" s="268"/>
      <c r="G921" s="268"/>
      <c r="H921" s="268"/>
    </row>
    <row r="922">
      <c r="A922" s="22"/>
      <c r="B922" s="573"/>
      <c r="E922" s="268"/>
      <c r="F922" s="268"/>
      <c r="G922" s="268"/>
      <c r="H922" s="268"/>
    </row>
    <row r="923">
      <c r="A923" s="22"/>
      <c r="B923" s="573"/>
      <c r="E923" s="268"/>
      <c r="F923" s="268"/>
      <c r="G923" s="268"/>
      <c r="H923" s="268"/>
    </row>
    <row r="924">
      <c r="A924" s="22"/>
      <c r="B924" s="573"/>
      <c r="E924" s="268"/>
      <c r="F924" s="268"/>
      <c r="G924" s="268"/>
      <c r="H924" s="268"/>
    </row>
    <row r="925">
      <c r="A925" s="22"/>
      <c r="B925" s="573"/>
      <c r="E925" s="268"/>
      <c r="F925" s="268"/>
      <c r="G925" s="268"/>
      <c r="H925" s="268"/>
    </row>
    <row r="926">
      <c r="A926" s="22"/>
      <c r="B926" s="573"/>
      <c r="E926" s="268"/>
      <c r="F926" s="268"/>
      <c r="G926" s="268"/>
      <c r="H926" s="268"/>
    </row>
    <row r="927">
      <c r="A927" s="22"/>
      <c r="B927" s="573"/>
      <c r="E927" s="268"/>
      <c r="F927" s="268"/>
      <c r="G927" s="268"/>
      <c r="H927" s="268"/>
    </row>
    <row r="928">
      <c r="A928" s="22"/>
      <c r="B928" s="573"/>
      <c r="E928" s="268"/>
      <c r="F928" s="268"/>
      <c r="G928" s="268"/>
      <c r="H928" s="268"/>
    </row>
    <row r="929">
      <c r="A929" s="22"/>
      <c r="B929" s="573"/>
      <c r="E929" s="268"/>
      <c r="F929" s="268"/>
      <c r="G929" s="268"/>
      <c r="H929" s="268"/>
    </row>
    <row r="930">
      <c r="A930" s="22"/>
      <c r="B930" s="573"/>
      <c r="E930" s="268"/>
      <c r="F930" s="268"/>
      <c r="G930" s="268"/>
      <c r="H930" s="268"/>
    </row>
    <row r="931">
      <c r="A931" s="22"/>
      <c r="B931" s="573"/>
      <c r="E931" s="268"/>
      <c r="F931" s="268"/>
      <c r="G931" s="268"/>
      <c r="H931" s="268"/>
    </row>
    <row r="932">
      <c r="A932" s="22"/>
      <c r="B932" s="573"/>
      <c r="E932" s="268"/>
      <c r="F932" s="268"/>
      <c r="G932" s="268"/>
      <c r="H932" s="268"/>
    </row>
    <row r="933">
      <c r="A933" s="22"/>
      <c r="B933" s="573"/>
      <c r="E933" s="268"/>
      <c r="F933" s="268"/>
      <c r="G933" s="268"/>
      <c r="H933" s="268"/>
    </row>
    <row r="934">
      <c r="A934" s="22"/>
      <c r="B934" s="573"/>
      <c r="E934" s="268"/>
      <c r="F934" s="268"/>
      <c r="G934" s="268"/>
      <c r="H934" s="268"/>
    </row>
    <row r="935">
      <c r="A935" s="22"/>
      <c r="B935" s="573"/>
      <c r="E935" s="268"/>
      <c r="F935" s="268"/>
      <c r="G935" s="268"/>
      <c r="H935" s="268"/>
    </row>
    <row r="936">
      <c r="A936" s="22"/>
      <c r="B936" s="573"/>
      <c r="E936" s="268"/>
      <c r="F936" s="268"/>
      <c r="G936" s="268"/>
      <c r="H936" s="268"/>
    </row>
    <row r="937">
      <c r="A937" s="22"/>
      <c r="B937" s="573"/>
      <c r="E937" s="268"/>
      <c r="F937" s="268"/>
      <c r="G937" s="268"/>
      <c r="H937" s="268"/>
    </row>
    <row r="938">
      <c r="A938" s="22"/>
      <c r="B938" s="573"/>
      <c r="E938" s="268"/>
      <c r="F938" s="268"/>
      <c r="G938" s="268"/>
      <c r="H938" s="268"/>
    </row>
    <row r="939">
      <c r="A939" s="22"/>
      <c r="B939" s="573"/>
      <c r="E939" s="268"/>
      <c r="F939" s="268"/>
      <c r="G939" s="268"/>
      <c r="H939" s="268"/>
    </row>
    <row r="940">
      <c r="A940" s="22"/>
      <c r="B940" s="573"/>
      <c r="E940" s="268"/>
      <c r="F940" s="268"/>
      <c r="G940" s="268"/>
      <c r="H940" s="268"/>
    </row>
    <row r="941">
      <c r="A941" s="22"/>
      <c r="B941" s="573"/>
      <c r="E941" s="268"/>
      <c r="F941" s="268"/>
      <c r="G941" s="268"/>
      <c r="H941" s="268"/>
    </row>
    <row r="942">
      <c r="A942" s="22"/>
      <c r="B942" s="573"/>
      <c r="E942" s="268"/>
      <c r="F942" s="268"/>
      <c r="G942" s="268"/>
      <c r="H942" s="268"/>
    </row>
    <row r="943">
      <c r="A943" s="22"/>
      <c r="B943" s="573"/>
      <c r="E943" s="268"/>
      <c r="F943" s="268"/>
      <c r="G943" s="268"/>
      <c r="H943" s="268"/>
    </row>
    <row r="944">
      <c r="A944" s="22"/>
      <c r="B944" s="573"/>
      <c r="E944" s="268"/>
      <c r="F944" s="268"/>
      <c r="G944" s="268"/>
      <c r="H944" s="268"/>
    </row>
    <row r="945">
      <c r="A945" s="22"/>
      <c r="B945" s="573"/>
      <c r="E945" s="268"/>
      <c r="F945" s="268"/>
      <c r="G945" s="268"/>
      <c r="H945" s="268"/>
    </row>
    <row r="946">
      <c r="A946" s="22"/>
      <c r="B946" s="573"/>
      <c r="E946" s="268"/>
      <c r="F946" s="268"/>
      <c r="G946" s="268"/>
      <c r="H946" s="268"/>
    </row>
    <row r="947">
      <c r="A947" s="22"/>
      <c r="B947" s="573"/>
      <c r="E947" s="268"/>
      <c r="F947" s="268"/>
      <c r="G947" s="268"/>
      <c r="H947" s="268"/>
    </row>
    <row r="948">
      <c r="A948" s="22"/>
      <c r="B948" s="573"/>
      <c r="E948" s="268"/>
      <c r="F948" s="268"/>
      <c r="G948" s="268"/>
      <c r="H948" s="268"/>
    </row>
    <row r="949">
      <c r="A949" s="22"/>
      <c r="B949" s="573"/>
      <c r="E949" s="268"/>
      <c r="F949" s="268"/>
      <c r="G949" s="268"/>
      <c r="H949" s="268"/>
    </row>
    <row r="950">
      <c r="A950" s="22"/>
      <c r="B950" s="573"/>
      <c r="E950" s="268"/>
      <c r="F950" s="268"/>
      <c r="G950" s="268"/>
      <c r="H950" s="268"/>
    </row>
    <row r="951">
      <c r="A951" s="22"/>
      <c r="B951" s="573"/>
      <c r="E951" s="268"/>
      <c r="F951" s="268"/>
      <c r="G951" s="268"/>
      <c r="H951" s="268"/>
    </row>
    <row r="952">
      <c r="A952" s="22"/>
      <c r="B952" s="573"/>
      <c r="E952" s="268"/>
      <c r="F952" s="268"/>
      <c r="G952" s="268"/>
      <c r="H952" s="268"/>
    </row>
    <row r="953">
      <c r="A953" s="22"/>
      <c r="B953" s="573"/>
      <c r="E953" s="268"/>
      <c r="F953" s="268"/>
      <c r="G953" s="268"/>
      <c r="H953" s="268"/>
    </row>
    <row r="954">
      <c r="A954" s="22"/>
      <c r="B954" s="573"/>
      <c r="E954" s="268"/>
      <c r="F954" s="268"/>
      <c r="G954" s="268"/>
      <c r="H954" s="268"/>
    </row>
    <row r="955">
      <c r="A955" s="22"/>
      <c r="B955" s="573"/>
      <c r="E955" s="268"/>
      <c r="F955" s="268"/>
      <c r="G955" s="268"/>
      <c r="H955" s="268"/>
    </row>
    <row r="956">
      <c r="A956" s="22"/>
      <c r="B956" s="573"/>
      <c r="E956" s="268"/>
      <c r="F956" s="268"/>
      <c r="G956" s="268"/>
      <c r="H956" s="268"/>
    </row>
    <row r="957">
      <c r="A957" s="22"/>
      <c r="B957" s="573"/>
      <c r="E957" s="268"/>
      <c r="F957" s="268"/>
      <c r="G957" s="268"/>
      <c r="H957" s="268"/>
    </row>
    <row r="958">
      <c r="A958" s="22"/>
      <c r="B958" s="573"/>
      <c r="E958" s="268"/>
      <c r="F958" s="268"/>
      <c r="G958" s="268"/>
      <c r="H958" s="268"/>
    </row>
    <row r="959">
      <c r="A959" s="22"/>
      <c r="B959" s="573"/>
      <c r="E959" s="268"/>
      <c r="F959" s="268"/>
      <c r="G959" s="268"/>
      <c r="H959" s="268"/>
    </row>
    <row r="960">
      <c r="A960" s="22"/>
      <c r="B960" s="573"/>
      <c r="E960" s="268"/>
      <c r="F960" s="268"/>
      <c r="G960" s="268"/>
      <c r="H960" s="268"/>
    </row>
    <row r="961">
      <c r="A961" s="22"/>
      <c r="B961" s="573"/>
      <c r="E961" s="268"/>
      <c r="F961" s="268"/>
      <c r="G961" s="268"/>
      <c r="H961" s="268"/>
    </row>
    <row r="962">
      <c r="A962" s="22"/>
      <c r="B962" s="573"/>
      <c r="E962" s="268"/>
      <c r="F962" s="268"/>
      <c r="G962" s="268"/>
      <c r="H962" s="268"/>
    </row>
    <row r="963">
      <c r="A963" s="22"/>
      <c r="B963" s="573"/>
      <c r="E963" s="268"/>
      <c r="F963" s="268"/>
      <c r="G963" s="268"/>
      <c r="H963" s="268"/>
    </row>
    <row r="964">
      <c r="A964" s="22"/>
      <c r="B964" s="573"/>
      <c r="E964" s="268"/>
      <c r="F964" s="268"/>
      <c r="G964" s="268"/>
      <c r="H964" s="268"/>
    </row>
    <row r="965">
      <c r="A965" s="22"/>
      <c r="B965" s="573"/>
      <c r="E965" s="268"/>
      <c r="F965" s="268"/>
      <c r="G965" s="268"/>
      <c r="H965" s="268"/>
    </row>
    <row r="966">
      <c r="A966" s="22"/>
      <c r="B966" s="573"/>
      <c r="E966" s="268"/>
      <c r="F966" s="268"/>
      <c r="G966" s="268"/>
      <c r="H966" s="268"/>
    </row>
    <row r="967">
      <c r="A967" s="22"/>
      <c r="E967" s="268"/>
      <c r="F967" s="268"/>
      <c r="G967" s="268"/>
      <c r="H967" s="268"/>
    </row>
    <row r="968">
      <c r="A968" s="22"/>
      <c r="E968" s="268"/>
      <c r="F968" s="268"/>
      <c r="G968" s="268"/>
      <c r="H968" s="268"/>
    </row>
    <row r="969">
      <c r="A969" s="22"/>
      <c r="E969" s="268"/>
      <c r="F969" s="268"/>
      <c r="G969" s="268"/>
      <c r="H969" s="268"/>
    </row>
    <row r="970">
      <c r="A970" s="22"/>
      <c r="E970" s="268"/>
      <c r="F970" s="268"/>
      <c r="G970" s="268"/>
      <c r="H970" s="268"/>
    </row>
    <row r="971">
      <c r="A971" s="22"/>
      <c r="E971" s="268"/>
      <c r="F971" s="268"/>
      <c r="G971" s="268"/>
      <c r="H971" s="268"/>
    </row>
    <row r="972">
      <c r="A972" s="22"/>
      <c r="E972" s="268"/>
      <c r="F972" s="268"/>
      <c r="G972" s="268"/>
      <c r="H972" s="268"/>
    </row>
    <row r="973">
      <c r="A973" s="22"/>
      <c r="E973" s="268"/>
      <c r="F973" s="268"/>
      <c r="G973" s="268"/>
      <c r="H973" s="268"/>
    </row>
    <row r="974">
      <c r="A974" s="22"/>
      <c r="E974" s="268"/>
      <c r="F974" s="268"/>
      <c r="G974" s="268"/>
      <c r="H974" s="268"/>
    </row>
    <row r="975">
      <c r="A975" s="22"/>
      <c r="E975" s="268"/>
      <c r="F975" s="268"/>
      <c r="G975" s="268"/>
      <c r="H975" s="268"/>
    </row>
    <row r="976">
      <c r="A976" s="22"/>
      <c r="E976" s="268"/>
      <c r="F976" s="268"/>
      <c r="G976" s="268"/>
      <c r="H976" s="268"/>
    </row>
    <row r="977">
      <c r="A977" s="22"/>
      <c r="E977" s="268"/>
      <c r="F977" s="268"/>
      <c r="G977" s="268"/>
      <c r="H977" s="268"/>
    </row>
    <row r="978">
      <c r="A978" s="22"/>
      <c r="E978" s="268"/>
      <c r="F978" s="268"/>
      <c r="G978" s="268"/>
      <c r="H978" s="268"/>
    </row>
    <row r="979">
      <c r="A979" s="22"/>
      <c r="E979" s="268"/>
      <c r="F979" s="268"/>
      <c r="G979" s="268"/>
      <c r="H979" s="268"/>
    </row>
    <row r="980">
      <c r="A980" s="22"/>
      <c r="E980" s="268"/>
      <c r="F980" s="268"/>
      <c r="G980" s="268"/>
      <c r="H980" s="268"/>
    </row>
    <row r="981">
      <c r="A981" s="22"/>
      <c r="E981" s="268"/>
      <c r="F981" s="268"/>
      <c r="G981" s="268"/>
      <c r="H981" s="268"/>
    </row>
    <row r="982">
      <c r="A982" s="22"/>
      <c r="E982" s="268"/>
      <c r="F982" s="268"/>
      <c r="G982" s="268"/>
      <c r="H982" s="268"/>
    </row>
    <row r="983">
      <c r="A983" s="22"/>
      <c r="E983" s="268"/>
      <c r="F983" s="268"/>
      <c r="G983" s="268"/>
      <c r="H983" s="268"/>
    </row>
    <row r="984">
      <c r="A984" s="22"/>
      <c r="E984" s="268"/>
      <c r="F984" s="268"/>
      <c r="G984" s="268"/>
      <c r="H984" s="268"/>
    </row>
    <row r="985">
      <c r="A985" s="22"/>
      <c r="E985" s="268"/>
      <c r="F985" s="268"/>
      <c r="G985" s="268"/>
      <c r="H985" s="268"/>
    </row>
    <row r="986">
      <c r="A986" s="22"/>
      <c r="E986" s="268"/>
      <c r="F986" s="268"/>
      <c r="G986" s="268"/>
      <c r="H986" s="268"/>
    </row>
    <row r="987">
      <c r="A987" s="22"/>
      <c r="E987" s="268"/>
      <c r="F987" s="268"/>
      <c r="G987" s="268"/>
      <c r="H987" s="268"/>
    </row>
    <row r="988">
      <c r="A988" s="22"/>
      <c r="E988" s="268"/>
      <c r="F988" s="268"/>
      <c r="G988" s="268"/>
      <c r="H988" s="268"/>
    </row>
    <row r="989">
      <c r="A989" s="22"/>
      <c r="E989" s="268"/>
      <c r="F989" s="268"/>
      <c r="G989" s="268"/>
      <c r="H989" s="268"/>
    </row>
    <row r="990">
      <c r="A990" s="22"/>
      <c r="E990" s="268"/>
      <c r="F990" s="268"/>
      <c r="G990" s="268"/>
      <c r="H990" s="268"/>
    </row>
    <row r="991">
      <c r="A991" s="22"/>
      <c r="E991" s="268"/>
      <c r="F991" s="268"/>
      <c r="G991" s="268"/>
      <c r="H991" s="268"/>
    </row>
    <row r="992">
      <c r="A992" s="22"/>
      <c r="E992" s="268"/>
      <c r="F992" s="268"/>
      <c r="G992" s="268"/>
      <c r="H992" s="268"/>
    </row>
    <row r="993">
      <c r="A993" s="22"/>
      <c r="E993" s="268"/>
      <c r="F993" s="268"/>
      <c r="G993" s="268"/>
      <c r="H993" s="268"/>
    </row>
    <row r="994">
      <c r="A994" s="22"/>
      <c r="E994" s="268"/>
      <c r="F994" s="268"/>
      <c r="G994" s="268"/>
      <c r="H994" s="268"/>
    </row>
    <row r="995">
      <c r="A995" s="22"/>
      <c r="E995" s="268"/>
      <c r="F995" s="268"/>
      <c r="G995" s="268"/>
      <c r="H995" s="268"/>
    </row>
    <row r="996">
      <c r="A996" s="22"/>
      <c r="E996" s="268"/>
      <c r="F996" s="268"/>
      <c r="G996" s="268"/>
      <c r="H996" s="268"/>
    </row>
    <row r="997">
      <c r="A997" s="22"/>
      <c r="E997" s="268"/>
      <c r="F997" s="268"/>
      <c r="G997" s="268"/>
      <c r="H997" s="268"/>
    </row>
    <row r="998">
      <c r="A998" s="22"/>
      <c r="E998" s="268"/>
      <c r="F998" s="268"/>
      <c r="G998" s="268"/>
      <c r="H998" s="268"/>
      <c r="Q998" s="330"/>
    </row>
    <row r="999">
      <c r="A999" s="22"/>
      <c r="E999" s="268"/>
      <c r="F999" s="268"/>
      <c r="G999" s="268"/>
      <c r="H999" s="268"/>
      <c r="Q999" s="330"/>
    </row>
  </sheetData>
  <mergeCells count="8">
    <mergeCell ref="A1:A3"/>
    <mergeCell ref="B1:H1"/>
    <mergeCell ref="B2:C2"/>
    <mergeCell ref="F2:H2"/>
    <mergeCell ref="B63:B64"/>
    <mergeCell ref="C63:C64"/>
    <mergeCell ref="B67:B69"/>
    <mergeCell ref="C67:C69"/>
  </mergeCells>
  <conditionalFormatting sqref="C4:C57 E4:E20 E22:E49 E51:E999 F58:H999 B59:D999">
    <cfRule type="containsText" dxfId="3" priority="1" operator="containsText" text="Yes">
      <formula>NOT(ISERROR(SEARCH(("Yes"),(C4))))</formula>
    </cfRule>
  </conditionalFormatting>
  <conditionalFormatting sqref="B1:B3 C1:C57 D1:D3 E1:E20 F1:H3 E22:E49 E51:E999 F58:H999 B59:D999">
    <cfRule type="containsText" dxfId="5" priority="2" operator="containsText" text="No">
      <formula>NOT(ISERROR(SEARCH(("No"),(B1))))</formula>
    </cfRule>
  </conditionalFormatting>
  <conditionalFormatting sqref="B1:B3 B59:B999">
    <cfRule type="cellIs" dxfId="3" priority="3" operator="greaterThan">
      <formula>0.5</formula>
    </cfRule>
  </conditionalFormatting>
  <conditionalFormatting sqref="B1:B3 B59:B999">
    <cfRule type="cellIs" dxfId="2" priority="4" operator="greaterThan">
      <formula>0.25</formula>
    </cfRule>
  </conditionalFormatting>
  <conditionalFormatting sqref="B1:B3 B59:B999">
    <cfRule type="cellIs" dxfId="7" priority="5" operator="greaterThan">
      <formula>0.1</formula>
    </cfRule>
  </conditionalFormatting>
  <conditionalFormatting sqref="B1:B3 B59:B999">
    <cfRule type="cellIs" dxfId="8" priority="6" operator="lessThan">
      <formula>0.1</formula>
    </cfRule>
  </conditionalFormatting>
  <conditionalFormatting sqref="A1:A999 B1:B3 C1:C57 D1:D3 E1:E20 F1:H3 E22:E49 E51:E999 F58:H999 B59:D999">
    <cfRule type="cellIs" dxfId="4" priority="7" operator="equal">
      <formula>"Not Found"</formula>
    </cfRule>
  </conditionalFormatting>
  <conditionalFormatting sqref="J4:J57">
    <cfRule type="cellIs" dxfId="12" priority="8" operator="equal">
      <formula>"Medium"</formula>
    </cfRule>
  </conditionalFormatting>
  <conditionalFormatting sqref="J4:J57">
    <cfRule type="cellIs" dxfId="13" priority="9" operator="equal">
      <formula>"High"</formula>
    </cfRule>
  </conditionalFormatting>
  <conditionalFormatting sqref="J4:J57">
    <cfRule type="cellIs" dxfId="14" priority="10" operator="equal">
      <formula>"Low"</formula>
    </cfRule>
  </conditionalFormatting>
  <hyperlinks>
    <hyperlink display="% Electricity generated from clean energy (2021) link" location="'Electricity Generated from Clea'!A1" ref="B3"/>
    <hyperlink display="% CO2 Emissions from Transport (2020) link" location="'CO2 from Transportation'!A1" ref="C3"/>
    <hyperlink display="Urban Air Quality (Custom AQI) (2019) link" location="'Urban Air Quality'!A1" ref="D3"/>
    <hyperlink display="Projected rate of motorization (2050) link" location="'Projected Rate of Motorization '!A1" ref="E3"/>
    <hyperlink display="Fossil Fuel Dependence (Ratio of transportation fuel consumption to net imports by country) (2021) link" location="'Fossil Fuel Import Dependence'!A1" ref="F3"/>
    <hyperlink display="Subsidy Burden (% of GDP, gasoline &amp; diesel, explicit subsidies) (2023) link" location="'Fossil Fuel Subsidy Burden'!A1" ref="G3"/>
    <hyperlink display="Utility Revenue Potential ($, 30% EVs) (2021) link" location="'Utility Revenue Potential'!A1" ref="H3"/>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0.88"/>
    <col customWidth="1" min="3" max="3" width="8.5"/>
  </cols>
  <sheetData>
    <row r="1">
      <c r="A1" s="786" t="s">
        <v>161</v>
      </c>
      <c r="B1" s="787" t="s">
        <v>768</v>
      </c>
      <c r="C1" s="788" t="s">
        <v>769</v>
      </c>
      <c r="D1" s="163"/>
      <c r="E1" s="163"/>
      <c r="F1" s="163"/>
      <c r="G1" s="163"/>
      <c r="H1" s="163"/>
      <c r="I1" s="163"/>
      <c r="J1" s="163"/>
      <c r="K1" s="163"/>
      <c r="L1" s="163"/>
      <c r="M1" s="163"/>
      <c r="N1" s="163"/>
      <c r="O1" s="163"/>
      <c r="P1" s="163"/>
      <c r="Q1" s="163"/>
      <c r="R1" s="163"/>
      <c r="S1" s="163"/>
      <c r="T1" s="163"/>
      <c r="U1" s="163"/>
      <c r="V1" s="163"/>
      <c r="W1" s="163"/>
      <c r="X1" s="163"/>
      <c r="Y1" s="163"/>
      <c r="Z1" s="163"/>
    </row>
    <row r="2">
      <c r="A2" s="458" t="s">
        <v>309</v>
      </c>
      <c r="B2" s="672">
        <f t="array" ref="B2">'Readiness Total Scores'!M46</f>
        <v>0.875</v>
      </c>
      <c r="C2" s="319">
        <v>1.0</v>
      </c>
    </row>
    <row r="3">
      <c r="A3" s="458" t="s">
        <v>290</v>
      </c>
      <c r="B3" s="672">
        <f t="array" ref="B3">'Readiness Total Scores'!M38</f>
        <v>0.8518518519</v>
      </c>
      <c r="C3" s="319">
        <v>2.0</v>
      </c>
    </row>
    <row r="4">
      <c r="A4" s="458" t="s">
        <v>354</v>
      </c>
      <c r="B4" s="672">
        <f t="array" ref="B4">'Readiness Total Scores'!M37</f>
        <v>0.8</v>
      </c>
      <c r="C4" s="319">
        <v>3.0</v>
      </c>
    </row>
    <row r="5">
      <c r="A5" s="458" t="s">
        <v>313</v>
      </c>
      <c r="B5" s="672">
        <f t="array" ref="B5">'Readiness Total Scores'!M49</f>
        <v>0.8</v>
      </c>
      <c r="C5" s="319">
        <v>3.0</v>
      </c>
    </row>
    <row r="6">
      <c r="A6" s="458" t="s">
        <v>318</v>
      </c>
      <c r="B6" s="672">
        <f t="array" ref="B6">'Readiness Total Scores'!M54</f>
        <v>0.7411111111</v>
      </c>
      <c r="C6" s="319">
        <v>4.0</v>
      </c>
    </row>
    <row r="7">
      <c r="A7" s="458" t="s">
        <v>285</v>
      </c>
      <c r="B7" s="672">
        <f t="array" ref="B7">'Readiness Total Scores'!M19</f>
        <v>0.7407407407</v>
      </c>
      <c r="C7" s="319">
        <v>4.0</v>
      </c>
    </row>
    <row r="8">
      <c r="A8" s="458" t="s">
        <v>302</v>
      </c>
      <c r="B8" s="672">
        <f t="array" ref="B8">'Readiness Total Scores'!M43</f>
        <v>0.7403703704</v>
      </c>
      <c r="C8" s="319">
        <v>4.0</v>
      </c>
    </row>
    <row r="9">
      <c r="A9" s="458" t="s">
        <v>225</v>
      </c>
      <c r="B9" s="672">
        <f t="array" ref="B9">'Readiness Total Scores'!M10</f>
        <v>0.7083333333</v>
      </c>
      <c r="C9" s="319">
        <v>5.0</v>
      </c>
    </row>
    <row r="10">
      <c r="A10" s="458" t="s">
        <v>255</v>
      </c>
      <c r="B10" s="672">
        <f t="array" ref="B10">'Readiness Total Scores'!M23</f>
        <v>0.7003333333</v>
      </c>
      <c r="C10" s="319">
        <v>6.0</v>
      </c>
    </row>
    <row r="11">
      <c r="A11" s="458" t="s">
        <v>280</v>
      </c>
      <c r="B11" s="672">
        <f t="array" ref="B11">'Readiness Total Scores'!M29</f>
        <v>0.7003333333</v>
      </c>
      <c r="C11" s="319">
        <v>6.0</v>
      </c>
    </row>
    <row r="12">
      <c r="A12" s="458" t="s">
        <v>266</v>
      </c>
      <c r="B12" s="672">
        <f t="array" ref="B12">'Readiness Total Scores'!M26</f>
        <v>0.6996666667</v>
      </c>
      <c r="C12" s="319">
        <v>6.0</v>
      </c>
    </row>
    <row r="13">
      <c r="A13" s="458" t="s">
        <v>296</v>
      </c>
      <c r="B13" s="672">
        <f t="array" ref="B13">'Readiness Total Scores'!M40</f>
        <v>0.6996666667</v>
      </c>
      <c r="C13" s="319">
        <v>6.0</v>
      </c>
    </row>
    <row r="14">
      <c r="A14" s="458" t="s">
        <v>291</v>
      </c>
      <c r="B14" s="672">
        <f t="array" ref="B14">'Readiness Total Scores'!M39</f>
        <v>0.6666666667</v>
      </c>
      <c r="C14" s="319">
        <v>7.0</v>
      </c>
    </row>
    <row r="15">
      <c r="A15" s="458" t="s">
        <v>405</v>
      </c>
      <c r="B15" s="672">
        <f t="array" ref="B15">'Readiness Total Scores'!M55</f>
        <v>0.6663333333</v>
      </c>
      <c r="C15" s="319">
        <v>7.0</v>
      </c>
    </row>
    <row r="16">
      <c r="A16" s="458" t="s">
        <v>207</v>
      </c>
      <c r="B16" s="672">
        <f t="array" ref="B16">'Readiness Total Scores'!M4</f>
        <v>0.6662962963</v>
      </c>
      <c r="C16" s="319">
        <v>7.0</v>
      </c>
    </row>
    <row r="17">
      <c r="A17" s="458" t="s">
        <v>299</v>
      </c>
      <c r="B17" s="672">
        <f t="array" ref="B17">'Readiness Total Scores'!M42</f>
        <v>0.5996666667</v>
      </c>
      <c r="C17" s="319">
        <v>8.0</v>
      </c>
    </row>
    <row r="18">
      <c r="A18" s="458" t="s">
        <v>320</v>
      </c>
      <c r="B18" s="672">
        <f t="array" ref="B18">'Readiness Total Scores'!M57</f>
        <v>0.5996666667</v>
      </c>
      <c r="C18" s="319">
        <v>8.0</v>
      </c>
    </row>
    <row r="19">
      <c r="A19" s="458" t="s">
        <v>363</v>
      </c>
      <c r="B19" s="672">
        <f t="array" ref="B19">'Readiness Total Scores'!M22</f>
        <v>0.5925925926</v>
      </c>
      <c r="C19" s="319">
        <v>9.0</v>
      </c>
    </row>
    <row r="20">
      <c r="A20" s="458" t="s">
        <v>398</v>
      </c>
      <c r="B20" s="672">
        <f t="array" ref="B20">'Readiness Total Scores'!M53</f>
        <v>0.5925925926</v>
      </c>
      <c r="C20" s="319">
        <v>9.0</v>
      </c>
    </row>
    <row r="21">
      <c r="A21" s="458" t="s">
        <v>240</v>
      </c>
      <c r="B21" s="672">
        <f t="array" ref="B21">'Readiness Total Scores'!M5</f>
        <v>0.5922222222</v>
      </c>
      <c r="C21" s="319">
        <v>9.0</v>
      </c>
    </row>
    <row r="22">
      <c r="A22" s="458" t="s">
        <v>346</v>
      </c>
      <c r="B22" s="672">
        <f t="array" ref="B22">'Readiness Total Scores'!M14</f>
        <v>0.5714285714</v>
      </c>
      <c r="C22" s="319">
        <v>10.0</v>
      </c>
    </row>
    <row r="23">
      <c r="A23" s="458" t="s">
        <v>408</v>
      </c>
      <c r="B23" s="672">
        <f t="array" ref="B23">'Readiness Total Scores'!M56</f>
        <v>0.5663333333</v>
      </c>
      <c r="C23" s="319">
        <v>10.0</v>
      </c>
    </row>
    <row r="24">
      <c r="A24" s="458" t="s">
        <v>263</v>
      </c>
      <c r="B24" s="672">
        <f t="array" ref="B24">'Readiness Total Scores'!M25</f>
        <v>0.5555555556</v>
      </c>
      <c r="C24" s="319">
        <v>11.0</v>
      </c>
    </row>
    <row r="25">
      <c r="A25" s="458" t="s">
        <v>343</v>
      </c>
      <c r="B25" s="672">
        <f t="array" ref="B25">'Readiness Total Scores'!M34</f>
        <v>0.5555555556</v>
      </c>
      <c r="C25" s="319">
        <v>11.0</v>
      </c>
    </row>
    <row r="26">
      <c r="A26" s="458" t="s">
        <v>392</v>
      </c>
      <c r="B26" s="672">
        <f t="array" ref="B26">'Readiness Total Scores'!M30</f>
        <v>0.5555555556</v>
      </c>
      <c r="C26" s="319">
        <v>11.0</v>
      </c>
    </row>
    <row r="27">
      <c r="A27" s="458" t="s">
        <v>333</v>
      </c>
      <c r="B27" s="672">
        <f t="array" ref="B27">'Readiness Total Scores'!M9</f>
        <v>0.5416666667</v>
      </c>
      <c r="C27" s="319">
        <v>12.0</v>
      </c>
    </row>
    <row r="28">
      <c r="A28" s="458" t="s">
        <v>276</v>
      </c>
      <c r="B28" s="672">
        <f t="array" ref="B28">'Readiness Total Scores'!M18</f>
        <v>0.533</v>
      </c>
      <c r="C28" s="319">
        <v>13.0</v>
      </c>
    </row>
    <row r="29">
      <c r="A29" s="458" t="s">
        <v>338</v>
      </c>
      <c r="B29" s="672">
        <f t="array" ref="B29">'Readiness Total Scores'!M11</f>
        <v>0.533</v>
      </c>
      <c r="C29" s="319">
        <v>13.0</v>
      </c>
    </row>
    <row r="30">
      <c r="A30" s="458" t="s">
        <v>418</v>
      </c>
      <c r="B30" s="672">
        <f t="array" ref="B30">'Readiness Total Scores'!M52</f>
        <v>0.533</v>
      </c>
      <c r="C30" s="319">
        <v>13.0</v>
      </c>
    </row>
    <row r="31">
      <c r="A31" s="458" t="s">
        <v>410</v>
      </c>
      <c r="B31" s="672">
        <f t="array" ref="B31">'Readiness Total Scores'!M44</f>
        <v>0.5238095238</v>
      </c>
      <c r="C31" s="319">
        <v>14.0</v>
      </c>
    </row>
    <row r="32">
      <c r="A32" s="458" t="s">
        <v>417</v>
      </c>
      <c r="B32" s="672">
        <f t="array" ref="B32">'Readiness Total Scores'!M51</f>
        <v>0.5238095238</v>
      </c>
      <c r="C32" s="319">
        <v>14.0</v>
      </c>
    </row>
    <row r="33">
      <c r="A33" s="458" t="s">
        <v>268</v>
      </c>
      <c r="B33" s="672">
        <f t="array" ref="B33">'Readiness Total Scores'!M6</f>
        <v>0.5185185185</v>
      </c>
      <c r="C33" s="319">
        <v>14.0</v>
      </c>
    </row>
    <row r="34">
      <c r="A34" s="458" t="s">
        <v>411</v>
      </c>
      <c r="B34" s="672">
        <f t="array" ref="B34">'Readiness Total Scores'!M45</f>
        <v>0.4996666667</v>
      </c>
      <c r="C34" s="319">
        <v>15.0</v>
      </c>
    </row>
    <row r="35">
      <c r="A35" s="458" t="s">
        <v>329</v>
      </c>
      <c r="B35" s="672">
        <f t="array" ref="B35">'Readiness Total Scores'!M7</f>
        <v>0.4996666667</v>
      </c>
      <c r="C35" s="319">
        <v>15.0</v>
      </c>
    </row>
    <row r="36">
      <c r="A36" s="458" t="s">
        <v>356</v>
      </c>
      <c r="B36" s="672">
        <f t="array" ref="B36">'Readiness Total Scores'!M16</f>
        <v>0.4996666667</v>
      </c>
      <c r="C36" s="319">
        <v>15.0</v>
      </c>
    </row>
    <row r="37">
      <c r="A37" s="458" t="s">
        <v>374</v>
      </c>
      <c r="B37" s="791">
        <f t="array" ref="B37">'Readiness Total Scores'!M24</f>
        <v>0.4814814815</v>
      </c>
      <c r="C37" s="319">
        <v>16.0</v>
      </c>
    </row>
    <row r="38">
      <c r="A38" s="458" t="s">
        <v>385</v>
      </c>
      <c r="B38" s="791">
        <f t="array" ref="B38">'Readiness Total Scores'!M27</f>
        <v>0.4814814815</v>
      </c>
      <c r="C38" s="319">
        <v>16.0</v>
      </c>
    </row>
    <row r="39">
      <c r="A39" s="458" t="s">
        <v>401</v>
      </c>
      <c r="B39" s="791">
        <f t="array" ref="B39">'Readiness Total Scores'!M36</f>
        <v>0.4811111111</v>
      </c>
      <c r="C39" s="319">
        <v>16.0</v>
      </c>
    </row>
    <row r="40">
      <c r="A40" s="458" t="s">
        <v>336</v>
      </c>
      <c r="B40" s="791">
        <f t="array" ref="B40">'Readiness Total Scores'!M33</f>
        <v>0.4663333333</v>
      </c>
      <c r="C40" s="319">
        <v>17.0</v>
      </c>
    </row>
    <row r="41">
      <c r="A41" s="458" t="s">
        <v>407</v>
      </c>
      <c r="B41" s="791">
        <f t="array" ref="B41">'Readiness Total Scores'!M41</f>
        <v>0.4663333333</v>
      </c>
      <c r="C41" s="319">
        <v>17.0</v>
      </c>
    </row>
    <row r="42">
      <c r="A42" s="458" t="s">
        <v>342</v>
      </c>
      <c r="B42" s="791">
        <f t="array" ref="B42">'Readiness Total Scores'!M13</f>
        <v>0.4444444444</v>
      </c>
      <c r="C42" s="319">
        <v>18.0</v>
      </c>
    </row>
    <row r="43">
      <c r="A43" s="458" t="s">
        <v>412</v>
      </c>
      <c r="B43" s="791">
        <f t="array" ref="B43">'Readiness Total Scores'!M47</f>
        <v>0.4444444444</v>
      </c>
      <c r="C43" s="319">
        <v>18.0</v>
      </c>
    </row>
    <row r="44">
      <c r="A44" s="458" t="s">
        <v>351</v>
      </c>
      <c r="B44" s="791">
        <f t="array" ref="B44">'Readiness Total Scores'!M15</f>
        <v>0.4440740741</v>
      </c>
      <c r="C44" s="319">
        <v>18.0</v>
      </c>
    </row>
    <row r="45">
      <c r="A45" s="458" t="s">
        <v>331</v>
      </c>
      <c r="B45" s="791">
        <f t="array" ref="B45">'Readiness Total Scores'!M8</f>
        <v>0.433</v>
      </c>
      <c r="C45" s="319">
        <v>19.0</v>
      </c>
    </row>
    <row r="46">
      <c r="A46" s="458" t="s">
        <v>399</v>
      </c>
      <c r="B46" s="791">
        <f t="array" ref="B46">'Readiness Total Scores'!M35</f>
        <v>0.433</v>
      </c>
      <c r="C46" s="319">
        <v>19.0</v>
      </c>
    </row>
    <row r="47">
      <c r="A47" s="458" t="s">
        <v>340</v>
      </c>
      <c r="B47" s="791">
        <f t="array" ref="B47">'Readiness Total Scores'!M12</f>
        <v>0.4166666667</v>
      </c>
      <c r="C47" s="319">
        <v>20.0</v>
      </c>
    </row>
    <row r="48">
      <c r="A48" s="792" t="s">
        <v>386</v>
      </c>
      <c r="B48" s="793">
        <f t="array" ref="B48">'Readiness Total Scores'!M28</f>
        <v>0.380952381</v>
      </c>
      <c r="C48" s="794">
        <v>21.0</v>
      </c>
    </row>
    <row r="49">
      <c r="A49" s="795" t="s">
        <v>360</v>
      </c>
      <c r="B49" s="672"/>
      <c r="C49" s="22" t="s">
        <v>770</v>
      </c>
    </row>
    <row r="50">
      <c r="A50" s="458" t="s">
        <v>362</v>
      </c>
      <c r="B50" s="672"/>
      <c r="C50" s="22" t="s">
        <v>770</v>
      </c>
    </row>
    <row r="51">
      <c r="A51" s="795" t="s">
        <v>357</v>
      </c>
      <c r="B51" s="672"/>
      <c r="C51" s="22" t="s">
        <v>770</v>
      </c>
    </row>
    <row r="52">
      <c r="A52" s="795" t="s">
        <v>396</v>
      </c>
      <c r="B52" s="672"/>
      <c r="C52" s="22" t="s">
        <v>770</v>
      </c>
    </row>
    <row r="53">
      <c r="A53" s="795" t="s">
        <v>415</v>
      </c>
      <c r="B53" s="672"/>
      <c r="C53" s="22" t="s">
        <v>770</v>
      </c>
    </row>
    <row r="54">
      <c r="A54" s="458" t="s">
        <v>416</v>
      </c>
      <c r="B54" s="672"/>
      <c r="C54" s="22" t="s">
        <v>770</v>
      </c>
    </row>
    <row r="55">
      <c r="A55" s="507"/>
      <c r="B55" s="672"/>
    </row>
    <row r="56">
      <c r="A56" s="507"/>
      <c r="B56" s="672"/>
    </row>
    <row r="57">
      <c r="A57" s="507"/>
      <c r="B57" s="672"/>
    </row>
    <row r="58">
      <c r="A58" s="507"/>
      <c r="B58" s="672"/>
    </row>
    <row r="59">
      <c r="A59" s="507"/>
      <c r="B59" s="672"/>
    </row>
    <row r="60">
      <c r="A60" s="507"/>
      <c r="B60" s="672"/>
    </row>
    <row r="61">
      <c r="A61" s="507"/>
      <c r="B61" s="672"/>
    </row>
    <row r="62">
      <c r="A62" s="507"/>
      <c r="B62" s="672"/>
    </row>
    <row r="63">
      <c r="A63" s="507"/>
      <c r="B63" s="672"/>
    </row>
    <row r="64">
      <c r="A64" s="507"/>
      <c r="B64" s="672"/>
    </row>
    <row r="65">
      <c r="A65" s="507"/>
      <c r="B65" s="672"/>
    </row>
    <row r="66">
      <c r="A66" s="507"/>
      <c r="B66" s="672"/>
    </row>
    <row r="67">
      <c r="A67" s="507"/>
      <c r="B67" s="672"/>
    </row>
    <row r="68">
      <c r="A68" s="507"/>
      <c r="B68" s="672"/>
    </row>
    <row r="69">
      <c r="A69" s="507"/>
      <c r="B69" s="672"/>
    </row>
    <row r="70">
      <c r="A70" s="507"/>
      <c r="B70" s="672"/>
    </row>
    <row r="71">
      <c r="A71" s="507"/>
      <c r="B71" s="672"/>
    </row>
    <row r="72">
      <c r="A72" s="507"/>
      <c r="B72" s="672"/>
    </row>
    <row r="73">
      <c r="A73" s="507"/>
      <c r="B73" s="672"/>
    </row>
    <row r="74">
      <c r="A74" s="507"/>
      <c r="B74" s="672"/>
    </row>
    <row r="75">
      <c r="A75" s="507"/>
      <c r="B75" s="672"/>
    </row>
    <row r="76">
      <c r="A76" s="507"/>
      <c r="B76" s="672"/>
    </row>
    <row r="77">
      <c r="A77" s="507"/>
      <c r="B77" s="672"/>
    </row>
    <row r="78">
      <c r="A78" s="507"/>
      <c r="B78" s="672"/>
    </row>
    <row r="79">
      <c r="A79" s="507"/>
      <c r="B79" s="672"/>
    </row>
    <row r="80">
      <c r="A80" s="507"/>
      <c r="B80" s="672"/>
    </row>
    <row r="81">
      <c r="A81" s="507"/>
      <c r="B81" s="672"/>
    </row>
    <row r="82">
      <c r="A82" s="507"/>
      <c r="B82" s="672"/>
    </row>
    <row r="83">
      <c r="A83" s="507"/>
      <c r="B83" s="672"/>
    </row>
    <row r="84">
      <c r="A84" s="507"/>
      <c r="B84" s="672"/>
    </row>
    <row r="85">
      <c r="A85" s="507"/>
      <c r="B85" s="672"/>
    </row>
    <row r="86">
      <c r="A86" s="507"/>
      <c r="B86" s="672"/>
    </row>
    <row r="87">
      <c r="A87" s="507"/>
      <c r="B87" s="672"/>
    </row>
    <row r="88">
      <c r="A88" s="507"/>
      <c r="B88" s="672"/>
    </row>
    <row r="89">
      <c r="A89" s="507"/>
      <c r="B89" s="672"/>
    </row>
    <row r="90">
      <c r="A90" s="507"/>
      <c r="B90" s="672"/>
    </row>
    <row r="91">
      <c r="A91" s="507"/>
      <c r="B91" s="672"/>
    </row>
    <row r="92">
      <c r="A92" s="507"/>
      <c r="B92" s="672"/>
    </row>
    <row r="93">
      <c r="A93" s="507"/>
      <c r="B93" s="672"/>
    </row>
    <row r="94">
      <c r="A94" s="507"/>
      <c r="B94" s="672"/>
    </row>
    <row r="95">
      <c r="A95" s="507"/>
      <c r="B95" s="672"/>
    </row>
    <row r="96">
      <c r="A96" s="507"/>
      <c r="B96" s="672"/>
    </row>
    <row r="97">
      <c r="A97" s="507"/>
      <c r="B97" s="672"/>
    </row>
    <row r="98">
      <c r="A98" s="507"/>
      <c r="B98" s="672"/>
    </row>
    <row r="99">
      <c r="A99" s="507"/>
      <c r="B99" s="672"/>
    </row>
    <row r="100">
      <c r="A100" s="507"/>
      <c r="B100" s="672"/>
    </row>
    <row r="101">
      <c r="A101" s="507"/>
      <c r="B101" s="672"/>
    </row>
    <row r="102">
      <c r="A102" s="507"/>
      <c r="B102" s="672"/>
    </row>
    <row r="103">
      <c r="A103" s="507"/>
      <c r="B103" s="672"/>
    </row>
    <row r="104">
      <c r="A104" s="507"/>
      <c r="B104" s="672"/>
    </row>
    <row r="105">
      <c r="A105" s="507"/>
      <c r="B105" s="672"/>
    </row>
    <row r="106">
      <c r="A106" s="507"/>
      <c r="B106" s="672"/>
    </row>
    <row r="107">
      <c r="A107" s="507"/>
      <c r="B107" s="672"/>
    </row>
    <row r="108">
      <c r="A108" s="507"/>
      <c r="B108" s="672"/>
    </row>
    <row r="109">
      <c r="A109" s="507"/>
      <c r="B109" s="672"/>
    </row>
    <row r="110">
      <c r="A110" s="507"/>
      <c r="B110" s="672"/>
    </row>
    <row r="111">
      <c r="A111" s="507"/>
      <c r="B111" s="672"/>
    </row>
    <row r="112">
      <c r="A112" s="507"/>
      <c r="B112" s="672"/>
    </row>
    <row r="113">
      <c r="A113" s="507"/>
      <c r="B113" s="672"/>
    </row>
    <row r="114">
      <c r="A114" s="507"/>
      <c r="B114" s="672"/>
    </row>
    <row r="115">
      <c r="A115" s="507"/>
      <c r="B115" s="672"/>
    </row>
    <row r="116">
      <c r="A116" s="507"/>
      <c r="B116" s="672"/>
    </row>
    <row r="117">
      <c r="A117" s="507"/>
      <c r="B117" s="672"/>
    </row>
    <row r="118">
      <c r="A118" s="507"/>
      <c r="B118" s="672"/>
    </row>
    <row r="119">
      <c r="A119" s="507"/>
      <c r="B119" s="672"/>
    </row>
    <row r="120">
      <c r="A120" s="507"/>
      <c r="B120" s="672"/>
    </row>
    <row r="121">
      <c r="A121" s="507"/>
      <c r="B121" s="672"/>
    </row>
    <row r="122">
      <c r="A122" s="507"/>
      <c r="B122" s="672"/>
    </row>
    <row r="123">
      <c r="A123" s="507"/>
      <c r="B123" s="672"/>
    </row>
    <row r="124">
      <c r="A124" s="507"/>
      <c r="B124" s="672"/>
    </row>
    <row r="125">
      <c r="A125" s="507"/>
      <c r="B125" s="672"/>
    </row>
    <row r="126">
      <c r="A126" s="507"/>
      <c r="B126" s="672"/>
    </row>
    <row r="127">
      <c r="A127" s="507"/>
      <c r="B127" s="672"/>
    </row>
    <row r="128">
      <c r="A128" s="507"/>
      <c r="B128" s="672"/>
    </row>
    <row r="129">
      <c r="A129" s="507"/>
      <c r="B129" s="672"/>
    </row>
    <row r="130">
      <c r="A130" s="507"/>
      <c r="B130" s="672"/>
    </row>
    <row r="131">
      <c r="A131" s="507"/>
      <c r="B131" s="672"/>
    </row>
    <row r="132">
      <c r="A132" s="507"/>
      <c r="B132" s="672"/>
    </row>
    <row r="133">
      <c r="A133" s="507"/>
      <c r="B133" s="672"/>
    </row>
    <row r="134">
      <c r="A134" s="507"/>
      <c r="B134" s="672"/>
    </row>
    <row r="135">
      <c r="A135" s="507"/>
      <c r="B135" s="672"/>
    </row>
    <row r="136">
      <c r="A136" s="507"/>
      <c r="B136" s="672"/>
    </row>
    <row r="137">
      <c r="A137" s="507"/>
      <c r="B137" s="672"/>
    </row>
    <row r="138">
      <c r="A138" s="507"/>
      <c r="B138" s="672"/>
    </row>
    <row r="139">
      <c r="A139" s="507"/>
      <c r="B139" s="672"/>
    </row>
    <row r="140">
      <c r="A140" s="507"/>
      <c r="B140" s="672"/>
    </row>
    <row r="141">
      <c r="A141" s="507"/>
      <c r="B141" s="672"/>
    </row>
    <row r="142">
      <c r="A142" s="507"/>
      <c r="B142" s="672"/>
    </row>
    <row r="143">
      <c r="A143" s="507"/>
      <c r="B143" s="672"/>
    </row>
    <row r="144">
      <c r="A144" s="507"/>
      <c r="B144" s="672"/>
    </row>
    <row r="145">
      <c r="A145" s="507"/>
      <c r="B145" s="672"/>
    </row>
    <row r="146">
      <c r="A146" s="507"/>
      <c r="B146" s="672"/>
    </row>
    <row r="147">
      <c r="A147" s="507"/>
      <c r="B147" s="672"/>
    </row>
    <row r="148">
      <c r="A148" s="507"/>
      <c r="B148" s="672"/>
    </row>
    <row r="149">
      <c r="A149" s="507"/>
      <c r="B149" s="672"/>
    </row>
    <row r="150">
      <c r="A150" s="507"/>
      <c r="B150" s="672"/>
    </row>
    <row r="151">
      <c r="A151" s="507"/>
      <c r="B151" s="672"/>
    </row>
    <row r="152">
      <c r="A152" s="507"/>
      <c r="B152" s="672"/>
    </row>
    <row r="153">
      <c r="A153" s="507"/>
      <c r="B153" s="672"/>
    </row>
    <row r="154">
      <c r="A154" s="507"/>
      <c r="B154" s="672"/>
    </row>
    <row r="155">
      <c r="A155" s="507"/>
      <c r="B155" s="672"/>
    </row>
    <row r="156">
      <c r="A156" s="507"/>
      <c r="B156" s="672"/>
    </row>
    <row r="157">
      <c r="A157" s="507"/>
      <c r="B157" s="672"/>
    </row>
    <row r="158">
      <c r="A158" s="507"/>
      <c r="B158" s="672"/>
    </row>
    <row r="159">
      <c r="A159" s="507"/>
      <c r="B159" s="672"/>
    </row>
    <row r="160">
      <c r="A160" s="507"/>
      <c r="B160" s="672"/>
    </row>
    <row r="161">
      <c r="A161" s="507"/>
      <c r="B161" s="672"/>
    </row>
    <row r="162">
      <c r="A162" s="507"/>
      <c r="B162" s="672"/>
    </row>
    <row r="163">
      <c r="A163" s="507"/>
      <c r="B163" s="672"/>
    </row>
    <row r="164">
      <c r="A164" s="507"/>
      <c r="B164" s="672"/>
    </row>
    <row r="165">
      <c r="A165" s="507"/>
      <c r="B165" s="672"/>
    </row>
    <row r="166">
      <c r="A166" s="507"/>
      <c r="B166" s="672"/>
    </row>
    <row r="167">
      <c r="A167" s="507"/>
      <c r="B167" s="672"/>
    </row>
    <row r="168">
      <c r="A168" s="507"/>
      <c r="B168" s="672"/>
    </row>
    <row r="169">
      <c r="A169" s="507"/>
      <c r="B169" s="672"/>
    </row>
    <row r="170">
      <c r="A170" s="507"/>
      <c r="B170" s="672"/>
    </row>
    <row r="171">
      <c r="A171" s="507"/>
      <c r="B171" s="672"/>
    </row>
    <row r="172">
      <c r="A172" s="507"/>
      <c r="B172" s="672"/>
    </row>
    <row r="173">
      <c r="A173" s="507"/>
      <c r="B173" s="672"/>
    </row>
    <row r="174">
      <c r="A174" s="507"/>
      <c r="B174" s="672"/>
    </row>
    <row r="175">
      <c r="A175" s="507"/>
      <c r="B175" s="672"/>
    </row>
    <row r="176">
      <c r="A176" s="507"/>
      <c r="B176" s="672"/>
    </row>
    <row r="177">
      <c r="A177" s="507"/>
      <c r="B177" s="672"/>
    </row>
    <row r="178">
      <c r="A178" s="507"/>
      <c r="B178" s="672"/>
    </row>
    <row r="179">
      <c r="A179" s="507"/>
      <c r="B179" s="672"/>
    </row>
    <row r="180">
      <c r="A180" s="507"/>
      <c r="B180" s="672"/>
    </row>
    <row r="181">
      <c r="A181" s="507"/>
      <c r="B181" s="672"/>
    </row>
    <row r="182">
      <c r="A182" s="507"/>
      <c r="B182" s="672"/>
    </row>
    <row r="183">
      <c r="A183" s="507"/>
      <c r="B183" s="672"/>
    </row>
    <row r="184">
      <c r="A184" s="507"/>
      <c r="B184" s="672"/>
    </row>
    <row r="185">
      <c r="A185" s="507"/>
      <c r="B185" s="672"/>
    </row>
    <row r="186">
      <c r="A186" s="507"/>
      <c r="B186" s="672"/>
    </row>
    <row r="187">
      <c r="A187" s="507"/>
      <c r="B187" s="672"/>
    </row>
    <row r="188">
      <c r="A188" s="507"/>
      <c r="B188" s="672"/>
    </row>
    <row r="189">
      <c r="A189" s="507"/>
      <c r="B189" s="672"/>
    </row>
    <row r="190">
      <c r="A190" s="507"/>
      <c r="B190" s="672"/>
    </row>
    <row r="191">
      <c r="A191" s="507"/>
      <c r="B191" s="672"/>
    </row>
    <row r="192">
      <c r="A192" s="507"/>
      <c r="B192" s="672"/>
    </row>
    <row r="193">
      <c r="A193" s="507"/>
      <c r="B193" s="672"/>
    </row>
    <row r="194">
      <c r="A194" s="507"/>
      <c r="B194" s="672"/>
    </row>
    <row r="195">
      <c r="A195" s="507"/>
      <c r="B195" s="672"/>
    </row>
    <row r="196">
      <c r="A196" s="507"/>
      <c r="B196" s="672"/>
    </row>
    <row r="197">
      <c r="A197" s="507"/>
      <c r="B197" s="672"/>
    </row>
    <row r="198">
      <c r="A198" s="507"/>
      <c r="B198" s="672"/>
    </row>
    <row r="199">
      <c r="A199" s="507"/>
      <c r="B199" s="672"/>
    </row>
    <row r="200">
      <c r="A200" s="507"/>
      <c r="B200" s="672"/>
    </row>
    <row r="201">
      <c r="A201" s="507"/>
      <c r="B201" s="672"/>
    </row>
    <row r="202">
      <c r="A202" s="507"/>
      <c r="B202" s="672"/>
    </row>
    <row r="203">
      <c r="A203" s="507"/>
      <c r="B203" s="672"/>
    </row>
    <row r="204">
      <c r="A204" s="507"/>
      <c r="B204" s="672"/>
    </row>
    <row r="205">
      <c r="A205" s="507"/>
      <c r="B205" s="672"/>
    </row>
    <row r="206">
      <c r="A206" s="507"/>
      <c r="B206" s="672"/>
    </row>
    <row r="207">
      <c r="A207" s="507"/>
      <c r="B207" s="672"/>
    </row>
    <row r="208">
      <c r="A208" s="507"/>
      <c r="B208" s="672"/>
    </row>
    <row r="209">
      <c r="A209" s="507"/>
      <c r="B209" s="672"/>
    </row>
    <row r="210">
      <c r="A210" s="507"/>
      <c r="B210" s="672"/>
    </row>
    <row r="211">
      <c r="A211" s="507"/>
      <c r="B211" s="672"/>
    </row>
    <row r="212">
      <c r="A212" s="507"/>
      <c r="B212" s="672"/>
    </row>
    <row r="213">
      <c r="A213" s="507"/>
      <c r="B213" s="672"/>
    </row>
    <row r="214">
      <c r="A214" s="507"/>
      <c r="B214" s="672"/>
    </row>
    <row r="215">
      <c r="A215" s="507"/>
      <c r="B215" s="672"/>
    </row>
    <row r="216">
      <c r="A216" s="507"/>
      <c r="B216" s="672"/>
    </row>
    <row r="217">
      <c r="A217" s="507"/>
      <c r="B217" s="672"/>
    </row>
    <row r="218">
      <c r="A218" s="507"/>
      <c r="B218" s="672"/>
    </row>
    <row r="219">
      <c r="A219" s="507"/>
      <c r="B219" s="672"/>
    </row>
    <row r="220">
      <c r="A220" s="507"/>
      <c r="B220" s="672"/>
    </row>
    <row r="221">
      <c r="A221" s="507"/>
      <c r="B221" s="672"/>
    </row>
    <row r="222">
      <c r="A222" s="507"/>
      <c r="B222" s="672"/>
    </row>
    <row r="223">
      <c r="A223" s="507"/>
      <c r="B223" s="672"/>
    </row>
    <row r="224">
      <c r="A224" s="507"/>
      <c r="B224" s="672"/>
    </row>
    <row r="225">
      <c r="A225" s="507"/>
      <c r="B225" s="672"/>
    </row>
    <row r="226">
      <c r="A226" s="507"/>
      <c r="B226" s="672"/>
    </row>
    <row r="227">
      <c r="A227" s="507"/>
      <c r="B227" s="672"/>
    </row>
    <row r="228">
      <c r="A228" s="507"/>
      <c r="B228" s="672"/>
    </row>
    <row r="229">
      <c r="A229" s="507"/>
      <c r="B229" s="672"/>
    </row>
    <row r="230">
      <c r="A230" s="507"/>
      <c r="B230" s="672"/>
    </row>
    <row r="231">
      <c r="A231" s="507"/>
      <c r="B231" s="672"/>
    </row>
    <row r="232">
      <c r="A232" s="507"/>
      <c r="B232" s="672"/>
    </row>
    <row r="233">
      <c r="A233" s="507"/>
      <c r="B233" s="672"/>
    </row>
    <row r="234">
      <c r="A234" s="507"/>
      <c r="B234" s="672"/>
    </row>
    <row r="235">
      <c r="A235" s="507"/>
      <c r="B235" s="672"/>
    </row>
    <row r="236">
      <c r="A236" s="507"/>
      <c r="B236" s="672"/>
    </row>
    <row r="237">
      <c r="A237" s="507"/>
      <c r="B237" s="672"/>
    </row>
    <row r="238">
      <c r="A238" s="507"/>
      <c r="B238" s="672"/>
    </row>
    <row r="239">
      <c r="A239" s="507"/>
      <c r="B239" s="672"/>
    </row>
    <row r="240">
      <c r="A240" s="507"/>
      <c r="B240" s="672"/>
    </row>
    <row r="241">
      <c r="A241" s="507"/>
      <c r="B241" s="672"/>
    </row>
    <row r="242">
      <c r="A242" s="507"/>
      <c r="B242" s="672"/>
    </row>
    <row r="243">
      <c r="A243" s="507"/>
      <c r="B243" s="672"/>
    </row>
    <row r="244">
      <c r="A244" s="507"/>
      <c r="B244" s="672"/>
    </row>
    <row r="245">
      <c r="A245" s="507"/>
      <c r="B245" s="672"/>
    </row>
    <row r="246">
      <c r="A246" s="507"/>
      <c r="B246" s="672"/>
    </row>
    <row r="247">
      <c r="A247" s="507"/>
      <c r="B247" s="672"/>
    </row>
    <row r="248">
      <c r="A248" s="507"/>
      <c r="B248" s="672"/>
    </row>
    <row r="249">
      <c r="A249" s="507"/>
      <c r="B249" s="672"/>
    </row>
    <row r="250">
      <c r="A250" s="507"/>
      <c r="B250" s="672"/>
    </row>
    <row r="251">
      <c r="A251" s="507"/>
      <c r="B251" s="672"/>
    </row>
    <row r="252">
      <c r="A252" s="507"/>
      <c r="B252" s="672"/>
    </row>
    <row r="253">
      <c r="A253" s="507"/>
      <c r="B253" s="672"/>
    </row>
    <row r="254">
      <c r="A254" s="507"/>
      <c r="B254" s="672"/>
    </row>
    <row r="255">
      <c r="A255" s="507"/>
      <c r="B255" s="672"/>
    </row>
    <row r="256">
      <c r="A256" s="507"/>
      <c r="B256" s="672"/>
    </row>
    <row r="257">
      <c r="A257" s="507"/>
      <c r="B257" s="672"/>
    </row>
    <row r="258">
      <c r="A258" s="507"/>
      <c r="B258" s="672"/>
    </row>
    <row r="259">
      <c r="A259" s="507"/>
      <c r="B259" s="672"/>
    </row>
    <row r="260">
      <c r="A260" s="507"/>
      <c r="B260" s="672"/>
    </row>
    <row r="261">
      <c r="A261" s="507"/>
      <c r="B261" s="672"/>
    </row>
    <row r="262">
      <c r="A262" s="507"/>
      <c r="B262" s="672"/>
    </row>
    <row r="263">
      <c r="A263" s="507"/>
      <c r="B263" s="672"/>
    </row>
    <row r="264">
      <c r="A264" s="507"/>
      <c r="B264" s="672"/>
    </row>
    <row r="265">
      <c r="A265" s="507"/>
      <c r="B265" s="672"/>
    </row>
    <row r="266">
      <c r="A266" s="507"/>
      <c r="B266" s="672"/>
    </row>
    <row r="267">
      <c r="A267" s="507"/>
      <c r="B267" s="672"/>
    </row>
    <row r="268">
      <c r="A268" s="507"/>
      <c r="B268" s="672"/>
    </row>
    <row r="269">
      <c r="A269" s="507"/>
      <c r="B269" s="672"/>
    </row>
    <row r="270">
      <c r="A270" s="507"/>
      <c r="B270" s="672"/>
    </row>
    <row r="271">
      <c r="A271" s="507"/>
      <c r="B271" s="672"/>
    </row>
    <row r="272">
      <c r="A272" s="507"/>
      <c r="B272" s="672"/>
    </row>
    <row r="273">
      <c r="A273" s="507"/>
      <c r="B273" s="672"/>
    </row>
    <row r="274">
      <c r="A274" s="507"/>
      <c r="B274" s="672"/>
    </row>
    <row r="275">
      <c r="A275" s="507"/>
      <c r="B275" s="672"/>
    </row>
    <row r="276">
      <c r="A276" s="507"/>
      <c r="B276" s="672"/>
    </row>
    <row r="277">
      <c r="A277" s="507"/>
      <c r="B277" s="672"/>
    </row>
    <row r="278">
      <c r="A278" s="507"/>
      <c r="B278" s="672"/>
    </row>
    <row r="279">
      <c r="A279" s="507"/>
      <c r="B279" s="672"/>
    </row>
    <row r="280">
      <c r="A280" s="507"/>
      <c r="B280" s="672"/>
    </row>
    <row r="281">
      <c r="A281" s="507"/>
      <c r="B281" s="672"/>
    </row>
    <row r="282">
      <c r="A282" s="507"/>
      <c r="B282" s="672"/>
    </row>
    <row r="283">
      <c r="A283" s="507"/>
      <c r="B283" s="672"/>
    </row>
    <row r="284">
      <c r="A284" s="507"/>
      <c r="B284" s="672"/>
    </row>
    <row r="285">
      <c r="A285" s="507"/>
      <c r="B285" s="672"/>
    </row>
    <row r="286">
      <c r="A286" s="507"/>
      <c r="B286" s="672"/>
    </row>
    <row r="287">
      <c r="A287" s="507"/>
      <c r="B287" s="672"/>
    </row>
    <row r="288">
      <c r="A288" s="507"/>
      <c r="B288" s="672"/>
    </row>
    <row r="289">
      <c r="A289" s="507"/>
      <c r="B289" s="672"/>
    </row>
    <row r="290">
      <c r="A290" s="507"/>
      <c r="B290" s="672"/>
    </row>
    <row r="291">
      <c r="A291" s="507"/>
      <c r="B291" s="672"/>
    </row>
    <row r="292">
      <c r="A292" s="507"/>
      <c r="B292" s="672"/>
    </row>
    <row r="293">
      <c r="A293" s="507"/>
      <c r="B293" s="672"/>
    </row>
    <row r="294">
      <c r="A294" s="507"/>
      <c r="B294" s="672"/>
    </row>
    <row r="295">
      <c r="A295" s="507"/>
      <c r="B295" s="672"/>
    </row>
    <row r="296">
      <c r="A296" s="507"/>
      <c r="B296" s="672"/>
    </row>
    <row r="297">
      <c r="A297" s="507"/>
      <c r="B297" s="672"/>
    </row>
    <row r="298">
      <c r="A298" s="507"/>
      <c r="B298" s="672"/>
    </row>
    <row r="299">
      <c r="A299" s="507"/>
      <c r="B299" s="672"/>
    </row>
    <row r="300">
      <c r="A300" s="507"/>
      <c r="B300" s="672"/>
    </row>
    <row r="301">
      <c r="A301" s="507"/>
      <c r="B301" s="672"/>
    </row>
    <row r="302">
      <c r="A302" s="507"/>
      <c r="B302" s="672"/>
    </row>
    <row r="303">
      <c r="A303" s="507"/>
      <c r="B303" s="672"/>
    </row>
    <row r="304">
      <c r="A304" s="507"/>
      <c r="B304" s="672"/>
    </row>
    <row r="305">
      <c r="A305" s="507"/>
      <c r="B305" s="672"/>
    </row>
    <row r="306">
      <c r="A306" s="507"/>
      <c r="B306" s="672"/>
    </row>
    <row r="307">
      <c r="A307" s="507"/>
      <c r="B307" s="672"/>
    </row>
    <row r="308">
      <c r="A308" s="507"/>
      <c r="B308" s="672"/>
    </row>
    <row r="309">
      <c r="A309" s="507"/>
      <c r="B309" s="672"/>
    </row>
    <row r="310">
      <c r="A310" s="507"/>
      <c r="B310" s="672"/>
    </row>
    <row r="311">
      <c r="A311" s="507"/>
      <c r="B311" s="672"/>
    </row>
    <row r="312">
      <c r="A312" s="507"/>
      <c r="B312" s="672"/>
    </row>
    <row r="313">
      <c r="A313" s="507"/>
      <c r="B313" s="672"/>
    </row>
    <row r="314">
      <c r="A314" s="507"/>
      <c r="B314" s="672"/>
    </row>
    <row r="315">
      <c r="A315" s="507"/>
      <c r="B315" s="672"/>
    </row>
    <row r="316">
      <c r="A316" s="507"/>
      <c r="B316" s="672"/>
    </row>
    <row r="317">
      <c r="A317" s="507"/>
      <c r="B317" s="672"/>
    </row>
    <row r="318">
      <c r="A318" s="507"/>
      <c r="B318" s="672"/>
    </row>
    <row r="319">
      <c r="A319" s="507"/>
      <c r="B319" s="672"/>
    </row>
    <row r="320">
      <c r="A320" s="507"/>
      <c r="B320" s="672"/>
    </row>
    <row r="321">
      <c r="A321" s="507"/>
      <c r="B321" s="672"/>
    </row>
    <row r="322">
      <c r="A322" s="507"/>
      <c r="B322" s="672"/>
    </row>
    <row r="323">
      <c r="A323" s="507"/>
      <c r="B323" s="672"/>
    </row>
    <row r="324">
      <c r="A324" s="507"/>
      <c r="B324" s="672"/>
    </row>
    <row r="325">
      <c r="A325" s="507"/>
      <c r="B325" s="672"/>
    </row>
    <row r="326">
      <c r="A326" s="507"/>
      <c r="B326" s="672"/>
    </row>
    <row r="327">
      <c r="A327" s="507"/>
      <c r="B327" s="672"/>
    </row>
    <row r="328">
      <c r="A328" s="507"/>
      <c r="B328" s="672"/>
    </row>
    <row r="329">
      <c r="A329" s="507"/>
      <c r="B329" s="672"/>
    </row>
    <row r="330">
      <c r="A330" s="507"/>
      <c r="B330" s="672"/>
    </row>
    <row r="331">
      <c r="A331" s="507"/>
      <c r="B331" s="672"/>
    </row>
    <row r="332">
      <c r="A332" s="507"/>
      <c r="B332" s="672"/>
    </row>
    <row r="333">
      <c r="A333" s="507"/>
      <c r="B333" s="672"/>
    </row>
    <row r="334">
      <c r="A334" s="507"/>
      <c r="B334" s="672"/>
    </row>
    <row r="335">
      <c r="A335" s="507"/>
      <c r="B335" s="672"/>
    </row>
    <row r="336">
      <c r="A336" s="507"/>
      <c r="B336" s="672"/>
    </row>
    <row r="337">
      <c r="A337" s="507"/>
      <c r="B337" s="672"/>
    </row>
    <row r="338">
      <c r="A338" s="507"/>
      <c r="B338" s="672"/>
    </row>
    <row r="339">
      <c r="A339" s="507"/>
      <c r="B339" s="672"/>
    </row>
    <row r="340">
      <c r="A340" s="507"/>
      <c r="B340" s="672"/>
    </row>
    <row r="341">
      <c r="A341" s="507"/>
      <c r="B341" s="672"/>
    </row>
    <row r="342">
      <c r="A342" s="507"/>
      <c r="B342" s="672"/>
    </row>
    <row r="343">
      <c r="A343" s="507"/>
      <c r="B343" s="672"/>
    </row>
    <row r="344">
      <c r="A344" s="507"/>
      <c r="B344" s="672"/>
    </row>
    <row r="345">
      <c r="A345" s="507"/>
      <c r="B345" s="672"/>
    </row>
    <row r="346">
      <c r="A346" s="507"/>
      <c r="B346" s="672"/>
    </row>
    <row r="347">
      <c r="A347" s="507"/>
      <c r="B347" s="672"/>
    </row>
    <row r="348">
      <c r="A348" s="507"/>
      <c r="B348" s="672"/>
    </row>
    <row r="349">
      <c r="A349" s="507"/>
      <c r="B349" s="672"/>
    </row>
    <row r="350">
      <c r="A350" s="507"/>
      <c r="B350" s="672"/>
    </row>
    <row r="351">
      <c r="A351" s="507"/>
      <c r="B351" s="672"/>
    </row>
    <row r="352">
      <c r="A352" s="507"/>
      <c r="B352" s="672"/>
    </row>
    <row r="353">
      <c r="A353" s="507"/>
      <c r="B353" s="672"/>
    </row>
    <row r="354">
      <c r="A354" s="507"/>
      <c r="B354" s="672"/>
    </row>
    <row r="355">
      <c r="A355" s="507"/>
      <c r="B355" s="672"/>
    </row>
    <row r="356">
      <c r="A356" s="507"/>
      <c r="B356" s="672"/>
    </row>
    <row r="357">
      <c r="A357" s="507"/>
      <c r="B357" s="672"/>
    </row>
    <row r="358">
      <c r="A358" s="507"/>
      <c r="B358" s="672"/>
    </row>
    <row r="359">
      <c r="A359" s="507"/>
      <c r="B359" s="672"/>
    </row>
    <row r="360">
      <c r="A360" s="507"/>
      <c r="B360" s="672"/>
    </row>
    <row r="361">
      <c r="A361" s="507"/>
      <c r="B361" s="672"/>
    </row>
    <row r="362">
      <c r="A362" s="507"/>
      <c r="B362" s="672"/>
    </row>
    <row r="363">
      <c r="A363" s="507"/>
      <c r="B363" s="672"/>
    </row>
    <row r="364">
      <c r="A364" s="507"/>
      <c r="B364" s="672"/>
    </row>
    <row r="365">
      <c r="A365" s="507"/>
      <c r="B365" s="672"/>
    </row>
    <row r="366">
      <c r="A366" s="507"/>
      <c r="B366" s="672"/>
    </row>
    <row r="367">
      <c r="A367" s="507"/>
      <c r="B367" s="672"/>
    </row>
    <row r="368">
      <c r="A368" s="507"/>
      <c r="B368" s="672"/>
    </row>
    <row r="369">
      <c r="A369" s="507"/>
      <c r="B369" s="672"/>
    </row>
    <row r="370">
      <c r="A370" s="507"/>
      <c r="B370" s="672"/>
    </row>
    <row r="371">
      <c r="A371" s="507"/>
      <c r="B371" s="672"/>
    </row>
    <row r="372">
      <c r="A372" s="507"/>
      <c r="B372" s="672"/>
    </row>
    <row r="373">
      <c r="A373" s="507"/>
      <c r="B373" s="672"/>
    </row>
    <row r="374">
      <c r="A374" s="507"/>
      <c r="B374" s="672"/>
    </row>
    <row r="375">
      <c r="A375" s="507"/>
      <c r="B375" s="672"/>
    </row>
    <row r="376">
      <c r="A376" s="507"/>
      <c r="B376" s="672"/>
    </row>
    <row r="377">
      <c r="A377" s="507"/>
      <c r="B377" s="672"/>
    </row>
    <row r="378">
      <c r="A378" s="507"/>
      <c r="B378" s="672"/>
    </row>
    <row r="379">
      <c r="A379" s="507"/>
      <c r="B379" s="672"/>
    </row>
    <row r="380">
      <c r="A380" s="507"/>
      <c r="B380" s="672"/>
    </row>
    <row r="381">
      <c r="A381" s="507"/>
      <c r="B381" s="672"/>
    </row>
    <row r="382">
      <c r="A382" s="507"/>
      <c r="B382" s="672"/>
    </row>
    <row r="383">
      <c r="A383" s="507"/>
      <c r="B383" s="672"/>
    </row>
    <row r="384">
      <c r="A384" s="507"/>
      <c r="B384" s="672"/>
    </row>
    <row r="385">
      <c r="A385" s="507"/>
      <c r="B385" s="672"/>
    </row>
    <row r="386">
      <c r="A386" s="507"/>
      <c r="B386" s="672"/>
    </row>
    <row r="387">
      <c r="A387" s="507"/>
      <c r="B387" s="672"/>
    </row>
    <row r="388">
      <c r="A388" s="507"/>
      <c r="B388" s="672"/>
    </row>
    <row r="389">
      <c r="A389" s="507"/>
      <c r="B389" s="672"/>
    </row>
    <row r="390">
      <c r="A390" s="507"/>
      <c r="B390" s="672"/>
    </row>
    <row r="391">
      <c r="A391" s="507"/>
      <c r="B391" s="672"/>
    </row>
    <row r="392">
      <c r="A392" s="507"/>
      <c r="B392" s="672"/>
    </row>
    <row r="393">
      <c r="A393" s="507"/>
      <c r="B393" s="672"/>
    </row>
    <row r="394">
      <c r="A394" s="507"/>
      <c r="B394" s="672"/>
    </row>
    <row r="395">
      <c r="A395" s="507"/>
      <c r="B395" s="672"/>
    </row>
    <row r="396">
      <c r="A396" s="507"/>
      <c r="B396" s="672"/>
    </row>
    <row r="397">
      <c r="A397" s="507"/>
      <c r="B397" s="672"/>
    </row>
    <row r="398">
      <c r="A398" s="507"/>
      <c r="B398" s="672"/>
    </row>
    <row r="399">
      <c r="A399" s="507"/>
      <c r="B399" s="672"/>
    </row>
    <row r="400">
      <c r="A400" s="507"/>
      <c r="B400" s="672"/>
    </row>
    <row r="401">
      <c r="A401" s="507"/>
      <c r="B401" s="672"/>
    </row>
    <row r="402">
      <c r="A402" s="507"/>
      <c r="B402" s="672"/>
    </row>
    <row r="403">
      <c r="A403" s="507"/>
      <c r="B403" s="672"/>
    </row>
    <row r="404">
      <c r="A404" s="507"/>
      <c r="B404" s="672"/>
    </row>
    <row r="405">
      <c r="A405" s="507"/>
      <c r="B405" s="672"/>
    </row>
    <row r="406">
      <c r="A406" s="507"/>
      <c r="B406" s="672"/>
    </row>
    <row r="407">
      <c r="A407" s="507"/>
      <c r="B407" s="672"/>
    </row>
    <row r="408">
      <c r="A408" s="507"/>
      <c r="B408" s="672"/>
    </row>
    <row r="409">
      <c r="A409" s="507"/>
      <c r="B409" s="672"/>
    </row>
    <row r="410">
      <c r="A410" s="507"/>
      <c r="B410" s="672"/>
    </row>
    <row r="411">
      <c r="A411" s="507"/>
      <c r="B411" s="672"/>
    </row>
    <row r="412">
      <c r="A412" s="507"/>
      <c r="B412" s="672"/>
    </row>
    <row r="413">
      <c r="A413" s="507"/>
      <c r="B413" s="672"/>
    </row>
    <row r="414">
      <c r="A414" s="507"/>
      <c r="B414" s="672"/>
    </row>
    <row r="415">
      <c r="A415" s="507"/>
      <c r="B415" s="672"/>
    </row>
    <row r="416">
      <c r="A416" s="507"/>
      <c r="B416" s="672"/>
    </row>
    <row r="417">
      <c r="A417" s="507"/>
      <c r="B417" s="672"/>
    </row>
    <row r="418">
      <c r="A418" s="507"/>
      <c r="B418" s="672"/>
    </row>
    <row r="419">
      <c r="A419" s="507"/>
      <c r="B419" s="672"/>
    </row>
    <row r="420">
      <c r="A420" s="507"/>
      <c r="B420" s="672"/>
    </row>
    <row r="421">
      <c r="A421" s="507"/>
      <c r="B421" s="672"/>
    </row>
    <row r="422">
      <c r="A422" s="507"/>
      <c r="B422" s="672"/>
    </row>
    <row r="423">
      <c r="A423" s="507"/>
      <c r="B423" s="672"/>
    </row>
    <row r="424">
      <c r="A424" s="507"/>
      <c r="B424" s="672"/>
    </row>
    <row r="425">
      <c r="A425" s="507"/>
      <c r="B425" s="672"/>
    </row>
    <row r="426">
      <c r="A426" s="507"/>
      <c r="B426" s="672"/>
    </row>
    <row r="427">
      <c r="A427" s="507"/>
      <c r="B427" s="672"/>
    </row>
    <row r="428">
      <c r="A428" s="507"/>
      <c r="B428" s="672"/>
    </row>
    <row r="429">
      <c r="A429" s="507"/>
      <c r="B429" s="672"/>
    </row>
    <row r="430">
      <c r="A430" s="507"/>
      <c r="B430" s="672"/>
    </row>
    <row r="431">
      <c r="A431" s="507"/>
      <c r="B431" s="672"/>
    </row>
    <row r="432">
      <c r="A432" s="507"/>
      <c r="B432" s="672"/>
    </row>
    <row r="433">
      <c r="A433" s="507"/>
      <c r="B433" s="672"/>
    </row>
    <row r="434">
      <c r="A434" s="507"/>
      <c r="B434" s="672"/>
    </row>
    <row r="435">
      <c r="A435" s="507"/>
      <c r="B435" s="672"/>
    </row>
    <row r="436">
      <c r="A436" s="507"/>
      <c r="B436" s="672"/>
    </row>
    <row r="437">
      <c r="A437" s="507"/>
      <c r="B437" s="672"/>
    </row>
    <row r="438">
      <c r="A438" s="507"/>
      <c r="B438" s="672"/>
    </row>
    <row r="439">
      <c r="A439" s="507"/>
      <c r="B439" s="672"/>
    </row>
    <row r="440">
      <c r="A440" s="507"/>
      <c r="B440" s="672"/>
    </row>
    <row r="441">
      <c r="A441" s="507"/>
      <c r="B441" s="672"/>
    </row>
    <row r="442">
      <c r="A442" s="507"/>
      <c r="B442" s="672"/>
    </row>
    <row r="443">
      <c r="A443" s="507"/>
      <c r="B443" s="672"/>
    </row>
    <row r="444">
      <c r="A444" s="507"/>
      <c r="B444" s="672"/>
    </row>
    <row r="445">
      <c r="A445" s="507"/>
      <c r="B445" s="672"/>
    </row>
    <row r="446">
      <c r="A446" s="507"/>
      <c r="B446" s="672"/>
    </row>
    <row r="447">
      <c r="A447" s="507"/>
      <c r="B447" s="672"/>
    </row>
    <row r="448">
      <c r="A448" s="507"/>
      <c r="B448" s="672"/>
    </row>
    <row r="449">
      <c r="A449" s="507"/>
      <c r="B449" s="672"/>
    </row>
    <row r="450">
      <c r="A450" s="507"/>
      <c r="B450" s="672"/>
    </row>
    <row r="451">
      <c r="A451" s="507"/>
      <c r="B451" s="672"/>
    </row>
    <row r="452">
      <c r="A452" s="507"/>
      <c r="B452" s="672"/>
    </row>
    <row r="453">
      <c r="A453" s="507"/>
      <c r="B453" s="672"/>
    </row>
    <row r="454">
      <c r="A454" s="507"/>
      <c r="B454" s="672"/>
    </row>
    <row r="455">
      <c r="A455" s="507"/>
      <c r="B455" s="672"/>
    </row>
    <row r="456">
      <c r="A456" s="507"/>
      <c r="B456" s="672"/>
    </row>
    <row r="457">
      <c r="A457" s="507"/>
      <c r="B457" s="672"/>
    </row>
    <row r="458">
      <c r="A458" s="507"/>
      <c r="B458" s="672"/>
    </row>
    <row r="459">
      <c r="A459" s="507"/>
      <c r="B459" s="672"/>
    </row>
    <row r="460">
      <c r="A460" s="507"/>
      <c r="B460" s="672"/>
    </row>
    <row r="461">
      <c r="A461" s="507"/>
      <c r="B461" s="672"/>
    </row>
    <row r="462">
      <c r="A462" s="507"/>
      <c r="B462" s="672"/>
    </row>
    <row r="463">
      <c r="A463" s="507"/>
      <c r="B463" s="672"/>
    </row>
    <row r="464">
      <c r="A464" s="507"/>
      <c r="B464" s="672"/>
    </row>
    <row r="465">
      <c r="A465" s="507"/>
      <c r="B465" s="672"/>
    </row>
    <row r="466">
      <c r="A466" s="507"/>
      <c r="B466" s="672"/>
    </row>
    <row r="467">
      <c r="A467" s="507"/>
      <c r="B467" s="672"/>
    </row>
    <row r="468">
      <c r="A468" s="507"/>
      <c r="B468" s="672"/>
    </row>
    <row r="469">
      <c r="A469" s="507"/>
      <c r="B469" s="672"/>
    </row>
    <row r="470">
      <c r="A470" s="507"/>
      <c r="B470" s="672"/>
    </row>
    <row r="471">
      <c r="A471" s="507"/>
      <c r="B471" s="672"/>
    </row>
    <row r="472">
      <c r="A472" s="507"/>
      <c r="B472" s="672"/>
    </row>
    <row r="473">
      <c r="A473" s="507"/>
      <c r="B473" s="672"/>
    </row>
    <row r="474">
      <c r="A474" s="507"/>
      <c r="B474" s="672"/>
    </row>
    <row r="475">
      <c r="A475" s="507"/>
      <c r="B475" s="672"/>
    </row>
    <row r="476">
      <c r="A476" s="507"/>
      <c r="B476" s="672"/>
    </row>
    <row r="477">
      <c r="A477" s="507"/>
      <c r="B477" s="672"/>
    </row>
    <row r="478">
      <c r="A478" s="507"/>
      <c r="B478" s="672"/>
    </row>
    <row r="479">
      <c r="A479" s="507"/>
      <c r="B479" s="672"/>
    </row>
    <row r="480">
      <c r="A480" s="507"/>
      <c r="B480" s="672"/>
    </row>
    <row r="481">
      <c r="A481" s="507"/>
      <c r="B481" s="672"/>
    </row>
    <row r="482">
      <c r="A482" s="507"/>
      <c r="B482" s="672"/>
    </row>
    <row r="483">
      <c r="A483" s="507"/>
      <c r="B483" s="672"/>
    </row>
    <row r="484">
      <c r="A484" s="507"/>
      <c r="B484" s="672"/>
    </row>
    <row r="485">
      <c r="A485" s="507"/>
      <c r="B485" s="672"/>
    </row>
    <row r="486">
      <c r="A486" s="507"/>
      <c r="B486" s="672"/>
    </row>
    <row r="487">
      <c r="A487" s="507"/>
      <c r="B487" s="672"/>
    </row>
    <row r="488">
      <c r="A488" s="507"/>
      <c r="B488" s="672"/>
    </row>
    <row r="489">
      <c r="A489" s="507"/>
      <c r="B489" s="672"/>
    </row>
    <row r="490">
      <c r="A490" s="507"/>
      <c r="B490" s="672"/>
    </row>
    <row r="491">
      <c r="A491" s="507"/>
      <c r="B491" s="672"/>
    </row>
    <row r="492">
      <c r="A492" s="507"/>
      <c r="B492" s="672"/>
    </row>
    <row r="493">
      <c r="A493" s="507"/>
      <c r="B493" s="672"/>
    </row>
    <row r="494">
      <c r="A494" s="507"/>
      <c r="B494" s="672"/>
    </row>
    <row r="495">
      <c r="A495" s="507"/>
      <c r="B495" s="672"/>
    </row>
    <row r="496">
      <c r="A496" s="507"/>
      <c r="B496" s="672"/>
    </row>
    <row r="497">
      <c r="A497" s="507"/>
      <c r="B497" s="672"/>
    </row>
    <row r="498">
      <c r="A498" s="507"/>
      <c r="B498" s="672"/>
    </row>
    <row r="499">
      <c r="A499" s="507"/>
      <c r="B499" s="672"/>
    </row>
    <row r="500">
      <c r="A500" s="507"/>
      <c r="B500" s="672"/>
    </row>
    <row r="501">
      <c r="A501" s="507"/>
      <c r="B501" s="672"/>
    </row>
    <row r="502">
      <c r="A502" s="507"/>
      <c r="B502" s="672"/>
    </row>
    <row r="503">
      <c r="A503" s="507"/>
      <c r="B503" s="672"/>
    </row>
    <row r="504">
      <c r="A504" s="507"/>
      <c r="B504" s="672"/>
    </row>
    <row r="505">
      <c r="A505" s="507"/>
      <c r="B505" s="672"/>
    </row>
    <row r="506">
      <c r="A506" s="507"/>
      <c r="B506" s="672"/>
    </row>
    <row r="507">
      <c r="A507" s="507"/>
      <c r="B507" s="672"/>
    </row>
    <row r="508">
      <c r="A508" s="507"/>
      <c r="B508" s="672"/>
    </row>
    <row r="509">
      <c r="A509" s="507"/>
      <c r="B509" s="672"/>
    </row>
    <row r="510">
      <c r="A510" s="507"/>
      <c r="B510" s="672"/>
    </row>
    <row r="511">
      <c r="A511" s="507"/>
      <c r="B511" s="672"/>
    </row>
    <row r="512">
      <c r="A512" s="507"/>
      <c r="B512" s="672"/>
    </row>
    <row r="513">
      <c r="A513" s="507"/>
      <c r="B513" s="672"/>
    </row>
    <row r="514">
      <c r="A514" s="507"/>
      <c r="B514" s="672"/>
    </row>
    <row r="515">
      <c r="A515" s="507"/>
      <c r="B515" s="672"/>
    </row>
    <row r="516">
      <c r="A516" s="507"/>
      <c r="B516" s="672"/>
    </row>
    <row r="517">
      <c r="A517" s="507"/>
      <c r="B517" s="672"/>
    </row>
    <row r="518">
      <c r="A518" s="507"/>
      <c r="B518" s="672"/>
    </row>
    <row r="519">
      <c r="A519" s="507"/>
      <c r="B519" s="672"/>
    </row>
    <row r="520">
      <c r="A520" s="507"/>
      <c r="B520" s="672"/>
    </row>
    <row r="521">
      <c r="A521" s="507"/>
      <c r="B521" s="672"/>
    </row>
    <row r="522">
      <c r="A522" s="507"/>
      <c r="B522" s="672"/>
    </row>
    <row r="523">
      <c r="A523" s="507"/>
      <c r="B523" s="672"/>
    </row>
    <row r="524">
      <c r="A524" s="507"/>
      <c r="B524" s="672"/>
    </row>
    <row r="525">
      <c r="A525" s="507"/>
      <c r="B525" s="672"/>
    </row>
    <row r="526">
      <c r="A526" s="507"/>
      <c r="B526" s="672"/>
    </row>
    <row r="527">
      <c r="A527" s="507"/>
      <c r="B527" s="672"/>
    </row>
    <row r="528">
      <c r="A528" s="507"/>
      <c r="B528" s="672"/>
    </row>
    <row r="529">
      <c r="A529" s="507"/>
      <c r="B529" s="672"/>
    </row>
    <row r="530">
      <c r="A530" s="507"/>
      <c r="B530" s="672"/>
    </row>
    <row r="531">
      <c r="A531" s="507"/>
      <c r="B531" s="672"/>
    </row>
    <row r="532">
      <c r="A532" s="507"/>
      <c r="B532" s="672"/>
    </row>
    <row r="533">
      <c r="A533" s="507"/>
      <c r="B533" s="672"/>
    </row>
    <row r="534">
      <c r="A534" s="507"/>
      <c r="B534" s="672"/>
    </row>
    <row r="535">
      <c r="A535" s="507"/>
      <c r="B535" s="672"/>
    </row>
    <row r="536">
      <c r="A536" s="507"/>
      <c r="B536" s="672"/>
    </row>
    <row r="537">
      <c r="A537" s="507"/>
      <c r="B537" s="672"/>
    </row>
    <row r="538">
      <c r="A538" s="507"/>
      <c r="B538" s="672"/>
    </row>
    <row r="539">
      <c r="A539" s="507"/>
      <c r="B539" s="672"/>
    </row>
    <row r="540">
      <c r="A540" s="507"/>
      <c r="B540" s="672"/>
    </row>
    <row r="541">
      <c r="A541" s="507"/>
      <c r="B541" s="672"/>
    </row>
    <row r="542">
      <c r="A542" s="507"/>
      <c r="B542" s="672"/>
    </row>
    <row r="543">
      <c r="A543" s="507"/>
      <c r="B543" s="672"/>
    </row>
    <row r="544">
      <c r="A544" s="507"/>
      <c r="B544" s="672"/>
    </row>
    <row r="545">
      <c r="A545" s="507"/>
      <c r="B545" s="672"/>
    </row>
    <row r="546">
      <c r="A546" s="507"/>
      <c r="B546" s="672"/>
    </row>
    <row r="547">
      <c r="A547" s="507"/>
      <c r="B547" s="672"/>
    </row>
    <row r="548">
      <c r="A548" s="507"/>
      <c r="B548" s="672"/>
    </row>
    <row r="549">
      <c r="A549" s="507"/>
      <c r="B549" s="672"/>
    </row>
    <row r="550">
      <c r="A550" s="507"/>
      <c r="B550" s="672"/>
    </row>
    <row r="551">
      <c r="A551" s="507"/>
      <c r="B551" s="672"/>
    </row>
    <row r="552">
      <c r="A552" s="507"/>
      <c r="B552" s="672"/>
    </row>
    <row r="553">
      <c r="A553" s="507"/>
      <c r="B553" s="672"/>
    </row>
    <row r="554">
      <c r="A554" s="507"/>
      <c r="B554" s="672"/>
    </row>
    <row r="555">
      <c r="A555" s="507"/>
      <c r="B555" s="672"/>
    </row>
    <row r="556">
      <c r="A556" s="507"/>
      <c r="B556" s="672"/>
    </row>
    <row r="557">
      <c r="A557" s="507"/>
      <c r="B557" s="672"/>
    </row>
    <row r="558">
      <c r="A558" s="507"/>
      <c r="B558" s="672"/>
    </row>
    <row r="559">
      <c r="A559" s="507"/>
      <c r="B559" s="672"/>
    </row>
    <row r="560">
      <c r="A560" s="507"/>
      <c r="B560" s="672"/>
    </row>
    <row r="561">
      <c r="A561" s="507"/>
      <c r="B561" s="672"/>
    </row>
    <row r="562">
      <c r="A562" s="507"/>
      <c r="B562" s="672"/>
    </row>
    <row r="563">
      <c r="A563" s="507"/>
      <c r="B563" s="672"/>
    </row>
    <row r="564">
      <c r="A564" s="507"/>
      <c r="B564" s="672"/>
    </row>
    <row r="565">
      <c r="A565" s="507"/>
      <c r="B565" s="672"/>
    </row>
    <row r="566">
      <c r="A566" s="507"/>
      <c r="B566" s="672"/>
    </row>
    <row r="567">
      <c r="A567" s="507"/>
      <c r="B567" s="672"/>
    </row>
    <row r="568">
      <c r="A568" s="507"/>
      <c r="B568" s="672"/>
    </row>
    <row r="569">
      <c r="A569" s="507"/>
      <c r="B569" s="672"/>
    </row>
    <row r="570">
      <c r="A570" s="507"/>
      <c r="B570" s="672"/>
    </row>
    <row r="571">
      <c r="A571" s="507"/>
      <c r="B571" s="672"/>
    </row>
    <row r="572">
      <c r="A572" s="507"/>
      <c r="B572" s="672"/>
    </row>
    <row r="573">
      <c r="A573" s="507"/>
      <c r="B573" s="672"/>
    </row>
    <row r="574">
      <c r="A574" s="507"/>
      <c r="B574" s="672"/>
    </row>
    <row r="575">
      <c r="A575" s="507"/>
      <c r="B575" s="672"/>
    </row>
    <row r="576">
      <c r="A576" s="507"/>
      <c r="B576" s="672"/>
    </row>
    <row r="577">
      <c r="A577" s="507"/>
      <c r="B577" s="672"/>
    </row>
    <row r="578">
      <c r="A578" s="507"/>
      <c r="B578" s="672"/>
    </row>
    <row r="579">
      <c r="A579" s="507"/>
      <c r="B579" s="672"/>
    </row>
    <row r="580">
      <c r="A580" s="507"/>
      <c r="B580" s="672"/>
    </row>
    <row r="581">
      <c r="A581" s="507"/>
      <c r="B581" s="672"/>
    </row>
    <row r="582">
      <c r="A582" s="507"/>
      <c r="B582" s="672"/>
    </row>
    <row r="583">
      <c r="A583" s="507"/>
      <c r="B583" s="672"/>
    </row>
    <row r="584">
      <c r="A584" s="507"/>
      <c r="B584" s="672"/>
    </row>
    <row r="585">
      <c r="A585" s="507"/>
      <c r="B585" s="672"/>
    </row>
    <row r="586">
      <c r="A586" s="507"/>
      <c r="B586" s="672"/>
    </row>
    <row r="587">
      <c r="A587" s="507"/>
      <c r="B587" s="672"/>
    </row>
    <row r="588">
      <c r="A588" s="507"/>
      <c r="B588" s="672"/>
    </row>
    <row r="589">
      <c r="A589" s="507"/>
      <c r="B589" s="672"/>
    </row>
    <row r="590">
      <c r="A590" s="507"/>
      <c r="B590" s="672"/>
    </row>
    <row r="591">
      <c r="A591" s="507"/>
      <c r="B591" s="672"/>
    </row>
    <row r="592">
      <c r="A592" s="507"/>
      <c r="B592" s="672"/>
    </row>
    <row r="593">
      <c r="A593" s="507"/>
      <c r="B593" s="672"/>
    </row>
    <row r="594">
      <c r="A594" s="507"/>
      <c r="B594" s="672"/>
    </row>
    <row r="595">
      <c r="A595" s="507"/>
      <c r="B595" s="672"/>
    </row>
    <row r="596">
      <c r="A596" s="507"/>
      <c r="B596" s="672"/>
    </row>
    <row r="597">
      <c r="A597" s="507"/>
      <c r="B597" s="672"/>
    </row>
    <row r="598">
      <c r="A598" s="507"/>
      <c r="B598" s="672"/>
    </row>
    <row r="599">
      <c r="A599" s="507"/>
      <c r="B599" s="672"/>
    </row>
    <row r="600">
      <c r="A600" s="507"/>
      <c r="B600" s="672"/>
    </row>
    <row r="601">
      <c r="A601" s="507"/>
      <c r="B601" s="672"/>
    </row>
    <row r="602">
      <c r="A602" s="507"/>
      <c r="B602" s="672"/>
    </row>
    <row r="603">
      <c r="A603" s="507"/>
      <c r="B603" s="672"/>
    </row>
    <row r="604">
      <c r="A604" s="507"/>
      <c r="B604" s="672"/>
    </row>
    <row r="605">
      <c r="A605" s="507"/>
      <c r="B605" s="672"/>
    </row>
    <row r="606">
      <c r="A606" s="507"/>
      <c r="B606" s="672"/>
    </row>
    <row r="607">
      <c r="A607" s="507"/>
      <c r="B607" s="672"/>
    </row>
    <row r="608">
      <c r="A608" s="507"/>
      <c r="B608" s="672"/>
    </row>
    <row r="609">
      <c r="A609" s="507"/>
      <c r="B609" s="672"/>
    </row>
    <row r="610">
      <c r="A610" s="507"/>
      <c r="B610" s="672"/>
    </row>
    <row r="611">
      <c r="A611" s="507"/>
      <c r="B611" s="672"/>
    </row>
    <row r="612">
      <c r="A612" s="507"/>
      <c r="B612" s="672"/>
    </row>
    <row r="613">
      <c r="A613" s="507"/>
      <c r="B613" s="672"/>
    </row>
    <row r="614">
      <c r="A614" s="507"/>
      <c r="B614" s="672"/>
    </row>
    <row r="615">
      <c r="A615" s="507"/>
      <c r="B615" s="672"/>
    </row>
    <row r="616">
      <c r="A616" s="507"/>
      <c r="B616" s="672"/>
    </row>
    <row r="617">
      <c r="A617" s="507"/>
      <c r="B617" s="672"/>
    </row>
    <row r="618">
      <c r="A618" s="507"/>
      <c r="B618" s="672"/>
    </row>
    <row r="619">
      <c r="A619" s="507"/>
      <c r="B619" s="672"/>
    </row>
    <row r="620">
      <c r="A620" s="507"/>
      <c r="B620" s="672"/>
    </row>
    <row r="621">
      <c r="A621" s="507"/>
      <c r="B621" s="672"/>
    </row>
    <row r="622">
      <c r="A622" s="507"/>
      <c r="B622" s="672"/>
    </row>
    <row r="623">
      <c r="A623" s="507"/>
      <c r="B623" s="672"/>
    </row>
    <row r="624">
      <c r="A624" s="507"/>
      <c r="B624" s="672"/>
    </row>
    <row r="625">
      <c r="A625" s="507"/>
      <c r="B625" s="672"/>
    </row>
    <row r="626">
      <c r="A626" s="507"/>
      <c r="B626" s="672"/>
    </row>
    <row r="627">
      <c r="A627" s="507"/>
      <c r="B627" s="672"/>
    </row>
    <row r="628">
      <c r="A628" s="507"/>
      <c r="B628" s="672"/>
    </row>
    <row r="629">
      <c r="A629" s="507"/>
      <c r="B629" s="672"/>
    </row>
    <row r="630">
      <c r="A630" s="507"/>
      <c r="B630" s="672"/>
    </row>
    <row r="631">
      <c r="A631" s="507"/>
      <c r="B631" s="672"/>
    </row>
    <row r="632">
      <c r="A632" s="507"/>
      <c r="B632" s="672"/>
    </row>
    <row r="633">
      <c r="A633" s="507"/>
      <c r="B633" s="672"/>
    </row>
    <row r="634">
      <c r="A634" s="507"/>
      <c r="B634" s="672"/>
    </row>
    <row r="635">
      <c r="A635" s="507"/>
      <c r="B635" s="672"/>
    </row>
    <row r="636">
      <c r="A636" s="507"/>
      <c r="B636" s="672"/>
    </row>
    <row r="637">
      <c r="A637" s="507"/>
      <c r="B637" s="672"/>
    </row>
    <row r="638">
      <c r="A638" s="507"/>
      <c r="B638" s="672"/>
    </row>
    <row r="639">
      <c r="A639" s="507"/>
      <c r="B639" s="672"/>
    </row>
    <row r="640">
      <c r="A640" s="507"/>
      <c r="B640" s="672"/>
    </row>
    <row r="641">
      <c r="A641" s="507"/>
      <c r="B641" s="672"/>
    </row>
    <row r="642">
      <c r="A642" s="507"/>
      <c r="B642" s="672"/>
    </row>
    <row r="643">
      <c r="A643" s="507"/>
      <c r="B643" s="672"/>
    </row>
    <row r="644">
      <c r="A644" s="507"/>
      <c r="B644" s="672"/>
    </row>
    <row r="645">
      <c r="A645" s="507"/>
      <c r="B645" s="672"/>
    </row>
    <row r="646">
      <c r="A646" s="507"/>
      <c r="B646" s="672"/>
    </row>
    <row r="647">
      <c r="A647" s="507"/>
      <c r="B647" s="672"/>
    </row>
    <row r="648">
      <c r="A648" s="507"/>
      <c r="B648" s="672"/>
    </row>
    <row r="649">
      <c r="A649" s="507"/>
      <c r="B649" s="672"/>
    </row>
    <row r="650">
      <c r="A650" s="507"/>
      <c r="B650" s="672"/>
    </row>
    <row r="651">
      <c r="A651" s="507"/>
      <c r="B651" s="672"/>
    </row>
    <row r="652">
      <c r="A652" s="507"/>
      <c r="B652" s="672"/>
    </row>
    <row r="653">
      <c r="A653" s="507"/>
      <c r="B653" s="672"/>
    </row>
    <row r="654">
      <c r="A654" s="507"/>
      <c r="B654" s="672"/>
    </row>
    <row r="655">
      <c r="A655" s="507"/>
      <c r="B655" s="672"/>
    </row>
    <row r="656">
      <c r="A656" s="507"/>
      <c r="B656" s="672"/>
    </row>
    <row r="657">
      <c r="A657" s="507"/>
      <c r="B657" s="672"/>
    </row>
    <row r="658">
      <c r="A658" s="507"/>
      <c r="B658" s="672"/>
    </row>
    <row r="659">
      <c r="A659" s="507"/>
      <c r="B659" s="672"/>
    </row>
    <row r="660">
      <c r="A660" s="507"/>
      <c r="B660" s="672"/>
    </row>
    <row r="661">
      <c r="A661" s="507"/>
      <c r="B661" s="672"/>
    </row>
    <row r="662">
      <c r="A662" s="507"/>
      <c r="B662" s="672"/>
    </row>
    <row r="663">
      <c r="A663" s="507"/>
      <c r="B663" s="672"/>
    </row>
    <row r="664">
      <c r="A664" s="507"/>
      <c r="B664" s="672"/>
    </row>
    <row r="665">
      <c r="A665" s="507"/>
      <c r="B665" s="672"/>
    </row>
    <row r="666">
      <c r="A666" s="507"/>
      <c r="B666" s="672"/>
    </row>
    <row r="667">
      <c r="A667" s="507"/>
      <c r="B667" s="672"/>
    </row>
    <row r="668">
      <c r="A668" s="507"/>
      <c r="B668" s="672"/>
    </row>
    <row r="669">
      <c r="A669" s="507"/>
      <c r="B669" s="672"/>
    </row>
    <row r="670">
      <c r="A670" s="507"/>
      <c r="B670" s="672"/>
    </row>
    <row r="671">
      <c r="A671" s="507"/>
      <c r="B671" s="672"/>
    </row>
    <row r="672">
      <c r="A672" s="507"/>
      <c r="B672" s="672"/>
    </row>
    <row r="673">
      <c r="A673" s="507"/>
      <c r="B673" s="672"/>
    </row>
    <row r="674">
      <c r="A674" s="507"/>
      <c r="B674" s="672"/>
    </row>
    <row r="675">
      <c r="A675" s="507"/>
      <c r="B675" s="672"/>
    </row>
    <row r="676">
      <c r="A676" s="507"/>
      <c r="B676" s="672"/>
    </row>
    <row r="677">
      <c r="A677" s="507"/>
      <c r="B677" s="672"/>
    </row>
    <row r="678">
      <c r="A678" s="507"/>
      <c r="B678" s="672"/>
    </row>
    <row r="679">
      <c r="A679" s="507"/>
      <c r="B679" s="672"/>
    </row>
    <row r="680">
      <c r="A680" s="507"/>
      <c r="B680" s="672"/>
    </row>
    <row r="681">
      <c r="A681" s="507"/>
      <c r="B681" s="672"/>
    </row>
    <row r="682">
      <c r="A682" s="507"/>
      <c r="B682" s="672"/>
    </row>
    <row r="683">
      <c r="A683" s="507"/>
      <c r="B683" s="672"/>
    </row>
    <row r="684">
      <c r="A684" s="507"/>
      <c r="B684" s="672"/>
    </row>
    <row r="685">
      <c r="A685" s="507"/>
      <c r="B685" s="672"/>
    </row>
    <row r="686">
      <c r="A686" s="507"/>
      <c r="B686" s="672"/>
    </row>
    <row r="687">
      <c r="A687" s="507"/>
      <c r="B687" s="672"/>
    </row>
    <row r="688">
      <c r="A688" s="507"/>
      <c r="B688" s="672"/>
    </row>
    <row r="689">
      <c r="A689" s="507"/>
      <c r="B689" s="672"/>
    </row>
    <row r="690">
      <c r="A690" s="507"/>
      <c r="B690" s="672"/>
    </row>
    <row r="691">
      <c r="A691" s="507"/>
      <c r="B691" s="672"/>
    </row>
    <row r="692">
      <c r="A692" s="507"/>
      <c r="B692" s="672"/>
    </row>
    <row r="693">
      <c r="A693" s="507"/>
      <c r="B693" s="672"/>
    </row>
    <row r="694">
      <c r="A694" s="507"/>
      <c r="B694" s="672"/>
    </row>
    <row r="695">
      <c r="A695" s="507"/>
      <c r="B695" s="672"/>
    </row>
    <row r="696">
      <c r="A696" s="507"/>
      <c r="B696" s="672"/>
    </row>
    <row r="697">
      <c r="A697" s="507"/>
      <c r="B697" s="672"/>
    </row>
    <row r="698">
      <c r="A698" s="507"/>
      <c r="B698" s="672"/>
    </row>
    <row r="699">
      <c r="A699" s="507"/>
      <c r="B699" s="672"/>
    </row>
    <row r="700">
      <c r="A700" s="507"/>
      <c r="B700" s="672"/>
    </row>
    <row r="701">
      <c r="A701" s="507"/>
      <c r="B701" s="672"/>
    </row>
    <row r="702">
      <c r="A702" s="507"/>
      <c r="B702" s="672"/>
    </row>
    <row r="703">
      <c r="A703" s="507"/>
      <c r="B703" s="672"/>
    </row>
    <row r="704">
      <c r="A704" s="507"/>
      <c r="B704" s="672"/>
    </row>
    <row r="705">
      <c r="A705" s="507"/>
      <c r="B705" s="672"/>
    </row>
    <row r="706">
      <c r="A706" s="507"/>
      <c r="B706" s="672"/>
    </row>
    <row r="707">
      <c r="A707" s="507"/>
      <c r="B707" s="672"/>
    </row>
    <row r="708">
      <c r="A708" s="507"/>
      <c r="B708" s="672"/>
    </row>
    <row r="709">
      <c r="A709" s="507"/>
      <c r="B709" s="672"/>
    </row>
    <row r="710">
      <c r="A710" s="507"/>
      <c r="B710" s="672"/>
    </row>
    <row r="711">
      <c r="A711" s="507"/>
      <c r="B711" s="672"/>
    </row>
    <row r="712">
      <c r="A712" s="507"/>
      <c r="B712" s="672"/>
    </row>
    <row r="713">
      <c r="A713" s="507"/>
      <c r="B713" s="672"/>
    </row>
    <row r="714">
      <c r="A714" s="507"/>
      <c r="B714" s="672"/>
    </row>
    <row r="715">
      <c r="A715" s="507"/>
      <c r="B715" s="672"/>
    </row>
    <row r="716">
      <c r="A716" s="507"/>
      <c r="B716" s="672"/>
    </row>
    <row r="717">
      <c r="A717" s="507"/>
      <c r="B717" s="672"/>
    </row>
    <row r="718">
      <c r="A718" s="507"/>
      <c r="B718" s="672"/>
    </row>
    <row r="719">
      <c r="A719" s="507"/>
      <c r="B719" s="672"/>
    </row>
    <row r="720">
      <c r="A720" s="507"/>
      <c r="B720" s="672"/>
    </row>
    <row r="721">
      <c r="A721" s="507"/>
      <c r="B721" s="672"/>
    </row>
    <row r="722">
      <c r="A722" s="507"/>
      <c r="B722" s="672"/>
    </row>
    <row r="723">
      <c r="A723" s="507"/>
      <c r="B723" s="672"/>
    </row>
    <row r="724">
      <c r="A724" s="507"/>
      <c r="B724" s="672"/>
    </row>
    <row r="725">
      <c r="A725" s="507"/>
      <c r="B725" s="672"/>
    </row>
    <row r="726">
      <c r="A726" s="507"/>
      <c r="B726" s="672"/>
    </row>
    <row r="727">
      <c r="A727" s="507"/>
      <c r="B727" s="672"/>
    </row>
    <row r="728">
      <c r="A728" s="507"/>
      <c r="B728" s="672"/>
    </row>
    <row r="729">
      <c r="A729" s="507"/>
      <c r="B729" s="672"/>
    </row>
    <row r="730">
      <c r="A730" s="507"/>
      <c r="B730" s="672"/>
    </row>
    <row r="731">
      <c r="A731" s="507"/>
      <c r="B731" s="672"/>
    </row>
    <row r="732">
      <c r="A732" s="507"/>
      <c r="B732" s="672"/>
    </row>
    <row r="733">
      <c r="A733" s="507"/>
      <c r="B733" s="672"/>
    </row>
    <row r="734">
      <c r="A734" s="507"/>
      <c r="B734" s="672"/>
    </row>
    <row r="735">
      <c r="A735" s="507"/>
      <c r="B735" s="672"/>
    </row>
    <row r="736">
      <c r="A736" s="507"/>
      <c r="B736" s="672"/>
    </row>
    <row r="737">
      <c r="A737" s="507"/>
      <c r="B737" s="672"/>
    </row>
    <row r="738">
      <c r="A738" s="507"/>
      <c r="B738" s="672"/>
    </row>
    <row r="739">
      <c r="A739" s="507"/>
      <c r="B739" s="672"/>
    </row>
    <row r="740">
      <c r="A740" s="507"/>
      <c r="B740" s="672"/>
    </row>
    <row r="741">
      <c r="A741" s="507"/>
      <c r="B741" s="672"/>
    </row>
    <row r="742">
      <c r="A742" s="507"/>
      <c r="B742" s="672"/>
    </row>
    <row r="743">
      <c r="A743" s="507"/>
      <c r="B743" s="672"/>
    </row>
    <row r="744">
      <c r="A744" s="507"/>
      <c r="B744" s="672"/>
    </row>
    <row r="745">
      <c r="A745" s="507"/>
      <c r="B745" s="672"/>
    </row>
    <row r="746">
      <c r="A746" s="507"/>
      <c r="B746" s="672"/>
    </row>
    <row r="747">
      <c r="A747" s="507"/>
      <c r="B747" s="672"/>
    </row>
    <row r="748">
      <c r="A748" s="507"/>
      <c r="B748" s="672"/>
    </row>
    <row r="749">
      <c r="A749" s="507"/>
      <c r="B749" s="672"/>
    </row>
    <row r="750">
      <c r="A750" s="507"/>
      <c r="B750" s="672"/>
    </row>
    <row r="751">
      <c r="A751" s="507"/>
      <c r="B751" s="672"/>
    </row>
    <row r="752">
      <c r="A752" s="507"/>
      <c r="B752" s="672"/>
    </row>
    <row r="753">
      <c r="A753" s="507"/>
      <c r="B753" s="672"/>
    </row>
    <row r="754">
      <c r="A754" s="507"/>
      <c r="B754" s="672"/>
    </row>
    <row r="755">
      <c r="A755" s="507"/>
      <c r="B755" s="672"/>
    </row>
    <row r="756">
      <c r="A756" s="507"/>
      <c r="B756" s="672"/>
    </row>
    <row r="757">
      <c r="A757" s="507"/>
      <c r="B757" s="672"/>
    </row>
    <row r="758">
      <c r="A758" s="507"/>
      <c r="B758" s="672"/>
    </row>
    <row r="759">
      <c r="A759" s="507"/>
      <c r="B759" s="672"/>
    </row>
    <row r="760">
      <c r="A760" s="507"/>
      <c r="B760" s="672"/>
    </row>
    <row r="761">
      <c r="A761" s="507"/>
      <c r="B761" s="672"/>
    </row>
    <row r="762">
      <c r="A762" s="507"/>
      <c r="B762" s="672"/>
    </row>
    <row r="763">
      <c r="A763" s="507"/>
      <c r="B763" s="672"/>
    </row>
    <row r="764">
      <c r="A764" s="507"/>
      <c r="B764" s="672"/>
    </row>
    <row r="765">
      <c r="A765" s="507"/>
      <c r="B765" s="672"/>
    </row>
    <row r="766">
      <c r="A766" s="507"/>
      <c r="B766" s="672"/>
    </row>
    <row r="767">
      <c r="A767" s="507"/>
      <c r="B767" s="672"/>
    </row>
    <row r="768">
      <c r="A768" s="507"/>
      <c r="B768" s="672"/>
    </row>
    <row r="769">
      <c r="A769" s="507"/>
      <c r="B769" s="672"/>
    </row>
    <row r="770">
      <c r="A770" s="507"/>
      <c r="B770" s="672"/>
    </row>
    <row r="771">
      <c r="A771" s="507"/>
      <c r="B771" s="672"/>
    </row>
    <row r="772">
      <c r="A772" s="507"/>
      <c r="B772" s="672"/>
    </row>
    <row r="773">
      <c r="A773" s="507"/>
      <c r="B773" s="672"/>
    </row>
    <row r="774">
      <c r="A774" s="507"/>
      <c r="B774" s="672"/>
    </row>
    <row r="775">
      <c r="A775" s="507"/>
      <c r="B775" s="672"/>
    </row>
    <row r="776">
      <c r="A776" s="507"/>
      <c r="B776" s="672"/>
    </row>
    <row r="777">
      <c r="A777" s="507"/>
      <c r="B777" s="672"/>
    </row>
    <row r="778">
      <c r="A778" s="507"/>
      <c r="B778" s="672"/>
    </row>
    <row r="779">
      <c r="A779" s="507"/>
      <c r="B779" s="672"/>
    </row>
    <row r="780">
      <c r="A780" s="507"/>
      <c r="B780" s="672"/>
    </row>
    <row r="781">
      <c r="A781" s="507"/>
      <c r="B781" s="672"/>
    </row>
    <row r="782">
      <c r="A782" s="507"/>
      <c r="B782" s="672"/>
    </row>
    <row r="783">
      <c r="A783" s="507"/>
      <c r="B783" s="672"/>
    </row>
    <row r="784">
      <c r="A784" s="507"/>
      <c r="B784" s="672"/>
    </row>
    <row r="785">
      <c r="A785" s="507"/>
      <c r="B785" s="672"/>
    </row>
    <row r="786">
      <c r="A786" s="507"/>
      <c r="B786" s="672"/>
    </row>
    <row r="787">
      <c r="A787" s="507"/>
      <c r="B787" s="672"/>
    </row>
    <row r="788">
      <c r="A788" s="507"/>
      <c r="B788" s="672"/>
    </row>
    <row r="789">
      <c r="A789" s="507"/>
      <c r="B789" s="672"/>
    </row>
    <row r="790">
      <c r="A790" s="507"/>
      <c r="B790" s="672"/>
    </row>
    <row r="791">
      <c r="A791" s="507"/>
      <c r="B791" s="672"/>
    </row>
    <row r="792">
      <c r="A792" s="507"/>
      <c r="B792" s="672"/>
    </row>
    <row r="793">
      <c r="A793" s="507"/>
      <c r="B793" s="672"/>
    </row>
    <row r="794">
      <c r="A794" s="507"/>
      <c r="B794" s="672"/>
    </row>
    <row r="795">
      <c r="A795" s="507"/>
      <c r="B795" s="672"/>
    </row>
    <row r="796">
      <c r="A796" s="507"/>
      <c r="B796" s="672"/>
    </row>
    <row r="797">
      <c r="A797" s="507"/>
      <c r="B797" s="672"/>
    </row>
    <row r="798">
      <c r="A798" s="507"/>
      <c r="B798" s="672"/>
    </row>
    <row r="799">
      <c r="A799" s="507"/>
      <c r="B799" s="672"/>
    </row>
    <row r="800">
      <c r="A800" s="507"/>
      <c r="B800" s="672"/>
    </row>
    <row r="801">
      <c r="A801" s="507"/>
      <c r="B801" s="672"/>
    </row>
    <row r="802">
      <c r="A802" s="507"/>
      <c r="B802" s="672"/>
    </row>
    <row r="803">
      <c r="A803" s="507"/>
      <c r="B803" s="672"/>
    </row>
    <row r="804">
      <c r="A804" s="507"/>
      <c r="B804" s="672"/>
    </row>
    <row r="805">
      <c r="A805" s="507"/>
      <c r="B805" s="672"/>
    </row>
    <row r="806">
      <c r="A806" s="507"/>
      <c r="B806" s="672"/>
    </row>
    <row r="807">
      <c r="A807" s="507"/>
      <c r="B807" s="672"/>
    </row>
    <row r="808">
      <c r="A808" s="507"/>
      <c r="B808" s="672"/>
    </row>
    <row r="809">
      <c r="A809" s="507"/>
      <c r="B809" s="672"/>
    </row>
    <row r="810">
      <c r="A810" s="507"/>
      <c r="B810" s="672"/>
    </row>
    <row r="811">
      <c r="A811" s="507"/>
      <c r="B811" s="672"/>
    </row>
    <row r="812">
      <c r="A812" s="507"/>
      <c r="B812" s="672"/>
    </row>
    <row r="813">
      <c r="A813" s="507"/>
      <c r="B813" s="672"/>
    </row>
    <row r="814">
      <c r="A814" s="507"/>
      <c r="B814" s="672"/>
    </row>
    <row r="815">
      <c r="A815" s="507"/>
      <c r="B815" s="672"/>
    </row>
    <row r="816">
      <c r="A816" s="507"/>
      <c r="B816" s="672"/>
    </row>
    <row r="817">
      <c r="A817" s="507"/>
      <c r="B817" s="672"/>
    </row>
    <row r="818">
      <c r="A818" s="507"/>
      <c r="B818" s="672"/>
    </row>
    <row r="819">
      <c r="A819" s="507"/>
      <c r="B819" s="672"/>
    </row>
    <row r="820">
      <c r="A820" s="507"/>
      <c r="B820" s="672"/>
    </row>
    <row r="821">
      <c r="A821" s="507"/>
      <c r="B821" s="672"/>
    </row>
    <row r="822">
      <c r="A822" s="507"/>
      <c r="B822" s="672"/>
    </row>
    <row r="823">
      <c r="A823" s="507"/>
      <c r="B823" s="672"/>
    </row>
    <row r="824">
      <c r="A824" s="507"/>
      <c r="B824" s="672"/>
    </row>
    <row r="825">
      <c r="A825" s="507"/>
      <c r="B825" s="672"/>
    </row>
    <row r="826">
      <c r="A826" s="507"/>
      <c r="B826" s="672"/>
    </row>
    <row r="827">
      <c r="A827" s="507"/>
      <c r="B827" s="672"/>
    </row>
    <row r="828">
      <c r="A828" s="507"/>
      <c r="B828" s="672"/>
    </row>
    <row r="829">
      <c r="A829" s="507"/>
      <c r="B829" s="672"/>
    </row>
    <row r="830">
      <c r="A830" s="507"/>
      <c r="B830" s="672"/>
    </row>
    <row r="831">
      <c r="A831" s="507"/>
      <c r="B831" s="672"/>
    </row>
    <row r="832">
      <c r="A832" s="507"/>
      <c r="B832" s="672"/>
    </row>
    <row r="833">
      <c r="A833" s="507"/>
      <c r="B833" s="672"/>
    </row>
    <row r="834">
      <c r="A834" s="507"/>
      <c r="B834" s="672"/>
    </row>
    <row r="835">
      <c r="A835" s="507"/>
      <c r="B835" s="672"/>
    </row>
    <row r="836">
      <c r="A836" s="507"/>
      <c r="B836" s="672"/>
    </row>
    <row r="837">
      <c r="A837" s="507"/>
      <c r="B837" s="672"/>
    </row>
    <row r="838">
      <c r="A838" s="507"/>
      <c r="B838" s="672"/>
    </row>
    <row r="839">
      <c r="A839" s="507"/>
      <c r="B839" s="672"/>
    </row>
    <row r="840">
      <c r="A840" s="507"/>
      <c r="B840" s="672"/>
    </row>
    <row r="841">
      <c r="A841" s="507"/>
      <c r="B841" s="672"/>
    </row>
    <row r="842">
      <c r="A842" s="507"/>
      <c r="B842" s="672"/>
    </row>
    <row r="843">
      <c r="A843" s="507"/>
      <c r="B843" s="672"/>
    </row>
    <row r="844">
      <c r="A844" s="507"/>
      <c r="B844" s="672"/>
    </row>
    <row r="845">
      <c r="A845" s="507"/>
      <c r="B845" s="672"/>
    </row>
    <row r="846">
      <c r="A846" s="507"/>
      <c r="B846" s="672"/>
    </row>
    <row r="847">
      <c r="A847" s="507"/>
      <c r="B847" s="672"/>
    </row>
    <row r="848">
      <c r="A848" s="507"/>
      <c r="B848" s="672"/>
    </row>
    <row r="849">
      <c r="A849" s="507"/>
      <c r="B849" s="672"/>
    </row>
    <row r="850">
      <c r="A850" s="507"/>
      <c r="B850" s="672"/>
    </row>
    <row r="851">
      <c r="A851" s="507"/>
      <c r="B851" s="672"/>
    </row>
    <row r="852">
      <c r="A852" s="507"/>
      <c r="B852" s="672"/>
    </row>
    <row r="853">
      <c r="A853" s="507"/>
      <c r="B853" s="672"/>
    </row>
    <row r="854">
      <c r="A854" s="507"/>
      <c r="B854" s="672"/>
    </row>
    <row r="855">
      <c r="A855" s="507"/>
      <c r="B855" s="672"/>
    </row>
    <row r="856">
      <c r="A856" s="507"/>
      <c r="B856" s="672"/>
    </row>
    <row r="857">
      <c r="A857" s="507"/>
      <c r="B857" s="672"/>
    </row>
    <row r="858">
      <c r="A858" s="507"/>
      <c r="B858" s="672"/>
    </row>
    <row r="859">
      <c r="A859" s="507"/>
      <c r="B859" s="672"/>
    </row>
    <row r="860">
      <c r="A860" s="507"/>
      <c r="B860" s="672"/>
    </row>
    <row r="861">
      <c r="A861" s="507"/>
      <c r="B861" s="672"/>
    </row>
    <row r="862">
      <c r="A862" s="507"/>
      <c r="B862" s="672"/>
    </row>
    <row r="863">
      <c r="A863" s="507"/>
      <c r="B863" s="672"/>
    </row>
    <row r="864">
      <c r="A864" s="507"/>
      <c r="B864" s="672"/>
    </row>
    <row r="865">
      <c r="A865" s="507"/>
      <c r="B865" s="672"/>
    </row>
    <row r="866">
      <c r="A866" s="507"/>
      <c r="B866" s="672"/>
    </row>
    <row r="867">
      <c r="A867" s="507"/>
      <c r="B867" s="672"/>
    </row>
    <row r="868">
      <c r="A868" s="507"/>
      <c r="B868" s="672"/>
    </row>
    <row r="869">
      <c r="A869" s="507"/>
      <c r="B869" s="672"/>
    </row>
    <row r="870">
      <c r="A870" s="507"/>
      <c r="B870" s="672"/>
    </row>
    <row r="871">
      <c r="A871" s="507"/>
      <c r="B871" s="672"/>
    </row>
    <row r="872">
      <c r="A872" s="507"/>
      <c r="B872" s="672"/>
    </row>
    <row r="873">
      <c r="A873" s="507"/>
      <c r="B873" s="672"/>
    </row>
    <row r="874">
      <c r="A874" s="507"/>
      <c r="B874" s="672"/>
    </row>
    <row r="875">
      <c r="A875" s="507"/>
      <c r="B875" s="672"/>
    </row>
    <row r="876">
      <c r="A876" s="507"/>
      <c r="B876" s="672"/>
    </row>
    <row r="877">
      <c r="A877" s="507"/>
      <c r="B877" s="672"/>
    </row>
    <row r="878">
      <c r="A878" s="507"/>
      <c r="B878" s="672"/>
    </row>
    <row r="879">
      <c r="A879" s="507"/>
      <c r="B879" s="672"/>
    </row>
    <row r="880">
      <c r="A880" s="507"/>
      <c r="B880" s="672"/>
    </row>
    <row r="881">
      <c r="A881" s="507"/>
      <c r="B881" s="672"/>
    </row>
    <row r="882">
      <c r="A882" s="507"/>
      <c r="B882" s="672"/>
    </row>
    <row r="883">
      <c r="A883" s="507"/>
      <c r="B883" s="672"/>
    </row>
    <row r="884">
      <c r="A884" s="507"/>
      <c r="B884" s="672"/>
    </row>
    <row r="885">
      <c r="A885" s="507"/>
      <c r="B885" s="672"/>
    </row>
    <row r="886">
      <c r="A886" s="507"/>
      <c r="B886" s="672"/>
    </row>
    <row r="887">
      <c r="A887" s="507"/>
      <c r="B887" s="672"/>
    </row>
    <row r="888">
      <c r="A888" s="507"/>
      <c r="B888" s="672"/>
    </row>
    <row r="889">
      <c r="A889" s="507"/>
      <c r="B889" s="672"/>
    </row>
    <row r="890">
      <c r="A890" s="507"/>
      <c r="B890" s="672"/>
    </row>
    <row r="891">
      <c r="A891" s="507"/>
      <c r="B891" s="672"/>
    </row>
    <row r="892">
      <c r="A892" s="507"/>
      <c r="B892" s="672"/>
    </row>
    <row r="893">
      <c r="A893" s="507"/>
      <c r="B893" s="672"/>
    </row>
    <row r="894">
      <c r="A894" s="507"/>
      <c r="B894" s="672"/>
    </row>
    <row r="895">
      <c r="A895" s="507"/>
      <c r="B895" s="672"/>
    </row>
    <row r="896">
      <c r="A896" s="507"/>
      <c r="B896" s="672"/>
    </row>
    <row r="897">
      <c r="A897" s="507"/>
      <c r="B897" s="672"/>
    </row>
    <row r="898">
      <c r="A898" s="507"/>
      <c r="B898" s="672"/>
    </row>
    <row r="899">
      <c r="A899" s="507"/>
      <c r="B899" s="672"/>
    </row>
    <row r="900">
      <c r="A900" s="507"/>
      <c r="B900" s="672"/>
    </row>
    <row r="901">
      <c r="A901" s="507"/>
      <c r="B901" s="672"/>
    </row>
    <row r="902">
      <c r="A902" s="507"/>
      <c r="B902" s="672"/>
    </row>
    <row r="903">
      <c r="A903" s="507"/>
      <c r="B903" s="672"/>
    </row>
    <row r="904">
      <c r="A904" s="507"/>
      <c r="B904" s="672"/>
    </row>
    <row r="905">
      <c r="A905" s="507"/>
      <c r="B905" s="672"/>
    </row>
    <row r="906">
      <c r="A906" s="507"/>
      <c r="B906" s="672"/>
    </row>
    <row r="907">
      <c r="A907" s="507"/>
      <c r="B907" s="672"/>
    </row>
    <row r="908">
      <c r="A908" s="507"/>
      <c r="B908" s="672"/>
    </row>
    <row r="909">
      <c r="A909" s="507"/>
      <c r="B909" s="672"/>
    </row>
    <row r="910">
      <c r="A910" s="507"/>
      <c r="B910" s="672"/>
    </row>
    <row r="911">
      <c r="A911" s="507"/>
      <c r="B911" s="672"/>
    </row>
    <row r="912">
      <c r="A912" s="507"/>
      <c r="B912" s="672"/>
    </row>
    <row r="913">
      <c r="A913" s="507"/>
      <c r="B913" s="672"/>
    </row>
    <row r="914">
      <c r="A914" s="507"/>
      <c r="B914" s="672"/>
    </row>
    <row r="915">
      <c r="A915" s="507"/>
      <c r="B915" s="672"/>
    </row>
    <row r="916">
      <c r="A916" s="507"/>
      <c r="B916" s="672"/>
    </row>
    <row r="917">
      <c r="A917" s="507"/>
      <c r="B917" s="672"/>
    </row>
    <row r="918">
      <c r="A918" s="507"/>
      <c r="B918" s="672"/>
    </row>
    <row r="919">
      <c r="A919" s="507"/>
      <c r="B919" s="672"/>
    </row>
    <row r="920">
      <c r="A920" s="507"/>
      <c r="B920" s="672"/>
    </row>
    <row r="921">
      <c r="A921" s="507"/>
      <c r="B921" s="672"/>
    </row>
    <row r="922">
      <c r="A922" s="507"/>
      <c r="B922" s="672"/>
    </row>
    <row r="923">
      <c r="A923" s="507"/>
      <c r="B923" s="672"/>
    </row>
    <row r="924">
      <c r="A924" s="507"/>
      <c r="B924" s="672"/>
    </row>
    <row r="925">
      <c r="A925" s="507"/>
      <c r="B925" s="672"/>
    </row>
    <row r="926">
      <c r="A926" s="507"/>
      <c r="B926" s="672"/>
    </row>
    <row r="927">
      <c r="A927" s="507"/>
      <c r="B927" s="672"/>
    </row>
    <row r="928">
      <c r="A928" s="507"/>
      <c r="B928" s="672"/>
    </row>
    <row r="929">
      <c r="A929" s="507"/>
      <c r="B929" s="672"/>
    </row>
    <row r="930">
      <c r="A930" s="507"/>
      <c r="B930" s="672"/>
    </row>
    <row r="931">
      <c r="A931" s="507"/>
      <c r="B931" s="672"/>
    </row>
    <row r="932">
      <c r="A932" s="507"/>
      <c r="B932" s="672"/>
    </row>
    <row r="933">
      <c r="A933" s="507"/>
      <c r="B933" s="672"/>
    </row>
    <row r="934">
      <c r="A934" s="507"/>
      <c r="B934" s="672"/>
    </row>
    <row r="935">
      <c r="A935" s="507"/>
      <c r="B935" s="672"/>
    </row>
    <row r="936">
      <c r="A936" s="507"/>
      <c r="B936" s="672"/>
    </row>
    <row r="937">
      <c r="A937" s="507"/>
      <c r="B937" s="672"/>
    </row>
    <row r="938">
      <c r="A938" s="507"/>
      <c r="B938" s="672"/>
    </row>
    <row r="939">
      <c r="A939" s="507"/>
      <c r="B939" s="672"/>
    </row>
    <row r="940">
      <c r="A940" s="507"/>
      <c r="B940" s="672"/>
    </row>
    <row r="941">
      <c r="A941" s="507"/>
      <c r="B941" s="672"/>
    </row>
    <row r="942">
      <c r="A942" s="507"/>
      <c r="B942" s="672"/>
    </row>
    <row r="943">
      <c r="A943" s="507"/>
      <c r="B943" s="672"/>
    </row>
    <row r="944">
      <c r="A944" s="507"/>
      <c r="B944" s="672"/>
    </row>
    <row r="945">
      <c r="A945" s="507"/>
      <c r="B945" s="672"/>
    </row>
    <row r="946">
      <c r="A946" s="507"/>
      <c r="B946" s="672"/>
    </row>
    <row r="947">
      <c r="A947" s="507"/>
      <c r="B947" s="672"/>
    </row>
    <row r="948">
      <c r="A948" s="507"/>
      <c r="B948" s="672"/>
    </row>
    <row r="949">
      <c r="A949" s="507"/>
      <c r="B949" s="672"/>
    </row>
    <row r="950">
      <c r="A950" s="507"/>
      <c r="B950" s="672"/>
    </row>
    <row r="951">
      <c r="A951" s="507"/>
      <c r="B951" s="672"/>
    </row>
    <row r="952">
      <c r="A952" s="507"/>
      <c r="B952" s="672"/>
    </row>
    <row r="953">
      <c r="A953" s="507"/>
      <c r="B953" s="672"/>
    </row>
    <row r="954">
      <c r="A954" s="507"/>
      <c r="B954" s="672"/>
    </row>
    <row r="955">
      <c r="A955" s="507"/>
      <c r="B955" s="672"/>
    </row>
    <row r="956">
      <c r="A956" s="507"/>
      <c r="B956" s="672"/>
    </row>
    <row r="957">
      <c r="A957" s="507"/>
      <c r="B957" s="672"/>
    </row>
    <row r="958">
      <c r="A958" s="507"/>
      <c r="B958" s="672"/>
    </row>
    <row r="959">
      <c r="A959" s="507"/>
      <c r="B959" s="672"/>
    </row>
    <row r="960">
      <c r="A960" s="507"/>
      <c r="B960" s="672"/>
    </row>
    <row r="961">
      <c r="A961" s="507"/>
      <c r="B961" s="672"/>
    </row>
    <row r="962">
      <c r="A962" s="507"/>
      <c r="B962" s="672"/>
    </row>
    <row r="963">
      <c r="A963" s="507"/>
      <c r="B963" s="672"/>
    </row>
    <row r="964">
      <c r="A964" s="507"/>
      <c r="B964" s="672"/>
    </row>
    <row r="965">
      <c r="A965" s="507"/>
      <c r="B965" s="672"/>
    </row>
    <row r="966">
      <c r="A966" s="507"/>
      <c r="B966" s="672"/>
    </row>
    <row r="967">
      <c r="A967" s="507"/>
      <c r="B967" s="672"/>
    </row>
    <row r="968">
      <c r="A968" s="507"/>
      <c r="B968" s="672"/>
    </row>
    <row r="969">
      <c r="A969" s="507"/>
      <c r="B969" s="672"/>
    </row>
    <row r="970">
      <c r="A970" s="507"/>
      <c r="B970" s="672"/>
    </row>
    <row r="971">
      <c r="A971" s="507"/>
      <c r="B971" s="672"/>
    </row>
    <row r="972">
      <c r="A972" s="507"/>
      <c r="B972" s="672"/>
    </row>
    <row r="973">
      <c r="A973" s="507"/>
      <c r="B973" s="672"/>
    </row>
    <row r="974">
      <c r="A974" s="507"/>
      <c r="B974" s="672"/>
    </row>
    <row r="975">
      <c r="A975" s="507"/>
      <c r="B975" s="672"/>
    </row>
    <row r="976">
      <c r="A976" s="507"/>
      <c r="B976" s="672"/>
    </row>
    <row r="977">
      <c r="A977" s="507"/>
      <c r="B977" s="672"/>
    </row>
    <row r="978">
      <c r="A978" s="507"/>
      <c r="B978" s="672"/>
    </row>
    <row r="979">
      <c r="A979" s="507"/>
      <c r="B979" s="672"/>
    </row>
    <row r="980">
      <c r="A980" s="507"/>
      <c r="B980" s="672"/>
    </row>
    <row r="981">
      <c r="A981" s="507"/>
      <c r="B981" s="672"/>
    </row>
    <row r="982">
      <c r="A982" s="507"/>
      <c r="B982" s="672"/>
    </row>
    <row r="983">
      <c r="A983" s="507"/>
      <c r="B983" s="672"/>
    </row>
    <row r="984">
      <c r="A984" s="507"/>
      <c r="B984" s="672"/>
    </row>
    <row r="985">
      <c r="A985" s="507"/>
      <c r="B985" s="672"/>
    </row>
    <row r="986">
      <c r="A986" s="507"/>
      <c r="B986" s="672"/>
    </row>
    <row r="987">
      <c r="A987" s="507"/>
      <c r="B987" s="672"/>
    </row>
    <row r="988">
      <c r="A988" s="507"/>
      <c r="B988" s="672"/>
    </row>
    <row r="989">
      <c r="A989" s="507"/>
      <c r="B989" s="672"/>
    </row>
    <row r="990">
      <c r="A990" s="507"/>
      <c r="B990" s="672"/>
    </row>
    <row r="991">
      <c r="A991" s="507"/>
      <c r="B991" s="672"/>
    </row>
    <row r="992">
      <c r="A992" s="507"/>
      <c r="B992" s="672"/>
    </row>
    <row r="993">
      <c r="A993" s="507"/>
      <c r="B993" s="672"/>
    </row>
  </sheetData>
  <autoFilter ref="$A$1:$Z$54">
    <sortState ref="A1:Z54">
      <sortCondition descending="1" ref="B1:B54"/>
      <sortCondition ref="C1:C54"/>
      <sortCondition ref="A1:A54"/>
    </sortState>
  </autoFilter>
  <conditionalFormatting sqref="B2:B48">
    <cfRule type="cellIs" dxfId="9" priority="1" operator="greaterThanOrEqual">
      <formula>0.695</formula>
    </cfRule>
  </conditionalFormatting>
  <conditionalFormatting sqref="B2:B48">
    <cfRule type="cellIs" dxfId="10" priority="2" operator="greaterThanOrEqual">
      <formula>0.495</formula>
    </cfRule>
  </conditionalFormatting>
  <conditionalFormatting sqref="B2:B48">
    <cfRule type="cellIs" dxfId="11" priority="3" operator="lessThanOrEqual">
      <formula>0.495</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6.0"/>
    <col customWidth="1" min="3" max="3" width="8.5"/>
  </cols>
  <sheetData>
    <row r="1">
      <c r="A1" s="797" t="s">
        <v>161</v>
      </c>
      <c r="B1" s="223" t="s">
        <v>771</v>
      </c>
      <c r="C1" s="226" t="s">
        <v>769</v>
      </c>
      <c r="D1" s="798"/>
      <c r="E1" s="798"/>
      <c r="F1" s="798"/>
      <c r="G1" s="798"/>
      <c r="H1" s="798"/>
      <c r="I1" s="798"/>
      <c r="J1" s="798"/>
      <c r="K1" s="798"/>
      <c r="L1" s="798"/>
      <c r="M1" s="798"/>
      <c r="N1" s="798"/>
      <c r="O1" s="798"/>
      <c r="P1" s="798"/>
      <c r="Q1" s="798"/>
      <c r="R1" s="798"/>
      <c r="S1" s="798"/>
      <c r="T1" s="798"/>
      <c r="U1" s="798"/>
      <c r="V1" s="798"/>
      <c r="W1" s="798"/>
      <c r="X1" s="798"/>
      <c r="Y1" s="798"/>
      <c r="Z1" s="798"/>
    </row>
    <row r="2">
      <c r="A2" s="799" t="s">
        <v>268</v>
      </c>
      <c r="B2" s="483">
        <f t="array" ref="B2">'Impact Total Scores'!I6</f>
        <v>0.8095238095</v>
      </c>
      <c r="C2" s="319">
        <v>1.0</v>
      </c>
    </row>
    <row r="3">
      <c r="A3" s="799" t="s">
        <v>255</v>
      </c>
      <c r="B3" s="483">
        <f t="array" ref="B3">'Impact Total Scores'!I23</f>
        <v>0.8095238095</v>
      </c>
      <c r="C3" s="319">
        <v>1.0</v>
      </c>
    </row>
    <row r="4">
      <c r="A4" s="799" t="s">
        <v>338</v>
      </c>
      <c r="B4" s="483">
        <f t="array" ref="B4">'Impact Total Scores'!I11</f>
        <v>0.8095238095</v>
      </c>
      <c r="C4" s="319">
        <v>1.0</v>
      </c>
    </row>
    <row r="5">
      <c r="A5" s="799" t="s">
        <v>396</v>
      </c>
      <c r="B5" s="483">
        <f t="array" ref="B5">'Impact Total Scores'!I32</f>
        <v>0.8095238095</v>
      </c>
      <c r="C5" s="319">
        <v>1.0</v>
      </c>
    </row>
    <row r="6">
      <c r="A6" s="799" t="s">
        <v>299</v>
      </c>
      <c r="B6" s="483">
        <f t="array" ref="B6">'Impact Total Scores'!I42</f>
        <v>0.8095238095</v>
      </c>
      <c r="C6" s="319">
        <v>1.0</v>
      </c>
    </row>
    <row r="7">
      <c r="A7" s="799" t="s">
        <v>285</v>
      </c>
      <c r="B7" s="483">
        <f t="array" ref="B7">'Impact Total Scores'!I19</f>
        <v>0.8095238095</v>
      </c>
      <c r="C7" s="319">
        <v>1.0</v>
      </c>
    </row>
    <row r="8">
      <c r="A8" s="799" t="s">
        <v>417</v>
      </c>
      <c r="B8" s="483">
        <f t="array" ref="B8">'Impact Total Scores'!I51</f>
        <v>0.8095238095</v>
      </c>
      <c r="C8" s="319">
        <v>1.0</v>
      </c>
    </row>
    <row r="9">
      <c r="A9" s="799" t="s">
        <v>331</v>
      </c>
      <c r="B9" s="483">
        <f t="array" ref="B9">'Impact Total Scores'!I8</f>
        <v>0.7619047619</v>
      </c>
      <c r="C9" s="319">
        <v>2.0</v>
      </c>
    </row>
    <row r="10">
      <c r="A10" s="799" t="s">
        <v>276</v>
      </c>
      <c r="B10" s="483">
        <f t="array" ref="B10">'Impact Total Scores'!I18</f>
        <v>0.7619047619</v>
      </c>
      <c r="C10" s="319">
        <v>2.0</v>
      </c>
    </row>
    <row r="11">
      <c r="A11" s="799" t="s">
        <v>343</v>
      </c>
      <c r="B11" s="483">
        <f t="array" ref="B11">'Impact Total Scores'!I34</f>
        <v>0.7619047619</v>
      </c>
      <c r="C11" s="319">
        <v>2.0</v>
      </c>
    </row>
    <row r="12">
      <c r="A12" s="799" t="s">
        <v>296</v>
      </c>
      <c r="B12" s="483">
        <f t="array" ref="B12">'Impact Total Scores'!I40</f>
        <v>0.7619047619</v>
      </c>
      <c r="C12" s="319">
        <v>2.0</v>
      </c>
    </row>
    <row r="13">
      <c r="A13" s="799" t="s">
        <v>385</v>
      </c>
      <c r="B13" s="483">
        <f t="array" ref="B13">'Impact Total Scores'!I27</f>
        <v>0.7619047619</v>
      </c>
      <c r="C13" s="319">
        <v>2.0</v>
      </c>
    </row>
    <row r="14">
      <c r="A14" s="799" t="s">
        <v>280</v>
      </c>
      <c r="B14" s="483">
        <f t="array" ref="B14">'Impact Total Scores'!I29</f>
        <v>0.7619047619</v>
      </c>
      <c r="C14" s="319">
        <v>2.0</v>
      </c>
    </row>
    <row r="15">
      <c r="A15" s="799" t="s">
        <v>405</v>
      </c>
      <c r="B15" s="483">
        <f t="array" ref="B15">'Impact Total Scores'!I55</f>
        <v>0.7619047619</v>
      </c>
      <c r="C15" s="319">
        <v>2.0</v>
      </c>
    </row>
    <row r="16">
      <c r="A16" s="799" t="s">
        <v>266</v>
      </c>
      <c r="B16" s="483">
        <f t="array" ref="B16">'Impact Total Scores'!I26</f>
        <v>0.7619047619</v>
      </c>
      <c r="C16" s="319">
        <v>2.0</v>
      </c>
    </row>
    <row r="17">
      <c r="A17" s="799" t="s">
        <v>336</v>
      </c>
      <c r="B17" s="483">
        <f t="array" ref="B17">'Impact Total Scores'!I33</f>
        <v>0.7142857143</v>
      </c>
      <c r="C17" s="319">
        <v>3.0</v>
      </c>
    </row>
    <row r="18">
      <c r="A18" s="799" t="s">
        <v>356</v>
      </c>
      <c r="B18" s="483">
        <f t="array" ref="B18">'Impact Total Scores'!I16</f>
        <v>0.7142857143</v>
      </c>
      <c r="C18" s="319">
        <v>3.0</v>
      </c>
    </row>
    <row r="19">
      <c r="A19" s="799" t="s">
        <v>329</v>
      </c>
      <c r="B19" s="483">
        <f t="array" ref="B19">'Impact Total Scores'!I7</f>
        <v>0.7142857143</v>
      </c>
      <c r="C19" s="319">
        <v>3.0</v>
      </c>
    </row>
    <row r="20">
      <c r="A20" s="799" t="s">
        <v>340</v>
      </c>
      <c r="B20" s="483">
        <f t="array" ref="B20">'Impact Total Scores'!I12</f>
        <v>0.7142857143</v>
      </c>
      <c r="C20" s="319">
        <v>3.0</v>
      </c>
    </row>
    <row r="21">
      <c r="A21" s="799" t="s">
        <v>291</v>
      </c>
      <c r="B21" s="483">
        <f t="array" ref="B21">'Impact Total Scores'!I39</f>
        <v>0.7142857143</v>
      </c>
      <c r="C21" s="319">
        <v>3.0</v>
      </c>
    </row>
    <row r="22">
      <c r="A22" s="799" t="s">
        <v>418</v>
      </c>
      <c r="B22" s="483">
        <f t="array" ref="B22">'Impact Total Scores'!I52</f>
        <v>0.7142857143</v>
      </c>
      <c r="C22" s="319">
        <v>3.0</v>
      </c>
    </row>
    <row r="23">
      <c r="A23" s="799" t="s">
        <v>318</v>
      </c>
      <c r="B23" s="483">
        <f t="array" ref="B23">'Impact Total Scores'!I54</f>
        <v>0.7142857143</v>
      </c>
      <c r="C23" s="319">
        <v>3.0</v>
      </c>
    </row>
    <row r="24">
      <c r="A24" s="799" t="s">
        <v>411</v>
      </c>
      <c r="B24" s="483">
        <f t="array" ref="B24">'Impact Total Scores'!I45</f>
        <v>0.7142857143</v>
      </c>
      <c r="C24" s="319">
        <v>3.0</v>
      </c>
    </row>
    <row r="25">
      <c r="A25" s="799" t="s">
        <v>240</v>
      </c>
      <c r="B25" s="483">
        <f t="array" ref="B25">'Impact Total Scores'!I5</f>
        <v>0.7142857143</v>
      </c>
      <c r="C25" s="319">
        <v>3.0</v>
      </c>
    </row>
    <row r="26">
      <c r="A26" s="799" t="s">
        <v>399</v>
      </c>
      <c r="B26" s="483">
        <f t="array" ref="B26">'Impact Total Scores'!I35</f>
        <v>0.6666666667</v>
      </c>
      <c r="C26" s="319">
        <v>4.0</v>
      </c>
    </row>
    <row r="27">
      <c r="A27" s="799" t="s">
        <v>412</v>
      </c>
      <c r="B27" s="483">
        <f t="array" ref="B27">'Impact Total Scores'!I47</f>
        <v>0.6666666667</v>
      </c>
      <c r="C27" s="319">
        <v>4.0</v>
      </c>
    </row>
    <row r="28">
      <c r="A28" s="799" t="s">
        <v>416</v>
      </c>
      <c r="B28" s="483">
        <f t="array" ref="B28">'Impact Total Scores'!I50</f>
        <v>0.6666666667</v>
      </c>
      <c r="C28" s="319">
        <v>4.0</v>
      </c>
    </row>
    <row r="29">
      <c r="A29" s="799" t="s">
        <v>398</v>
      </c>
      <c r="B29" s="483">
        <f t="array" ref="B29">'Impact Total Scores'!I53</f>
        <v>0.6666666667</v>
      </c>
      <c r="C29" s="319">
        <v>4.0</v>
      </c>
    </row>
    <row r="30">
      <c r="A30" s="799" t="s">
        <v>333</v>
      </c>
      <c r="B30" s="483">
        <f t="array" ref="B30">'Impact Total Scores'!I9</f>
        <v>0.6666666667</v>
      </c>
      <c r="C30" s="319">
        <v>4.0</v>
      </c>
    </row>
    <row r="31">
      <c r="A31" s="799" t="s">
        <v>360</v>
      </c>
      <c r="B31" s="483">
        <f t="array" ref="B31">'Impact Total Scores'!I20</f>
        <v>0.6666666667</v>
      </c>
      <c r="C31" s="319">
        <v>4.0</v>
      </c>
    </row>
    <row r="32">
      <c r="A32" s="799" t="s">
        <v>363</v>
      </c>
      <c r="B32" s="483">
        <f t="array" ref="B32">'Impact Total Scores'!I22</f>
        <v>0.6666666667</v>
      </c>
      <c r="C32" s="319">
        <v>4.0</v>
      </c>
    </row>
    <row r="33">
      <c r="A33" s="799" t="s">
        <v>290</v>
      </c>
      <c r="B33" s="483">
        <f t="array" ref="B33">'Impact Total Scores'!I38</f>
        <v>0.6666666667</v>
      </c>
      <c r="C33" s="319">
        <v>4.0</v>
      </c>
    </row>
    <row r="34">
      <c r="A34" s="799" t="s">
        <v>302</v>
      </c>
      <c r="B34" s="483">
        <f t="array" ref="B34">'Impact Total Scores'!I43</f>
        <v>0.6666666667</v>
      </c>
      <c r="C34" s="319">
        <v>4.0</v>
      </c>
    </row>
    <row r="35">
      <c r="A35" s="799" t="s">
        <v>408</v>
      </c>
      <c r="B35" s="483">
        <f t="array" ref="B35">'Impact Total Scores'!I56</f>
        <v>0.6666666667</v>
      </c>
      <c r="C35" s="319">
        <v>4.0</v>
      </c>
    </row>
    <row r="36">
      <c r="A36" s="799" t="s">
        <v>313</v>
      </c>
      <c r="B36" s="483">
        <f t="array" ref="B36">'Impact Total Scores'!I49</f>
        <v>0.6666666667</v>
      </c>
      <c r="C36" s="319">
        <v>4.0</v>
      </c>
    </row>
    <row r="37">
      <c r="A37" s="799" t="s">
        <v>374</v>
      </c>
      <c r="B37" s="483">
        <f t="array" ref="B37">'Impact Total Scores'!I24</f>
        <v>0.619047619</v>
      </c>
      <c r="C37" s="319">
        <v>5.0</v>
      </c>
    </row>
    <row r="38">
      <c r="A38" s="799" t="s">
        <v>207</v>
      </c>
      <c r="B38" s="483">
        <f t="array" ref="B38">'Impact Total Scores'!I4</f>
        <v>0.619047619</v>
      </c>
      <c r="C38" s="319">
        <v>5.0</v>
      </c>
    </row>
    <row r="39">
      <c r="A39" s="799" t="s">
        <v>357</v>
      </c>
      <c r="B39" s="483">
        <f t="array" ref="B39">'Impact Total Scores'!I17</f>
        <v>0.619047619</v>
      </c>
      <c r="C39" s="319">
        <v>5.0</v>
      </c>
    </row>
    <row r="40">
      <c r="A40" s="799" t="s">
        <v>354</v>
      </c>
      <c r="B40" s="483">
        <f t="array" ref="B40">'Impact Total Scores'!I37</f>
        <v>0.619047619</v>
      </c>
      <c r="C40" s="319">
        <v>5.0</v>
      </c>
    </row>
    <row r="41">
      <c r="A41" s="799" t="s">
        <v>351</v>
      </c>
      <c r="B41" s="483">
        <f t="array" ref="B41">'Impact Total Scores'!I15</f>
        <v>0.619047619</v>
      </c>
      <c r="C41" s="319">
        <v>5.0</v>
      </c>
    </row>
    <row r="42">
      <c r="A42" s="799" t="s">
        <v>320</v>
      </c>
      <c r="B42" s="483">
        <f t="array" ref="B42">'Impact Total Scores'!I57</f>
        <v>0.5714285714</v>
      </c>
      <c r="C42" s="319">
        <v>6.0</v>
      </c>
    </row>
    <row r="43">
      <c r="A43" s="799" t="s">
        <v>394</v>
      </c>
      <c r="B43" s="483">
        <f t="array" ref="B43">'Impact Total Scores'!I31</f>
        <v>0.5714285714</v>
      </c>
      <c r="C43" s="319">
        <v>6.0</v>
      </c>
    </row>
    <row r="44">
      <c r="A44" s="799" t="s">
        <v>225</v>
      </c>
      <c r="B44" s="483">
        <f t="array" ref="B44">'Impact Total Scores'!I10</f>
        <v>0.5714285714</v>
      </c>
      <c r="C44" s="319">
        <v>6.0</v>
      </c>
    </row>
    <row r="45">
      <c r="A45" s="799" t="s">
        <v>342</v>
      </c>
      <c r="B45" s="483">
        <f t="array" ref="B45">'Impact Total Scores'!I13</f>
        <v>0.5714285714</v>
      </c>
      <c r="C45" s="319">
        <v>6.0</v>
      </c>
    </row>
    <row r="46">
      <c r="A46" s="799" t="s">
        <v>346</v>
      </c>
      <c r="B46" s="483">
        <f t="array" ref="B46">'Impact Total Scores'!I14</f>
        <v>0.5714285714</v>
      </c>
      <c r="C46" s="319">
        <v>6.0</v>
      </c>
    </row>
    <row r="47">
      <c r="A47" s="799" t="s">
        <v>392</v>
      </c>
      <c r="B47" s="483">
        <f t="array" ref="B47">'Impact Total Scores'!I30</f>
        <v>0.5714285714</v>
      </c>
      <c r="C47" s="319">
        <v>6.0</v>
      </c>
    </row>
    <row r="48">
      <c r="A48" s="799" t="s">
        <v>386</v>
      </c>
      <c r="B48" s="483">
        <f t="array" ref="B48">'Impact Total Scores'!I28</f>
        <v>0.5238095238</v>
      </c>
      <c r="C48" s="319">
        <v>7.0</v>
      </c>
    </row>
    <row r="49">
      <c r="A49" s="799" t="s">
        <v>401</v>
      </c>
      <c r="B49" s="483">
        <f t="array" ref="B49">'Impact Total Scores'!I36</f>
        <v>0.5238095238</v>
      </c>
      <c r="C49" s="319">
        <v>7.0</v>
      </c>
    </row>
    <row r="50">
      <c r="A50" s="799" t="s">
        <v>410</v>
      </c>
      <c r="B50" s="483">
        <f t="array" ref="B50">'Impact Total Scores'!I44</f>
        <v>0.5238095238</v>
      </c>
      <c r="C50" s="319">
        <v>7.0</v>
      </c>
    </row>
    <row r="51">
      <c r="A51" s="799" t="s">
        <v>407</v>
      </c>
      <c r="B51" s="483">
        <f t="array" ref="B51">'Impact Total Scores'!I41</f>
        <v>0.5238095238</v>
      </c>
      <c r="C51" s="319">
        <v>7.0</v>
      </c>
    </row>
    <row r="52">
      <c r="A52" s="799" t="s">
        <v>309</v>
      </c>
      <c r="B52" s="483">
        <f t="array" ref="B52">'Impact Total Scores'!I46</f>
        <v>0.4761904762</v>
      </c>
      <c r="C52" s="319">
        <v>8.0</v>
      </c>
    </row>
    <row r="53">
      <c r="A53" s="799" t="s">
        <v>263</v>
      </c>
      <c r="B53" s="483">
        <f t="array" ref="B53">'Impact Total Scores'!I25</f>
        <v>0.4761904762</v>
      </c>
      <c r="C53" s="319">
        <v>8.0</v>
      </c>
    </row>
    <row r="54">
      <c r="A54" s="799" t="s">
        <v>362</v>
      </c>
      <c r="B54" s="483">
        <f t="array" ref="B54">'Impact Total Scores'!I21</f>
        <v>0.4666666667</v>
      </c>
      <c r="C54" s="319">
        <v>9.0</v>
      </c>
    </row>
    <row r="55">
      <c r="A55" s="806" t="s">
        <v>415</v>
      </c>
      <c r="B55" s="643">
        <f t="array" ref="B55">'Impact Total Scores'!I48</f>
        <v>0.4285714286</v>
      </c>
      <c r="C55" s="794">
        <v>10.0</v>
      </c>
    </row>
    <row r="56">
      <c r="A56" s="507"/>
      <c r="C56" s="22" t="s">
        <v>772</v>
      </c>
    </row>
    <row r="57">
      <c r="A57" s="515"/>
    </row>
    <row r="58">
      <c r="A58" s="515"/>
    </row>
    <row r="59">
      <c r="A59" s="507"/>
    </row>
    <row r="60">
      <c r="A60" s="507"/>
    </row>
    <row r="61">
      <c r="A61" s="507"/>
    </row>
    <row r="62">
      <c r="A62" s="507"/>
    </row>
    <row r="63">
      <c r="A63" s="507"/>
    </row>
    <row r="64">
      <c r="A64" s="507"/>
    </row>
    <row r="65">
      <c r="A65" s="507"/>
    </row>
    <row r="66">
      <c r="A66" s="507"/>
    </row>
    <row r="67">
      <c r="A67" s="507"/>
    </row>
    <row r="68">
      <c r="A68" s="507"/>
    </row>
    <row r="69">
      <c r="A69" s="507"/>
    </row>
    <row r="70">
      <c r="A70" s="507"/>
    </row>
    <row r="71">
      <c r="A71" s="507"/>
    </row>
    <row r="72">
      <c r="A72" s="507"/>
    </row>
    <row r="73">
      <c r="A73" s="507"/>
    </row>
    <row r="74">
      <c r="A74" s="507"/>
    </row>
    <row r="75">
      <c r="A75" s="507"/>
    </row>
    <row r="76">
      <c r="A76" s="507"/>
    </row>
    <row r="77">
      <c r="A77" s="507"/>
    </row>
    <row r="78">
      <c r="A78" s="507"/>
    </row>
    <row r="79">
      <c r="A79" s="507"/>
    </row>
    <row r="80">
      <c r="A80" s="507"/>
    </row>
    <row r="81">
      <c r="A81" s="507"/>
    </row>
    <row r="82">
      <c r="A82" s="507"/>
    </row>
    <row r="83">
      <c r="A83" s="507"/>
    </row>
    <row r="84">
      <c r="A84" s="507"/>
    </row>
    <row r="85">
      <c r="A85" s="507"/>
    </row>
    <row r="86">
      <c r="A86" s="507"/>
    </row>
    <row r="87">
      <c r="A87" s="507"/>
    </row>
    <row r="88">
      <c r="A88" s="507"/>
    </row>
    <row r="89">
      <c r="A89" s="507"/>
    </row>
    <row r="90">
      <c r="A90" s="507"/>
    </row>
    <row r="91">
      <c r="A91" s="507"/>
    </row>
    <row r="92">
      <c r="A92" s="507"/>
    </row>
    <row r="93">
      <c r="A93" s="507"/>
    </row>
    <row r="94">
      <c r="A94" s="507"/>
    </row>
    <row r="95">
      <c r="A95" s="507"/>
    </row>
    <row r="96">
      <c r="A96" s="507"/>
    </row>
    <row r="97">
      <c r="A97" s="507"/>
    </row>
    <row r="98">
      <c r="A98" s="507"/>
    </row>
    <row r="99">
      <c r="A99" s="507"/>
    </row>
    <row r="100">
      <c r="A100" s="507"/>
    </row>
    <row r="101">
      <c r="A101" s="507"/>
    </row>
    <row r="102">
      <c r="A102" s="507"/>
    </row>
    <row r="103">
      <c r="A103" s="507"/>
    </row>
    <row r="104">
      <c r="A104" s="507"/>
    </row>
    <row r="105">
      <c r="A105" s="507"/>
    </row>
    <row r="106">
      <c r="A106" s="507"/>
    </row>
    <row r="107">
      <c r="A107" s="507"/>
    </row>
    <row r="108">
      <c r="A108" s="507"/>
    </row>
    <row r="109">
      <c r="A109" s="507"/>
    </row>
    <row r="110">
      <c r="A110" s="507"/>
    </row>
    <row r="111">
      <c r="A111" s="507"/>
    </row>
    <row r="112">
      <c r="A112" s="507"/>
    </row>
    <row r="113">
      <c r="A113" s="507"/>
    </row>
    <row r="114">
      <c r="A114" s="507"/>
    </row>
    <row r="115">
      <c r="A115" s="507"/>
    </row>
    <row r="116">
      <c r="A116" s="507"/>
    </row>
    <row r="117">
      <c r="A117" s="507"/>
    </row>
    <row r="118">
      <c r="A118" s="507"/>
    </row>
    <row r="119">
      <c r="A119" s="507"/>
    </row>
    <row r="120">
      <c r="A120" s="507"/>
    </row>
    <row r="121">
      <c r="A121" s="507"/>
    </row>
    <row r="122">
      <c r="A122" s="507"/>
    </row>
    <row r="123">
      <c r="A123" s="507"/>
    </row>
    <row r="124">
      <c r="A124" s="507"/>
    </row>
    <row r="125">
      <c r="A125" s="507"/>
    </row>
    <row r="126">
      <c r="A126" s="507"/>
    </row>
    <row r="127">
      <c r="A127" s="507"/>
    </row>
    <row r="128">
      <c r="A128" s="507"/>
    </row>
    <row r="129">
      <c r="A129" s="507"/>
    </row>
    <row r="130">
      <c r="A130" s="507"/>
    </row>
    <row r="131">
      <c r="A131" s="507"/>
    </row>
    <row r="132">
      <c r="A132" s="507"/>
    </row>
    <row r="133">
      <c r="A133" s="507"/>
    </row>
    <row r="134">
      <c r="A134" s="507"/>
    </row>
    <row r="135">
      <c r="A135" s="507"/>
    </row>
    <row r="136">
      <c r="A136" s="507"/>
    </row>
    <row r="137">
      <c r="A137" s="507"/>
    </row>
    <row r="138">
      <c r="A138" s="507"/>
    </row>
    <row r="139">
      <c r="A139" s="507"/>
    </row>
    <row r="140">
      <c r="A140" s="507"/>
    </row>
    <row r="141">
      <c r="A141" s="507"/>
    </row>
    <row r="142">
      <c r="A142" s="507"/>
    </row>
    <row r="143">
      <c r="A143" s="507"/>
    </row>
    <row r="144">
      <c r="A144" s="507"/>
    </row>
    <row r="145">
      <c r="A145" s="507"/>
    </row>
    <row r="146">
      <c r="A146" s="507"/>
    </row>
    <row r="147">
      <c r="A147" s="507"/>
    </row>
    <row r="148">
      <c r="A148" s="507"/>
    </row>
    <row r="149">
      <c r="A149" s="507"/>
    </row>
    <row r="150">
      <c r="A150" s="507"/>
    </row>
    <row r="151">
      <c r="A151" s="507"/>
    </row>
    <row r="152">
      <c r="A152" s="507"/>
    </row>
    <row r="153">
      <c r="A153" s="507"/>
    </row>
    <row r="154">
      <c r="A154" s="507"/>
    </row>
    <row r="155">
      <c r="A155" s="507"/>
    </row>
    <row r="156">
      <c r="A156" s="507"/>
    </row>
    <row r="157">
      <c r="A157" s="507"/>
    </row>
    <row r="158">
      <c r="A158" s="507"/>
    </row>
    <row r="159">
      <c r="A159" s="507"/>
    </row>
    <row r="160">
      <c r="A160" s="507"/>
    </row>
    <row r="161">
      <c r="A161" s="507"/>
    </row>
    <row r="162">
      <c r="A162" s="507"/>
    </row>
    <row r="163">
      <c r="A163" s="507"/>
    </row>
    <row r="164">
      <c r="A164" s="507"/>
    </row>
    <row r="165">
      <c r="A165" s="507"/>
    </row>
    <row r="166">
      <c r="A166" s="507"/>
    </row>
    <row r="167">
      <c r="A167" s="507"/>
    </row>
    <row r="168">
      <c r="A168" s="507"/>
    </row>
    <row r="169">
      <c r="A169" s="507"/>
    </row>
    <row r="170">
      <c r="A170" s="507"/>
    </row>
    <row r="171">
      <c r="A171" s="507"/>
    </row>
    <row r="172">
      <c r="A172" s="507"/>
    </row>
    <row r="173">
      <c r="A173" s="507"/>
    </row>
    <row r="174">
      <c r="A174" s="507"/>
    </row>
    <row r="175">
      <c r="A175" s="507"/>
    </row>
    <row r="176">
      <c r="A176" s="507"/>
    </row>
    <row r="177">
      <c r="A177" s="507"/>
    </row>
    <row r="178">
      <c r="A178" s="507"/>
    </row>
    <row r="179">
      <c r="A179" s="507"/>
    </row>
    <row r="180">
      <c r="A180" s="507"/>
    </row>
    <row r="181">
      <c r="A181" s="507"/>
    </row>
    <row r="182">
      <c r="A182" s="507"/>
    </row>
    <row r="183">
      <c r="A183" s="507"/>
    </row>
    <row r="184">
      <c r="A184" s="507"/>
    </row>
    <row r="185">
      <c r="A185" s="507"/>
    </row>
    <row r="186">
      <c r="A186" s="507"/>
    </row>
    <row r="187">
      <c r="A187" s="507"/>
    </row>
    <row r="188">
      <c r="A188" s="507"/>
    </row>
    <row r="189">
      <c r="A189" s="507"/>
    </row>
    <row r="190">
      <c r="A190" s="507"/>
    </row>
    <row r="191">
      <c r="A191" s="507"/>
    </row>
    <row r="192">
      <c r="A192" s="507"/>
    </row>
    <row r="193">
      <c r="A193" s="507"/>
    </row>
    <row r="194">
      <c r="A194" s="507"/>
    </row>
    <row r="195">
      <c r="A195" s="507"/>
    </row>
    <row r="196">
      <c r="A196" s="507"/>
    </row>
    <row r="197">
      <c r="A197" s="507"/>
    </row>
    <row r="198">
      <c r="A198" s="507"/>
    </row>
    <row r="199">
      <c r="A199" s="507"/>
    </row>
    <row r="200">
      <c r="A200" s="507"/>
    </row>
    <row r="201">
      <c r="A201" s="507"/>
    </row>
    <row r="202">
      <c r="A202" s="507"/>
    </row>
    <row r="203">
      <c r="A203" s="507"/>
    </row>
    <row r="204">
      <c r="A204" s="507"/>
    </row>
    <row r="205">
      <c r="A205" s="507"/>
    </row>
    <row r="206">
      <c r="A206" s="507"/>
    </row>
    <row r="207">
      <c r="A207" s="507"/>
    </row>
    <row r="208">
      <c r="A208" s="507"/>
    </row>
    <row r="209">
      <c r="A209" s="507"/>
    </row>
    <row r="210">
      <c r="A210" s="507"/>
    </row>
    <row r="211">
      <c r="A211" s="507"/>
    </row>
    <row r="212">
      <c r="A212" s="507"/>
    </row>
    <row r="213">
      <c r="A213" s="507"/>
    </row>
    <row r="214">
      <c r="A214" s="507"/>
    </row>
    <row r="215">
      <c r="A215" s="507"/>
    </row>
    <row r="216">
      <c r="A216" s="507"/>
    </row>
    <row r="217">
      <c r="A217" s="507"/>
    </row>
    <row r="218">
      <c r="A218" s="507"/>
    </row>
    <row r="219">
      <c r="A219" s="507"/>
    </row>
    <row r="220">
      <c r="A220" s="507"/>
    </row>
    <row r="221">
      <c r="A221" s="507"/>
    </row>
    <row r="222">
      <c r="A222" s="507"/>
    </row>
    <row r="223">
      <c r="A223" s="507"/>
    </row>
    <row r="224">
      <c r="A224" s="507"/>
    </row>
    <row r="225">
      <c r="A225" s="507"/>
    </row>
    <row r="226">
      <c r="A226" s="507"/>
    </row>
    <row r="227">
      <c r="A227" s="507"/>
    </row>
    <row r="228">
      <c r="A228" s="507"/>
    </row>
    <row r="229">
      <c r="A229" s="507"/>
    </row>
    <row r="230">
      <c r="A230" s="507"/>
    </row>
    <row r="231">
      <c r="A231" s="507"/>
    </row>
    <row r="232">
      <c r="A232" s="507"/>
    </row>
    <row r="233">
      <c r="A233" s="507"/>
    </row>
    <row r="234">
      <c r="A234" s="507"/>
    </row>
    <row r="235">
      <c r="A235" s="507"/>
    </row>
    <row r="236">
      <c r="A236" s="507"/>
    </row>
    <row r="237">
      <c r="A237" s="507"/>
    </row>
    <row r="238">
      <c r="A238" s="507"/>
    </row>
    <row r="239">
      <c r="A239" s="507"/>
    </row>
    <row r="240">
      <c r="A240" s="507"/>
    </row>
    <row r="241">
      <c r="A241" s="507"/>
    </row>
    <row r="242">
      <c r="A242" s="507"/>
    </row>
    <row r="243">
      <c r="A243" s="507"/>
    </row>
    <row r="244">
      <c r="A244" s="507"/>
    </row>
    <row r="245">
      <c r="A245" s="507"/>
    </row>
    <row r="246">
      <c r="A246" s="507"/>
    </row>
    <row r="247">
      <c r="A247" s="507"/>
    </row>
    <row r="248">
      <c r="A248" s="507"/>
    </row>
    <row r="249">
      <c r="A249" s="507"/>
    </row>
    <row r="250">
      <c r="A250" s="507"/>
    </row>
    <row r="251">
      <c r="A251" s="507"/>
    </row>
    <row r="252">
      <c r="A252" s="507"/>
    </row>
    <row r="253">
      <c r="A253" s="507"/>
    </row>
    <row r="254">
      <c r="A254" s="507"/>
    </row>
    <row r="255">
      <c r="A255" s="507"/>
    </row>
    <row r="256">
      <c r="A256" s="507"/>
    </row>
    <row r="257">
      <c r="A257" s="507"/>
    </row>
    <row r="258">
      <c r="A258" s="507"/>
    </row>
    <row r="259">
      <c r="A259" s="507"/>
    </row>
    <row r="260">
      <c r="A260" s="507"/>
    </row>
    <row r="261">
      <c r="A261" s="507"/>
    </row>
    <row r="262">
      <c r="A262" s="507"/>
    </row>
    <row r="263">
      <c r="A263" s="507"/>
    </row>
    <row r="264">
      <c r="A264" s="507"/>
    </row>
    <row r="265">
      <c r="A265" s="507"/>
    </row>
    <row r="266">
      <c r="A266" s="507"/>
    </row>
    <row r="267">
      <c r="A267" s="507"/>
    </row>
    <row r="268">
      <c r="A268" s="507"/>
    </row>
    <row r="269">
      <c r="A269" s="507"/>
    </row>
    <row r="270">
      <c r="A270" s="507"/>
    </row>
    <row r="271">
      <c r="A271" s="507"/>
    </row>
    <row r="272">
      <c r="A272" s="507"/>
    </row>
    <row r="273">
      <c r="A273" s="507"/>
    </row>
    <row r="274">
      <c r="A274" s="507"/>
    </row>
    <row r="275">
      <c r="A275" s="507"/>
    </row>
    <row r="276">
      <c r="A276" s="507"/>
    </row>
    <row r="277">
      <c r="A277" s="507"/>
    </row>
    <row r="278">
      <c r="A278" s="507"/>
    </row>
    <row r="279">
      <c r="A279" s="507"/>
    </row>
    <row r="280">
      <c r="A280" s="507"/>
    </row>
    <row r="281">
      <c r="A281" s="507"/>
    </row>
    <row r="282">
      <c r="A282" s="507"/>
    </row>
    <row r="283">
      <c r="A283" s="507"/>
    </row>
    <row r="284">
      <c r="A284" s="507"/>
    </row>
    <row r="285">
      <c r="A285" s="507"/>
    </row>
    <row r="286">
      <c r="A286" s="507"/>
    </row>
    <row r="287">
      <c r="A287" s="507"/>
    </row>
    <row r="288">
      <c r="A288" s="507"/>
    </row>
    <row r="289">
      <c r="A289" s="507"/>
    </row>
    <row r="290">
      <c r="A290" s="507"/>
    </row>
    <row r="291">
      <c r="A291" s="507"/>
    </row>
    <row r="292">
      <c r="A292" s="507"/>
    </row>
    <row r="293">
      <c r="A293" s="507"/>
    </row>
    <row r="294">
      <c r="A294" s="507"/>
    </row>
    <row r="295">
      <c r="A295" s="507"/>
    </row>
    <row r="296">
      <c r="A296" s="507"/>
    </row>
    <row r="297">
      <c r="A297" s="507"/>
    </row>
    <row r="298">
      <c r="A298" s="507"/>
    </row>
    <row r="299">
      <c r="A299" s="507"/>
    </row>
    <row r="300">
      <c r="A300" s="507"/>
    </row>
    <row r="301">
      <c r="A301" s="507"/>
    </row>
    <row r="302">
      <c r="A302" s="507"/>
    </row>
    <row r="303">
      <c r="A303" s="507"/>
    </row>
    <row r="304">
      <c r="A304" s="507"/>
    </row>
    <row r="305">
      <c r="A305" s="507"/>
    </row>
    <row r="306">
      <c r="A306" s="507"/>
    </row>
    <row r="307">
      <c r="A307" s="507"/>
    </row>
    <row r="308">
      <c r="A308" s="507"/>
    </row>
    <row r="309">
      <c r="A309" s="507"/>
    </row>
    <row r="310">
      <c r="A310" s="507"/>
    </row>
    <row r="311">
      <c r="A311" s="507"/>
    </row>
    <row r="312">
      <c r="A312" s="507"/>
    </row>
    <row r="313">
      <c r="A313" s="507"/>
    </row>
    <row r="314">
      <c r="A314" s="507"/>
    </row>
    <row r="315">
      <c r="A315" s="507"/>
    </row>
    <row r="316">
      <c r="A316" s="507"/>
    </row>
    <row r="317">
      <c r="A317" s="507"/>
    </row>
    <row r="318">
      <c r="A318" s="507"/>
    </row>
    <row r="319">
      <c r="A319" s="507"/>
    </row>
    <row r="320">
      <c r="A320" s="507"/>
    </row>
    <row r="321">
      <c r="A321" s="507"/>
    </row>
    <row r="322">
      <c r="A322" s="507"/>
    </row>
    <row r="323">
      <c r="A323" s="507"/>
    </row>
    <row r="324">
      <c r="A324" s="507"/>
    </row>
    <row r="325">
      <c r="A325" s="507"/>
    </row>
    <row r="326">
      <c r="A326" s="507"/>
    </row>
    <row r="327">
      <c r="A327" s="507"/>
    </row>
    <row r="328">
      <c r="A328" s="507"/>
    </row>
    <row r="329">
      <c r="A329" s="507"/>
    </row>
    <row r="330">
      <c r="A330" s="507"/>
    </row>
    <row r="331">
      <c r="A331" s="507"/>
    </row>
    <row r="332">
      <c r="A332" s="507"/>
    </row>
    <row r="333">
      <c r="A333" s="507"/>
    </row>
    <row r="334">
      <c r="A334" s="507"/>
    </row>
    <row r="335">
      <c r="A335" s="507"/>
    </row>
    <row r="336">
      <c r="A336" s="507"/>
    </row>
    <row r="337">
      <c r="A337" s="507"/>
    </row>
    <row r="338">
      <c r="A338" s="507"/>
    </row>
    <row r="339">
      <c r="A339" s="507"/>
    </row>
    <row r="340">
      <c r="A340" s="507"/>
    </row>
    <row r="341">
      <c r="A341" s="507"/>
    </row>
    <row r="342">
      <c r="A342" s="507"/>
    </row>
    <row r="343">
      <c r="A343" s="507"/>
    </row>
    <row r="344">
      <c r="A344" s="507"/>
    </row>
    <row r="345">
      <c r="A345" s="507"/>
    </row>
    <row r="346">
      <c r="A346" s="507"/>
    </row>
    <row r="347">
      <c r="A347" s="507"/>
    </row>
    <row r="348">
      <c r="A348" s="507"/>
    </row>
    <row r="349">
      <c r="A349" s="507"/>
    </row>
    <row r="350">
      <c r="A350" s="507"/>
    </row>
    <row r="351">
      <c r="A351" s="507"/>
    </row>
    <row r="352">
      <c r="A352" s="507"/>
    </row>
    <row r="353">
      <c r="A353" s="507"/>
    </row>
    <row r="354">
      <c r="A354" s="507"/>
    </row>
    <row r="355">
      <c r="A355" s="507"/>
    </row>
    <row r="356">
      <c r="A356" s="507"/>
    </row>
    <row r="357">
      <c r="A357" s="507"/>
    </row>
    <row r="358">
      <c r="A358" s="507"/>
    </row>
    <row r="359">
      <c r="A359" s="507"/>
    </row>
    <row r="360">
      <c r="A360" s="507"/>
    </row>
    <row r="361">
      <c r="A361" s="507"/>
    </row>
    <row r="362">
      <c r="A362" s="507"/>
    </row>
    <row r="363">
      <c r="A363" s="507"/>
    </row>
    <row r="364">
      <c r="A364" s="507"/>
    </row>
    <row r="365">
      <c r="A365" s="507"/>
    </row>
    <row r="366">
      <c r="A366" s="507"/>
    </row>
    <row r="367">
      <c r="A367" s="507"/>
    </row>
    <row r="368">
      <c r="A368" s="507"/>
    </row>
    <row r="369">
      <c r="A369" s="507"/>
    </row>
    <row r="370">
      <c r="A370" s="507"/>
    </row>
    <row r="371">
      <c r="A371" s="507"/>
    </row>
    <row r="372">
      <c r="A372" s="507"/>
    </row>
    <row r="373">
      <c r="A373" s="507"/>
    </row>
    <row r="374">
      <c r="A374" s="507"/>
    </row>
    <row r="375">
      <c r="A375" s="507"/>
    </row>
    <row r="376">
      <c r="A376" s="507"/>
    </row>
    <row r="377">
      <c r="A377" s="507"/>
    </row>
    <row r="378">
      <c r="A378" s="507"/>
    </row>
    <row r="379">
      <c r="A379" s="507"/>
    </row>
    <row r="380">
      <c r="A380" s="507"/>
    </row>
    <row r="381">
      <c r="A381" s="507"/>
    </row>
    <row r="382">
      <c r="A382" s="507"/>
    </row>
    <row r="383">
      <c r="A383" s="507"/>
    </row>
    <row r="384">
      <c r="A384" s="507"/>
    </row>
    <row r="385">
      <c r="A385" s="507"/>
    </row>
    <row r="386">
      <c r="A386" s="507"/>
    </row>
    <row r="387">
      <c r="A387" s="507"/>
    </row>
    <row r="388">
      <c r="A388" s="507"/>
    </row>
    <row r="389">
      <c r="A389" s="507"/>
    </row>
    <row r="390">
      <c r="A390" s="507"/>
    </row>
    <row r="391">
      <c r="A391" s="507"/>
    </row>
    <row r="392">
      <c r="A392" s="507"/>
    </row>
    <row r="393">
      <c r="A393" s="507"/>
    </row>
    <row r="394">
      <c r="A394" s="507"/>
    </row>
    <row r="395">
      <c r="A395" s="507"/>
    </row>
    <row r="396">
      <c r="A396" s="507"/>
    </row>
    <row r="397">
      <c r="A397" s="507"/>
    </row>
    <row r="398">
      <c r="A398" s="507"/>
    </row>
    <row r="399">
      <c r="A399" s="507"/>
    </row>
    <row r="400">
      <c r="A400" s="507"/>
    </row>
    <row r="401">
      <c r="A401" s="507"/>
    </row>
    <row r="402">
      <c r="A402" s="507"/>
    </row>
    <row r="403">
      <c r="A403" s="507"/>
    </row>
    <row r="404">
      <c r="A404" s="507"/>
    </row>
    <row r="405">
      <c r="A405" s="507"/>
    </row>
    <row r="406">
      <c r="A406" s="507"/>
    </row>
    <row r="407">
      <c r="A407" s="507"/>
    </row>
    <row r="408">
      <c r="A408" s="507"/>
    </row>
    <row r="409">
      <c r="A409" s="507"/>
    </row>
    <row r="410">
      <c r="A410" s="507"/>
    </row>
    <row r="411">
      <c r="A411" s="507"/>
    </row>
    <row r="412">
      <c r="A412" s="507"/>
    </row>
    <row r="413">
      <c r="A413" s="507"/>
    </row>
    <row r="414">
      <c r="A414" s="507"/>
    </row>
    <row r="415">
      <c r="A415" s="507"/>
    </row>
    <row r="416">
      <c r="A416" s="507"/>
    </row>
    <row r="417">
      <c r="A417" s="507"/>
    </row>
    <row r="418">
      <c r="A418" s="507"/>
    </row>
    <row r="419">
      <c r="A419" s="507"/>
    </row>
    <row r="420">
      <c r="A420" s="507"/>
    </row>
    <row r="421">
      <c r="A421" s="507"/>
    </row>
    <row r="422">
      <c r="A422" s="507"/>
    </row>
    <row r="423">
      <c r="A423" s="507"/>
    </row>
    <row r="424">
      <c r="A424" s="507"/>
    </row>
    <row r="425">
      <c r="A425" s="507"/>
    </row>
    <row r="426">
      <c r="A426" s="507"/>
    </row>
    <row r="427">
      <c r="A427" s="507"/>
    </row>
    <row r="428">
      <c r="A428" s="507"/>
    </row>
    <row r="429">
      <c r="A429" s="507"/>
    </row>
    <row r="430">
      <c r="A430" s="507"/>
    </row>
    <row r="431">
      <c r="A431" s="507"/>
    </row>
    <row r="432">
      <c r="A432" s="507"/>
    </row>
    <row r="433">
      <c r="A433" s="507"/>
    </row>
    <row r="434">
      <c r="A434" s="507"/>
    </row>
    <row r="435">
      <c r="A435" s="507"/>
    </row>
    <row r="436">
      <c r="A436" s="507"/>
    </row>
    <row r="437">
      <c r="A437" s="507"/>
    </row>
    <row r="438">
      <c r="A438" s="507"/>
    </row>
    <row r="439">
      <c r="A439" s="507"/>
    </row>
    <row r="440">
      <c r="A440" s="507"/>
    </row>
    <row r="441">
      <c r="A441" s="507"/>
    </row>
    <row r="442">
      <c r="A442" s="507"/>
    </row>
    <row r="443">
      <c r="A443" s="507"/>
    </row>
    <row r="444">
      <c r="A444" s="507"/>
    </row>
    <row r="445">
      <c r="A445" s="507"/>
    </row>
    <row r="446">
      <c r="A446" s="507"/>
    </row>
    <row r="447">
      <c r="A447" s="507"/>
    </row>
    <row r="448">
      <c r="A448" s="507"/>
    </row>
    <row r="449">
      <c r="A449" s="507"/>
    </row>
    <row r="450">
      <c r="A450" s="507"/>
    </row>
    <row r="451">
      <c r="A451" s="507"/>
    </row>
    <row r="452">
      <c r="A452" s="507"/>
    </row>
    <row r="453">
      <c r="A453" s="507"/>
    </row>
    <row r="454">
      <c r="A454" s="507"/>
    </row>
    <row r="455">
      <c r="A455" s="507"/>
    </row>
    <row r="456">
      <c r="A456" s="507"/>
    </row>
    <row r="457">
      <c r="A457" s="507"/>
    </row>
    <row r="458">
      <c r="A458" s="507"/>
    </row>
    <row r="459">
      <c r="A459" s="507"/>
    </row>
    <row r="460">
      <c r="A460" s="507"/>
    </row>
    <row r="461">
      <c r="A461" s="507"/>
    </row>
    <row r="462">
      <c r="A462" s="507"/>
    </row>
    <row r="463">
      <c r="A463" s="507"/>
    </row>
    <row r="464">
      <c r="A464" s="507"/>
    </row>
    <row r="465">
      <c r="A465" s="507"/>
    </row>
    <row r="466">
      <c r="A466" s="507"/>
    </row>
    <row r="467">
      <c r="A467" s="507"/>
    </row>
    <row r="468">
      <c r="A468" s="507"/>
    </row>
    <row r="469">
      <c r="A469" s="507"/>
    </row>
    <row r="470">
      <c r="A470" s="507"/>
    </row>
    <row r="471">
      <c r="A471" s="507"/>
    </row>
    <row r="472">
      <c r="A472" s="507"/>
    </row>
    <row r="473">
      <c r="A473" s="507"/>
    </row>
    <row r="474">
      <c r="A474" s="507"/>
    </row>
    <row r="475">
      <c r="A475" s="507"/>
    </row>
    <row r="476">
      <c r="A476" s="507"/>
    </row>
    <row r="477">
      <c r="A477" s="507"/>
    </row>
    <row r="478">
      <c r="A478" s="507"/>
    </row>
    <row r="479">
      <c r="A479" s="507"/>
    </row>
    <row r="480">
      <c r="A480" s="507"/>
    </row>
    <row r="481">
      <c r="A481" s="507"/>
    </row>
    <row r="482">
      <c r="A482" s="507"/>
    </row>
    <row r="483">
      <c r="A483" s="507"/>
    </row>
    <row r="484">
      <c r="A484" s="507"/>
    </row>
    <row r="485">
      <c r="A485" s="507"/>
    </row>
    <row r="486">
      <c r="A486" s="507"/>
    </row>
    <row r="487">
      <c r="A487" s="507"/>
    </row>
    <row r="488">
      <c r="A488" s="507"/>
    </row>
    <row r="489">
      <c r="A489" s="507"/>
    </row>
    <row r="490">
      <c r="A490" s="507"/>
    </row>
    <row r="491">
      <c r="A491" s="507"/>
    </row>
    <row r="492">
      <c r="A492" s="507"/>
    </row>
    <row r="493">
      <c r="A493" s="507"/>
    </row>
    <row r="494">
      <c r="A494" s="507"/>
    </row>
    <row r="495">
      <c r="A495" s="507"/>
    </row>
    <row r="496">
      <c r="A496" s="507"/>
    </row>
    <row r="497">
      <c r="A497" s="507"/>
    </row>
    <row r="498">
      <c r="A498" s="507"/>
    </row>
    <row r="499">
      <c r="A499" s="507"/>
    </row>
    <row r="500">
      <c r="A500" s="507"/>
    </row>
    <row r="501">
      <c r="A501" s="507"/>
    </row>
    <row r="502">
      <c r="A502" s="507"/>
    </row>
    <row r="503">
      <c r="A503" s="507"/>
    </row>
    <row r="504">
      <c r="A504" s="507"/>
    </row>
    <row r="505">
      <c r="A505" s="507"/>
    </row>
    <row r="506">
      <c r="A506" s="507"/>
    </row>
    <row r="507">
      <c r="A507" s="507"/>
    </row>
    <row r="508">
      <c r="A508" s="507"/>
    </row>
    <row r="509">
      <c r="A509" s="507"/>
    </row>
    <row r="510">
      <c r="A510" s="507"/>
    </row>
    <row r="511">
      <c r="A511" s="507"/>
    </row>
    <row r="512">
      <c r="A512" s="507"/>
    </row>
    <row r="513">
      <c r="A513" s="507"/>
    </row>
    <row r="514">
      <c r="A514" s="507"/>
    </row>
    <row r="515">
      <c r="A515" s="507"/>
    </row>
    <row r="516">
      <c r="A516" s="507"/>
    </row>
    <row r="517">
      <c r="A517" s="507"/>
    </row>
    <row r="518">
      <c r="A518" s="507"/>
    </row>
    <row r="519">
      <c r="A519" s="507"/>
    </row>
    <row r="520">
      <c r="A520" s="507"/>
    </row>
    <row r="521">
      <c r="A521" s="507"/>
    </row>
    <row r="522">
      <c r="A522" s="507"/>
    </row>
    <row r="523">
      <c r="A523" s="507"/>
    </row>
    <row r="524">
      <c r="A524" s="507"/>
    </row>
    <row r="525">
      <c r="A525" s="507"/>
    </row>
    <row r="526">
      <c r="A526" s="507"/>
    </row>
    <row r="527">
      <c r="A527" s="507"/>
    </row>
    <row r="528">
      <c r="A528" s="507"/>
    </row>
    <row r="529">
      <c r="A529" s="507"/>
    </row>
    <row r="530">
      <c r="A530" s="507"/>
    </row>
    <row r="531">
      <c r="A531" s="507"/>
    </row>
    <row r="532">
      <c r="A532" s="507"/>
    </row>
    <row r="533">
      <c r="A533" s="507"/>
    </row>
    <row r="534">
      <c r="A534" s="507"/>
    </row>
    <row r="535">
      <c r="A535" s="507"/>
    </row>
    <row r="536">
      <c r="A536" s="507"/>
    </row>
    <row r="537">
      <c r="A537" s="507"/>
    </row>
    <row r="538">
      <c r="A538" s="507"/>
    </row>
    <row r="539">
      <c r="A539" s="507"/>
    </row>
    <row r="540">
      <c r="A540" s="507"/>
    </row>
    <row r="541">
      <c r="A541" s="507"/>
    </row>
    <row r="542">
      <c r="A542" s="507"/>
    </row>
    <row r="543">
      <c r="A543" s="507"/>
    </row>
    <row r="544">
      <c r="A544" s="507"/>
    </row>
    <row r="545">
      <c r="A545" s="507"/>
    </row>
    <row r="546">
      <c r="A546" s="507"/>
    </row>
    <row r="547">
      <c r="A547" s="507"/>
    </row>
    <row r="548">
      <c r="A548" s="507"/>
    </row>
    <row r="549">
      <c r="A549" s="507"/>
    </row>
    <row r="550">
      <c r="A550" s="507"/>
    </row>
    <row r="551">
      <c r="A551" s="507"/>
    </row>
    <row r="552">
      <c r="A552" s="507"/>
    </row>
    <row r="553">
      <c r="A553" s="507"/>
    </row>
    <row r="554">
      <c r="A554" s="507"/>
    </row>
    <row r="555">
      <c r="A555" s="507"/>
    </row>
    <row r="556">
      <c r="A556" s="507"/>
    </row>
    <row r="557">
      <c r="A557" s="507"/>
    </row>
    <row r="558">
      <c r="A558" s="507"/>
    </row>
    <row r="559">
      <c r="A559" s="507"/>
    </row>
    <row r="560">
      <c r="A560" s="507"/>
    </row>
    <row r="561">
      <c r="A561" s="507"/>
    </row>
    <row r="562">
      <c r="A562" s="507"/>
    </row>
    <row r="563">
      <c r="A563" s="507"/>
    </row>
    <row r="564">
      <c r="A564" s="507"/>
    </row>
    <row r="565">
      <c r="A565" s="507"/>
    </row>
    <row r="566">
      <c r="A566" s="507"/>
    </row>
    <row r="567">
      <c r="A567" s="507"/>
    </row>
    <row r="568">
      <c r="A568" s="507"/>
    </row>
    <row r="569">
      <c r="A569" s="507"/>
    </row>
    <row r="570">
      <c r="A570" s="507"/>
    </row>
    <row r="571">
      <c r="A571" s="507"/>
    </row>
    <row r="572">
      <c r="A572" s="507"/>
    </row>
    <row r="573">
      <c r="A573" s="507"/>
    </row>
    <row r="574">
      <c r="A574" s="507"/>
    </row>
    <row r="575">
      <c r="A575" s="507"/>
    </row>
    <row r="576">
      <c r="A576" s="507"/>
    </row>
    <row r="577">
      <c r="A577" s="507"/>
    </row>
    <row r="578">
      <c r="A578" s="507"/>
    </row>
    <row r="579">
      <c r="A579" s="507"/>
    </row>
    <row r="580">
      <c r="A580" s="507"/>
    </row>
    <row r="581">
      <c r="A581" s="507"/>
    </row>
    <row r="582">
      <c r="A582" s="507"/>
    </row>
    <row r="583">
      <c r="A583" s="507"/>
    </row>
    <row r="584">
      <c r="A584" s="507"/>
    </row>
    <row r="585">
      <c r="A585" s="507"/>
    </row>
    <row r="586">
      <c r="A586" s="507"/>
    </row>
    <row r="587">
      <c r="A587" s="507"/>
    </row>
    <row r="588">
      <c r="A588" s="507"/>
    </row>
    <row r="589">
      <c r="A589" s="507"/>
    </row>
    <row r="590">
      <c r="A590" s="507"/>
    </row>
    <row r="591">
      <c r="A591" s="507"/>
    </row>
    <row r="592">
      <c r="A592" s="507"/>
    </row>
    <row r="593">
      <c r="A593" s="507"/>
    </row>
    <row r="594">
      <c r="A594" s="507"/>
    </row>
    <row r="595">
      <c r="A595" s="507"/>
    </row>
    <row r="596">
      <c r="A596" s="507"/>
    </row>
    <row r="597">
      <c r="A597" s="507"/>
    </row>
    <row r="598">
      <c r="A598" s="507"/>
    </row>
    <row r="599">
      <c r="A599" s="507"/>
    </row>
    <row r="600">
      <c r="A600" s="507"/>
    </row>
    <row r="601">
      <c r="A601" s="507"/>
    </row>
    <row r="602">
      <c r="A602" s="507"/>
    </row>
    <row r="603">
      <c r="A603" s="507"/>
    </row>
    <row r="604">
      <c r="A604" s="507"/>
    </row>
    <row r="605">
      <c r="A605" s="507"/>
    </row>
    <row r="606">
      <c r="A606" s="507"/>
    </row>
    <row r="607">
      <c r="A607" s="507"/>
    </row>
    <row r="608">
      <c r="A608" s="507"/>
    </row>
    <row r="609">
      <c r="A609" s="507"/>
    </row>
    <row r="610">
      <c r="A610" s="507"/>
    </row>
    <row r="611">
      <c r="A611" s="507"/>
    </row>
    <row r="612">
      <c r="A612" s="507"/>
    </row>
    <row r="613">
      <c r="A613" s="507"/>
    </row>
    <row r="614">
      <c r="A614" s="507"/>
    </row>
    <row r="615">
      <c r="A615" s="507"/>
    </row>
    <row r="616">
      <c r="A616" s="507"/>
    </row>
    <row r="617">
      <c r="A617" s="507"/>
    </row>
    <row r="618">
      <c r="A618" s="507"/>
    </row>
    <row r="619">
      <c r="A619" s="507"/>
    </row>
    <row r="620">
      <c r="A620" s="507"/>
    </row>
    <row r="621">
      <c r="A621" s="507"/>
    </row>
    <row r="622">
      <c r="A622" s="507"/>
    </row>
    <row r="623">
      <c r="A623" s="507"/>
    </row>
    <row r="624">
      <c r="A624" s="507"/>
    </row>
    <row r="625">
      <c r="A625" s="507"/>
    </row>
    <row r="626">
      <c r="A626" s="507"/>
    </row>
    <row r="627">
      <c r="A627" s="507"/>
    </row>
    <row r="628">
      <c r="A628" s="507"/>
    </row>
    <row r="629">
      <c r="A629" s="507"/>
    </row>
    <row r="630">
      <c r="A630" s="507"/>
    </row>
    <row r="631">
      <c r="A631" s="507"/>
    </row>
    <row r="632">
      <c r="A632" s="507"/>
    </row>
    <row r="633">
      <c r="A633" s="507"/>
    </row>
    <row r="634">
      <c r="A634" s="507"/>
    </row>
    <row r="635">
      <c r="A635" s="507"/>
    </row>
    <row r="636">
      <c r="A636" s="507"/>
    </row>
    <row r="637">
      <c r="A637" s="507"/>
    </row>
    <row r="638">
      <c r="A638" s="507"/>
    </row>
    <row r="639">
      <c r="A639" s="507"/>
    </row>
    <row r="640">
      <c r="A640" s="507"/>
    </row>
    <row r="641">
      <c r="A641" s="507"/>
    </row>
    <row r="642">
      <c r="A642" s="507"/>
    </row>
    <row r="643">
      <c r="A643" s="507"/>
    </row>
    <row r="644">
      <c r="A644" s="507"/>
    </row>
    <row r="645">
      <c r="A645" s="507"/>
    </row>
    <row r="646">
      <c r="A646" s="507"/>
    </row>
    <row r="647">
      <c r="A647" s="507"/>
    </row>
    <row r="648">
      <c r="A648" s="507"/>
    </row>
    <row r="649">
      <c r="A649" s="507"/>
    </row>
    <row r="650">
      <c r="A650" s="507"/>
    </row>
    <row r="651">
      <c r="A651" s="507"/>
    </row>
    <row r="652">
      <c r="A652" s="507"/>
    </row>
    <row r="653">
      <c r="A653" s="507"/>
    </row>
    <row r="654">
      <c r="A654" s="507"/>
    </row>
    <row r="655">
      <c r="A655" s="507"/>
    </row>
    <row r="656">
      <c r="A656" s="507"/>
    </row>
    <row r="657">
      <c r="A657" s="507"/>
    </row>
    <row r="658">
      <c r="A658" s="507"/>
    </row>
    <row r="659">
      <c r="A659" s="507"/>
    </row>
    <row r="660">
      <c r="A660" s="507"/>
    </row>
    <row r="661">
      <c r="A661" s="507"/>
    </row>
    <row r="662">
      <c r="A662" s="507"/>
    </row>
    <row r="663">
      <c r="A663" s="507"/>
    </row>
    <row r="664">
      <c r="A664" s="507"/>
    </row>
    <row r="665">
      <c r="A665" s="507"/>
    </row>
    <row r="666">
      <c r="A666" s="507"/>
    </row>
    <row r="667">
      <c r="A667" s="507"/>
    </row>
    <row r="668">
      <c r="A668" s="507"/>
    </row>
    <row r="669">
      <c r="A669" s="507"/>
    </row>
    <row r="670">
      <c r="A670" s="507"/>
    </row>
    <row r="671">
      <c r="A671" s="507"/>
    </row>
    <row r="672">
      <c r="A672" s="507"/>
    </row>
    <row r="673">
      <c r="A673" s="507"/>
    </row>
    <row r="674">
      <c r="A674" s="507"/>
    </row>
    <row r="675">
      <c r="A675" s="507"/>
    </row>
    <row r="676">
      <c r="A676" s="507"/>
    </row>
    <row r="677">
      <c r="A677" s="507"/>
    </row>
    <row r="678">
      <c r="A678" s="507"/>
    </row>
    <row r="679">
      <c r="A679" s="507"/>
    </row>
    <row r="680">
      <c r="A680" s="507"/>
    </row>
    <row r="681">
      <c r="A681" s="507"/>
    </row>
    <row r="682">
      <c r="A682" s="507"/>
    </row>
    <row r="683">
      <c r="A683" s="507"/>
    </row>
    <row r="684">
      <c r="A684" s="507"/>
    </row>
    <row r="685">
      <c r="A685" s="507"/>
    </row>
    <row r="686">
      <c r="A686" s="507"/>
    </row>
    <row r="687">
      <c r="A687" s="507"/>
    </row>
    <row r="688">
      <c r="A688" s="507"/>
    </row>
    <row r="689">
      <c r="A689" s="507"/>
    </row>
    <row r="690">
      <c r="A690" s="507"/>
    </row>
    <row r="691">
      <c r="A691" s="507"/>
    </row>
    <row r="692">
      <c r="A692" s="507"/>
    </row>
    <row r="693">
      <c r="A693" s="507"/>
    </row>
    <row r="694">
      <c r="A694" s="507"/>
    </row>
    <row r="695">
      <c r="A695" s="507"/>
    </row>
    <row r="696">
      <c r="A696" s="507"/>
    </row>
    <row r="697">
      <c r="A697" s="507"/>
    </row>
    <row r="698">
      <c r="A698" s="507"/>
    </row>
    <row r="699">
      <c r="A699" s="507"/>
    </row>
    <row r="700">
      <c r="A700" s="507"/>
    </row>
    <row r="701">
      <c r="A701" s="507"/>
    </row>
    <row r="702">
      <c r="A702" s="507"/>
    </row>
    <row r="703">
      <c r="A703" s="507"/>
    </row>
    <row r="704">
      <c r="A704" s="507"/>
    </row>
    <row r="705">
      <c r="A705" s="507"/>
    </row>
    <row r="706">
      <c r="A706" s="507"/>
    </row>
    <row r="707">
      <c r="A707" s="507"/>
    </row>
    <row r="708">
      <c r="A708" s="507"/>
    </row>
    <row r="709">
      <c r="A709" s="507"/>
    </row>
    <row r="710">
      <c r="A710" s="507"/>
    </row>
    <row r="711">
      <c r="A711" s="507"/>
    </row>
    <row r="712">
      <c r="A712" s="507"/>
    </row>
    <row r="713">
      <c r="A713" s="507"/>
    </row>
    <row r="714">
      <c r="A714" s="507"/>
    </row>
    <row r="715">
      <c r="A715" s="507"/>
    </row>
    <row r="716">
      <c r="A716" s="507"/>
    </row>
    <row r="717">
      <c r="A717" s="507"/>
    </row>
    <row r="718">
      <c r="A718" s="507"/>
    </row>
    <row r="719">
      <c r="A719" s="507"/>
    </row>
    <row r="720">
      <c r="A720" s="507"/>
    </row>
    <row r="721">
      <c r="A721" s="507"/>
    </row>
    <row r="722">
      <c r="A722" s="507"/>
    </row>
    <row r="723">
      <c r="A723" s="507"/>
    </row>
    <row r="724">
      <c r="A724" s="507"/>
    </row>
    <row r="725">
      <c r="A725" s="507"/>
    </row>
    <row r="726">
      <c r="A726" s="507"/>
    </row>
    <row r="727">
      <c r="A727" s="507"/>
    </row>
    <row r="728">
      <c r="A728" s="507"/>
    </row>
    <row r="729">
      <c r="A729" s="507"/>
    </row>
    <row r="730">
      <c r="A730" s="507"/>
    </row>
    <row r="731">
      <c r="A731" s="507"/>
    </row>
    <row r="732">
      <c r="A732" s="507"/>
    </row>
    <row r="733">
      <c r="A733" s="507"/>
    </row>
    <row r="734">
      <c r="A734" s="507"/>
    </row>
    <row r="735">
      <c r="A735" s="507"/>
    </row>
    <row r="736">
      <c r="A736" s="507"/>
    </row>
    <row r="737">
      <c r="A737" s="507"/>
    </row>
    <row r="738">
      <c r="A738" s="507"/>
    </row>
    <row r="739">
      <c r="A739" s="507"/>
    </row>
    <row r="740">
      <c r="A740" s="507"/>
    </row>
    <row r="741">
      <c r="A741" s="507"/>
    </row>
    <row r="742">
      <c r="A742" s="507"/>
    </row>
    <row r="743">
      <c r="A743" s="507"/>
    </row>
    <row r="744">
      <c r="A744" s="507"/>
    </row>
    <row r="745">
      <c r="A745" s="507"/>
    </row>
    <row r="746">
      <c r="A746" s="507"/>
    </row>
    <row r="747">
      <c r="A747" s="507"/>
    </row>
    <row r="748">
      <c r="A748" s="507"/>
    </row>
    <row r="749">
      <c r="A749" s="507"/>
    </row>
    <row r="750">
      <c r="A750" s="507"/>
    </row>
    <row r="751">
      <c r="A751" s="507"/>
    </row>
    <row r="752">
      <c r="A752" s="507"/>
    </row>
    <row r="753">
      <c r="A753" s="507"/>
    </row>
    <row r="754">
      <c r="A754" s="507"/>
    </row>
    <row r="755">
      <c r="A755" s="507"/>
    </row>
    <row r="756">
      <c r="A756" s="507"/>
    </row>
    <row r="757">
      <c r="A757" s="507"/>
    </row>
    <row r="758">
      <c r="A758" s="507"/>
    </row>
    <row r="759">
      <c r="A759" s="507"/>
    </row>
    <row r="760">
      <c r="A760" s="507"/>
    </row>
    <row r="761">
      <c r="A761" s="507"/>
    </row>
    <row r="762">
      <c r="A762" s="507"/>
    </row>
    <row r="763">
      <c r="A763" s="507"/>
    </row>
    <row r="764">
      <c r="A764" s="507"/>
    </row>
    <row r="765">
      <c r="A765" s="507"/>
    </row>
    <row r="766">
      <c r="A766" s="507"/>
    </row>
    <row r="767">
      <c r="A767" s="507"/>
    </row>
    <row r="768">
      <c r="A768" s="507"/>
    </row>
    <row r="769">
      <c r="A769" s="507"/>
    </row>
    <row r="770">
      <c r="A770" s="507"/>
    </row>
    <row r="771">
      <c r="A771" s="507"/>
    </row>
    <row r="772">
      <c r="A772" s="507"/>
    </row>
    <row r="773">
      <c r="A773" s="507"/>
    </row>
    <row r="774">
      <c r="A774" s="507"/>
    </row>
    <row r="775">
      <c r="A775" s="507"/>
    </row>
    <row r="776">
      <c r="A776" s="507"/>
    </row>
    <row r="777">
      <c r="A777" s="507"/>
    </row>
    <row r="778">
      <c r="A778" s="507"/>
    </row>
    <row r="779">
      <c r="A779" s="507"/>
    </row>
    <row r="780">
      <c r="A780" s="507"/>
    </row>
    <row r="781">
      <c r="A781" s="507"/>
    </row>
    <row r="782">
      <c r="A782" s="507"/>
    </row>
    <row r="783">
      <c r="A783" s="507"/>
    </row>
    <row r="784">
      <c r="A784" s="507"/>
    </row>
    <row r="785">
      <c r="A785" s="507"/>
    </row>
    <row r="786">
      <c r="A786" s="507"/>
    </row>
    <row r="787">
      <c r="A787" s="507"/>
    </row>
    <row r="788">
      <c r="A788" s="507"/>
    </row>
    <row r="789">
      <c r="A789" s="507"/>
    </row>
    <row r="790">
      <c r="A790" s="507"/>
    </row>
    <row r="791">
      <c r="A791" s="507"/>
    </row>
    <row r="792">
      <c r="A792" s="507"/>
    </row>
    <row r="793">
      <c r="A793" s="507"/>
    </row>
    <row r="794">
      <c r="A794" s="507"/>
    </row>
    <row r="795">
      <c r="A795" s="507"/>
    </row>
    <row r="796">
      <c r="A796" s="507"/>
    </row>
    <row r="797">
      <c r="A797" s="507"/>
    </row>
    <row r="798">
      <c r="A798" s="507"/>
    </row>
    <row r="799">
      <c r="A799" s="507"/>
    </row>
    <row r="800">
      <c r="A800" s="507"/>
    </row>
    <row r="801">
      <c r="A801" s="507"/>
    </row>
    <row r="802">
      <c r="A802" s="507"/>
    </row>
    <row r="803">
      <c r="A803" s="507"/>
    </row>
    <row r="804">
      <c r="A804" s="507"/>
    </row>
    <row r="805">
      <c r="A805" s="507"/>
    </row>
    <row r="806">
      <c r="A806" s="507"/>
    </row>
    <row r="807">
      <c r="A807" s="507"/>
    </row>
    <row r="808">
      <c r="A808" s="507"/>
    </row>
    <row r="809">
      <c r="A809" s="507"/>
    </row>
    <row r="810">
      <c r="A810" s="507"/>
    </row>
    <row r="811">
      <c r="A811" s="507"/>
    </row>
    <row r="812">
      <c r="A812" s="507"/>
    </row>
    <row r="813">
      <c r="A813" s="507"/>
    </row>
    <row r="814">
      <c r="A814" s="507"/>
    </row>
    <row r="815">
      <c r="A815" s="507"/>
    </row>
    <row r="816">
      <c r="A816" s="507"/>
    </row>
    <row r="817">
      <c r="A817" s="507"/>
    </row>
    <row r="818">
      <c r="A818" s="507"/>
    </row>
    <row r="819">
      <c r="A819" s="507"/>
    </row>
    <row r="820">
      <c r="A820" s="507"/>
    </row>
    <row r="821">
      <c r="A821" s="507"/>
    </row>
    <row r="822">
      <c r="A822" s="507"/>
    </row>
    <row r="823">
      <c r="A823" s="507"/>
    </row>
    <row r="824">
      <c r="A824" s="507"/>
    </row>
    <row r="825">
      <c r="A825" s="507"/>
    </row>
    <row r="826">
      <c r="A826" s="507"/>
    </row>
    <row r="827">
      <c r="A827" s="507"/>
    </row>
    <row r="828">
      <c r="A828" s="507"/>
    </row>
    <row r="829">
      <c r="A829" s="507"/>
    </row>
    <row r="830">
      <c r="A830" s="507"/>
    </row>
    <row r="831">
      <c r="A831" s="507"/>
    </row>
    <row r="832">
      <c r="A832" s="507"/>
    </row>
    <row r="833">
      <c r="A833" s="507"/>
    </row>
    <row r="834">
      <c r="A834" s="507"/>
    </row>
    <row r="835">
      <c r="A835" s="507"/>
    </row>
    <row r="836">
      <c r="A836" s="507"/>
    </row>
    <row r="837">
      <c r="A837" s="507"/>
    </row>
    <row r="838">
      <c r="A838" s="507"/>
    </row>
    <row r="839">
      <c r="A839" s="507"/>
    </row>
    <row r="840">
      <c r="A840" s="507"/>
    </row>
    <row r="841">
      <c r="A841" s="507"/>
    </row>
    <row r="842">
      <c r="A842" s="507"/>
    </row>
    <row r="843">
      <c r="A843" s="507"/>
    </row>
    <row r="844">
      <c r="A844" s="507"/>
    </row>
    <row r="845">
      <c r="A845" s="507"/>
    </row>
    <row r="846">
      <c r="A846" s="507"/>
    </row>
    <row r="847">
      <c r="A847" s="507"/>
    </row>
    <row r="848">
      <c r="A848" s="507"/>
    </row>
    <row r="849">
      <c r="A849" s="507"/>
    </row>
    <row r="850">
      <c r="A850" s="507"/>
    </row>
    <row r="851">
      <c r="A851" s="507"/>
    </row>
    <row r="852">
      <c r="A852" s="507"/>
    </row>
    <row r="853">
      <c r="A853" s="507"/>
    </row>
    <row r="854">
      <c r="A854" s="507"/>
    </row>
    <row r="855">
      <c r="A855" s="507"/>
    </row>
    <row r="856">
      <c r="A856" s="507"/>
    </row>
    <row r="857">
      <c r="A857" s="507"/>
    </row>
    <row r="858">
      <c r="A858" s="507"/>
    </row>
    <row r="859">
      <c r="A859" s="507"/>
    </row>
    <row r="860">
      <c r="A860" s="507"/>
    </row>
    <row r="861">
      <c r="A861" s="507"/>
    </row>
    <row r="862">
      <c r="A862" s="507"/>
    </row>
    <row r="863">
      <c r="A863" s="507"/>
    </row>
    <row r="864">
      <c r="A864" s="507"/>
    </row>
    <row r="865">
      <c r="A865" s="507"/>
    </row>
    <row r="866">
      <c r="A866" s="507"/>
    </row>
    <row r="867">
      <c r="A867" s="507"/>
    </row>
    <row r="868">
      <c r="A868" s="507"/>
    </row>
    <row r="869">
      <c r="A869" s="507"/>
    </row>
    <row r="870">
      <c r="A870" s="507"/>
    </row>
    <row r="871">
      <c r="A871" s="507"/>
    </row>
    <row r="872">
      <c r="A872" s="507"/>
    </row>
    <row r="873">
      <c r="A873" s="507"/>
    </row>
    <row r="874">
      <c r="A874" s="507"/>
    </row>
    <row r="875">
      <c r="A875" s="507"/>
    </row>
    <row r="876">
      <c r="A876" s="507"/>
    </row>
    <row r="877">
      <c r="A877" s="507"/>
    </row>
    <row r="878">
      <c r="A878" s="507"/>
    </row>
    <row r="879">
      <c r="A879" s="507"/>
    </row>
    <row r="880">
      <c r="A880" s="507"/>
    </row>
    <row r="881">
      <c r="A881" s="507"/>
    </row>
    <row r="882">
      <c r="A882" s="507"/>
    </row>
    <row r="883">
      <c r="A883" s="507"/>
    </row>
    <row r="884">
      <c r="A884" s="507"/>
    </row>
    <row r="885">
      <c r="A885" s="507"/>
    </row>
    <row r="886">
      <c r="A886" s="507"/>
    </row>
    <row r="887">
      <c r="A887" s="507"/>
    </row>
    <row r="888">
      <c r="A888" s="507"/>
    </row>
    <row r="889">
      <c r="A889" s="507"/>
    </row>
    <row r="890">
      <c r="A890" s="507"/>
    </row>
    <row r="891">
      <c r="A891" s="507"/>
    </row>
    <row r="892">
      <c r="A892" s="507"/>
    </row>
    <row r="893">
      <c r="A893" s="507"/>
    </row>
    <row r="894">
      <c r="A894" s="507"/>
    </row>
    <row r="895">
      <c r="A895" s="507"/>
    </row>
    <row r="896">
      <c r="A896" s="507"/>
    </row>
    <row r="897">
      <c r="A897" s="507"/>
    </row>
    <row r="898">
      <c r="A898" s="507"/>
    </row>
    <row r="899">
      <c r="A899" s="507"/>
    </row>
    <row r="900">
      <c r="A900" s="507"/>
    </row>
    <row r="901">
      <c r="A901" s="507"/>
    </row>
    <row r="902">
      <c r="A902" s="507"/>
    </row>
    <row r="903">
      <c r="A903" s="507"/>
    </row>
    <row r="904">
      <c r="A904" s="507"/>
    </row>
    <row r="905">
      <c r="A905" s="507"/>
    </row>
    <row r="906">
      <c r="A906" s="507"/>
    </row>
    <row r="907">
      <c r="A907" s="507"/>
    </row>
    <row r="908">
      <c r="A908" s="507"/>
    </row>
    <row r="909">
      <c r="A909" s="507"/>
    </row>
    <row r="910">
      <c r="A910" s="507"/>
    </row>
    <row r="911">
      <c r="A911" s="507"/>
    </row>
    <row r="912">
      <c r="A912" s="507"/>
    </row>
    <row r="913">
      <c r="A913" s="507"/>
    </row>
    <row r="914">
      <c r="A914" s="507"/>
    </row>
    <row r="915">
      <c r="A915" s="507"/>
    </row>
    <row r="916">
      <c r="A916" s="507"/>
    </row>
    <row r="917">
      <c r="A917" s="507"/>
    </row>
    <row r="918">
      <c r="A918" s="507"/>
    </row>
    <row r="919">
      <c r="A919" s="507"/>
    </row>
    <row r="920">
      <c r="A920" s="507"/>
    </row>
    <row r="921">
      <c r="A921" s="507"/>
    </row>
    <row r="922">
      <c r="A922" s="507"/>
    </row>
    <row r="923">
      <c r="A923" s="507"/>
    </row>
    <row r="924">
      <c r="A924" s="507"/>
    </row>
    <row r="925">
      <c r="A925" s="507"/>
    </row>
    <row r="926">
      <c r="A926" s="507"/>
    </row>
    <row r="927">
      <c r="A927" s="507"/>
    </row>
    <row r="928">
      <c r="A928" s="507"/>
    </row>
    <row r="929">
      <c r="A929" s="507"/>
    </row>
    <row r="930">
      <c r="A930" s="507"/>
    </row>
    <row r="931">
      <c r="A931" s="507"/>
    </row>
    <row r="932">
      <c r="A932" s="507"/>
    </row>
    <row r="933">
      <c r="A933" s="507"/>
    </row>
    <row r="934">
      <c r="A934" s="507"/>
    </row>
    <row r="935">
      <c r="A935" s="507"/>
    </row>
    <row r="936">
      <c r="A936" s="507"/>
    </row>
    <row r="937">
      <c r="A937" s="507"/>
    </row>
    <row r="938">
      <c r="A938" s="507"/>
    </row>
    <row r="939">
      <c r="A939" s="507"/>
    </row>
    <row r="940">
      <c r="A940" s="507"/>
    </row>
    <row r="941">
      <c r="A941" s="507"/>
    </row>
    <row r="942">
      <c r="A942" s="507"/>
    </row>
    <row r="943">
      <c r="A943" s="507"/>
    </row>
    <row r="944">
      <c r="A944" s="507"/>
    </row>
    <row r="945">
      <c r="A945" s="507"/>
    </row>
    <row r="946">
      <c r="A946" s="507"/>
    </row>
    <row r="947">
      <c r="A947" s="507"/>
    </row>
    <row r="948">
      <c r="A948" s="507"/>
    </row>
    <row r="949">
      <c r="A949" s="507"/>
    </row>
    <row r="950">
      <c r="A950" s="507"/>
    </row>
    <row r="951">
      <c r="A951" s="507"/>
    </row>
    <row r="952">
      <c r="A952" s="507"/>
    </row>
    <row r="953">
      <c r="A953" s="507"/>
    </row>
    <row r="954">
      <c r="A954" s="507"/>
    </row>
    <row r="955">
      <c r="A955" s="507"/>
    </row>
    <row r="956">
      <c r="A956" s="507"/>
    </row>
    <row r="957">
      <c r="A957" s="507"/>
    </row>
    <row r="958">
      <c r="A958" s="507"/>
    </row>
    <row r="959">
      <c r="A959" s="507"/>
    </row>
    <row r="960">
      <c r="A960" s="507"/>
    </row>
    <row r="961">
      <c r="A961" s="507"/>
    </row>
    <row r="962">
      <c r="A962" s="507"/>
    </row>
    <row r="963">
      <c r="A963" s="507"/>
    </row>
    <row r="964">
      <c r="A964" s="507"/>
    </row>
    <row r="965">
      <c r="A965" s="507"/>
    </row>
    <row r="966">
      <c r="A966" s="507"/>
    </row>
    <row r="967">
      <c r="A967" s="507"/>
    </row>
    <row r="968">
      <c r="A968" s="507"/>
    </row>
    <row r="969">
      <c r="A969" s="507"/>
    </row>
    <row r="970">
      <c r="A970" s="507"/>
    </row>
    <row r="971">
      <c r="A971" s="507"/>
    </row>
    <row r="972">
      <c r="A972" s="507"/>
    </row>
    <row r="973">
      <c r="A973" s="507"/>
    </row>
    <row r="974">
      <c r="A974" s="507"/>
    </row>
    <row r="975">
      <c r="A975" s="507"/>
    </row>
    <row r="976">
      <c r="A976" s="507"/>
    </row>
    <row r="977">
      <c r="A977" s="507"/>
    </row>
    <row r="978">
      <c r="A978" s="507"/>
    </row>
    <row r="979">
      <c r="A979" s="507"/>
    </row>
    <row r="980">
      <c r="A980" s="507"/>
    </row>
    <row r="981">
      <c r="A981" s="507"/>
    </row>
    <row r="982">
      <c r="A982" s="507"/>
    </row>
    <row r="983">
      <c r="A983" s="507"/>
    </row>
    <row r="984">
      <c r="A984" s="507"/>
    </row>
    <row r="985">
      <c r="A985" s="507"/>
    </row>
    <row r="986">
      <c r="A986" s="507"/>
    </row>
    <row r="987">
      <c r="A987" s="507"/>
    </row>
    <row r="988">
      <c r="A988" s="507"/>
    </row>
    <row r="989">
      <c r="A989" s="507"/>
    </row>
    <row r="990">
      <c r="A990" s="507"/>
    </row>
    <row r="991">
      <c r="A991" s="507"/>
    </row>
    <row r="992">
      <c r="A992" s="507"/>
    </row>
    <row r="993">
      <c r="A993" s="507"/>
    </row>
    <row r="994">
      <c r="A994" s="507"/>
    </row>
    <row r="995">
      <c r="A995" s="507"/>
    </row>
    <row r="996">
      <c r="A996" s="507"/>
    </row>
    <row r="997">
      <c r="A997" s="507"/>
    </row>
    <row r="998">
      <c r="A998" s="507"/>
    </row>
    <row r="999">
      <c r="A999" s="507"/>
    </row>
    <row r="1000">
      <c r="A1000" s="507"/>
    </row>
  </sheetData>
  <autoFilter ref="$A$1:$Z$56">
    <sortState ref="A1:Z56">
      <sortCondition descending="1" ref="B1:B56"/>
      <sortCondition ref="C1:C56"/>
      <sortCondition ref="A1:A56"/>
    </sortState>
  </autoFilter>
  <conditionalFormatting sqref="B2:B55">
    <cfRule type="cellIs" dxfId="9" priority="1" operator="greaterThanOrEqual">
      <formula>0.7</formula>
    </cfRule>
  </conditionalFormatting>
  <conditionalFormatting sqref="B2:B55">
    <cfRule type="cellIs" dxfId="10" priority="2" operator="greaterThanOrEqual">
      <formula>0.495</formula>
    </cfRule>
  </conditionalFormatting>
  <conditionalFormatting sqref="B2:B55">
    <cfRule type="cellIs" dxfId="11" priority="3" operator="greaterThanOrEqual">
      <formula>0.3</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63"/>
    <col customWidth="1" min="3" max="3" width="16.0"/>
    <col customWidth="1" min="5" max="26" width="8.38"/>
  </cols>
  <sheetData>
    <row r="1">
      <c r="A1" s="800" t="s">
        <v>161</v>
      </c>
      <c r="B1" s="801" t="s">
        <v>768</v>
      </c>
      <c r="C1" s="614" t="s">
        <v>771</v>
      </c>
      <c r="D1" s="801" t="s">
        <v>424</v>
      </c>
      <c r="E1" s="614" t="s">
        <v>769</v>
      </c>
      <c r="F1" s="803"/>
      <c r="G1" s="803"/>
      <c r="H1" s="803"/>
      <c r="I1" s="803"/>
      <c r="J1" s="803"/>
      <c r="K1" s="803"/>
      <c r="L1" s="803"/>
      <c r="M1" s="803"/>
      <c r="N1" s="803"/>
      <c r="O1" s="803"/>
      <c r="P1" s="803"/>
      <c r="Q1" s="803"/>
      <c r="R1" s="803"/>
      <c r="S1" s="803"/>
      <c r="T1" s="803"/>
      <c r="U1" s="803"/>
      <c r="V1" s="803"/>
      <c r="W1" s="803"/>
      <c r="X1" s="803"/>
      <c r="Y1" s="803"/>
      <c r="Z1" s="803"/>
    </row>
    <row r="2">
      <c r="A2" s="507" t="s">
        <v>255</v>
      </c>
      <c r="B2" s="707">
        <f t="array" ref="B2">'Readiness Total Scores'!M23</f>
        <v>0.7003333333</v>
      </c>
      <c r="C2" s="265">
        <f t="array" ref="C2">'Impact Total Scores'!I23</f>
        <v>0.8095238095</v>
      </c>
      <c r="D2" s="265">
        <f t="shared" ref="D2:D55" si="1">AVERAGE(B2:C2)</f>
        <v>0.7549285714</v>
      </c>
      <c r="E2" s="804">
        <v>3.0</v>
      </c>
      <c r="F2" s="805"/>
      <c r="G2" s="805"/>
      <c r="H2" s="805"/>
      <c r="I2" s="805"/>
      <c r="J2" s="805"/>
      <c r="K2" s="805"/>
      <c r="L2" s="805"/>
      <c r="M2" s="805"/>
      <c r="N2" s="805"/>
      <c r="O2" s="805"/>
      <c r="P2" s="805"/>
      <c r="Q2" s="805"/>
      <c r="R2" s="805"/>
      <c r="S2" s="805"/>
      <c r="T2" s="805"/>
      <c r="U2" s="805"/>
      <c r="V2" s="805"/>
      <c r="W2" s="805"/>
      <c r="X2" s="805"/>
      <c r="Y2" s="805"/>
      <c r="Z2" s="805"/>
    </row>
    <row r="3">
      <c r="A3" s="507" t="s">
        <v>268</v>
      </c>
      <c r="B3" s="707">
        <f t="array" ref="B3">'Readiness Total Scores'!M6</f>
        <v>0.5185185185</v>
      </c>
      <c r="C3" s="265">
        <f t="array" ref="C3">'Impact Total Scores'!I6</f>
        <v>0.8095238095</v>
      </c>
      <c r="D3" s="265">
        <f t="shared" si="1"/>
        <v>0.664021164</v>
      </c>
      <c r="E3" s="804">
        <v>18.0</v>
      </c>
      <c r="F3" s="805"/>
      <c r="G3" s="805"/>
      <c r="H3" s="805"/>
      <c r="I3" s="805"/>
      <c r="J3" s="805"/>
      <c r="K3" s="805"/>
      <c r="L3" s="805"/>
      <c r="M3" s="805"/>
      <c r="N3" s="805"/>
      <c r="O3" s="805"/>
      <c r="P3" s="805"/>
      <c r="Q3" s="805"/>
      <c r="R3" s="805"/>
      <c r="S3" s="805"/>
      <c r="T3" s="805"/>
      <c r="U3" s="805"/>
      <c r="V3" s="805"/>
      <c r="W3" s="805"/>
      <c r="X3" s="805"/>
      <c r="Y3" s="805"/>
      <c r="Z3" s="805"/>
    </row>
    <row r="4">
      <c r="A4" s="507" t="s">
        <v>285</v>
      </c>
      <c r="B4" s="707">
        <f t="array" ref="B4">'Readiness Total Scores'!M19</f>
        <v>0.7407407407</v>
      </c>
      <c r="C4" s="265">
        <f t="array" ref="C4">'Impact Total Scores'!I19</f>
        <v>0.8095238095</v>
      </c>
      <c r="D4" s="265">
        <f t="shared" si="1"/>
        <v>0.7751322751</v>
      </c>
      <c r="E4" s="804">
        <v>1.0</v>
      </c>
      <c r="F4" s="805"/>
      <c r="G4" s="805"/>
      <c r="H4" s="805"/>
      <c r="I4" s="805"/>
      <c r="J4" s="805"/>
      <c r="K4" s="805"/>
      <c r="L4" s="805"/>
      <c r="M4" s="805"/>
      <c r="N4" s="805"/>
      <c r="O4" s="805"/>
      <c r="P4" s="805"/>
      <c r="Q4" s="805"/>
      <c r="R4" s="805"/>
      <c r="S4" s="805"/>
      <c r="T4" s="805"/>
      <c r="U4" s="805"/>
      <c r="V4" s="805"/>
      <c r="W4" s="805"/>
      <c r="X4" s="805"/>
      <c r="Y4" s="805"/>
      <c r="Z4" s="805"/>
    </row>
    <row r="5">
      <c r="A5" s="507" t="s">
        <v>299</v>
      </c>
      <c r="B5" s="707">
        <f t="array" ref="B5">'Readiness Total Scores'!M42</f>
        <v>0.5996666667</v>
      </c>
      <c r="C5" s="265">
        <f t="array" ref="C5">'Impact Total Scores'!I42</f>
        <v>0.8095238095</v>
      </c>
      <c r="D5" s="265">
        <f t="shared" si="1"/>
        <v>0.7045952381</v>
      </c>
      <c r="E5" s="804">
        <v>11.0</v>
      </c>
      <c r="F5" s="805"/>
      <c r="G5" s="805"/>
      <c r="H5" s="805"/>
      <c r="I5" s="805"/>
      <c r="J5" s="805"/>
      <c r="K5" s="805"/>
      <c r="L5" s="805"/>
      <c r="M5" s="805"/>
      <c r="N5" s="805"/>
      <c r="O5" s="805"/>
      <c r="P5" s="805"/>
      <c r="Q5" s="805"/>
      <c r="R5" s="805"/>
      <c r="S5" s="805"/>
      <c r="T5" s="805"/>
      <c r="U5" s="805"/>
      <c r="V5" s="805"/>
      <c r="W5" s="805"/>
      <c r="X5" s="805"/>
      <c r="Y5" s="805"/>
      <c r="Z5" s="805"/>
    </row>
    <row r="6">
      <c r="A6" s="507" t="s">
        <v>338</v>
      </c>
      <c r="B6" s="707">
        <f t="array" ref="B6">'Readiness Total Scores'!M11</f>
        <v>0.533</v>
      </c>
      <c r="C6" s="265">
        <f t="array" ref="C6">'Impact Total Scores'!I11</f>
        <v>0.8095238095</v>
      </c>
      <c r="D6" s="265">
        <f t="shared" si="1"/>
        <v>0.6712619048</v>
      </c>
      <c r="E6" s="804">
        <v>15.0</v>
      </c>
      <c r="F6" s="805"/>
      <c r="G6" s="805"/>
      <c r="H6" s="805"/>
      <c r="I6" s="805"/>
      <c r="J6" s="805"/>
      <c r="K6" s="805"/>
      <c r="L6" s="805"/>
      <c r="M6" s="805"/>
      <c r="N6" s="805"/>
      <c r="O6" s="805"/>
      <c r="P6" s="805"/>
      <c r="Q6" s="805"/>
      <c r="R6" s="805"/>
      <c r="S6" s="805"/>
      <c r="T6" s="805"/>
      <c r="U6" s="805"/>
      <c r="V6" s="805"/>
      <c r="W6" s="805"/>
      <c r="X6" s="805"/>
      <c r="Y6" s="805"/>
      <c r="Z6" s="805"/>
    </row>
    <row r="7">
      <c r="A7" s="507" t="s">
        <v>417</v>
      </c>
      <c r="B7" s="707">
        <f t="array" ref="B7">'Readiness Total Scores'!M51</f>
        <v>0.5238095238</v>
      </c>
      <c r="C7" s="265">
        <f t="array" ref="C7">'Impact Total Scores'!I51</f>
        <v>0.8095238095</v>
      </c>
      <c r="D7" s="265">
        <f t="shared" si="1"/>
        <v>0.6666666667</v>
      </c>
      <c r="E7" s="804">
        <v>17.0</v>
      </c>
      <c r="F7" s="805"/>
      <c r="G7" s="805"/>
      <c r="H7" s="805"/>
      <c r="I7" s="805"/>
      <c r="J7" s="805"/>
      <c r="K7" s="805"/>
      <c r="L7" s="805"/>
      <c r="M7" s="805"/>
      <c r="N7" s="805"/>
      <c r="O7" s="805"/>
      <c r="P7" s="805"/>
      <c r="Q7" s="805"/>
      <c r="R7" s="805"/>
      <c r="S7" s="805"/>
      <c r="T7" s="805"/>
      <c r="U7" s="805"/>
      <c r="V7" s="805"/>
      <c r="W7" s="805"/>
      <c r="X7" s="805"/>
      <c r="Y7" s="805"/>
      <c r="Z7" s="805"/>
    </row>
    <row r="8">
      <c r="A8" s="507" t="s">
        <v>396</v>
      </c>
      <c r="B8" s="707">
        <f t="array" ref="B8">'Readiness Total Scores'!M32</f>
        <v>0.4766666667</v>
      </c>
      <c r="C8" s="265">
        <f t="array" ref="C8">'Impact Total Scores'!I32</f>
        <v>0.8095238095</v>
      </c>
      <c r="D8" s="265">
        <f t="shared" si="1"/>
        <v>0.6430952381</v>
      </c>
      <c r="E8" s="804">
        <v>22.0</v>
      </c>
      <c r="F8" s="805"/>
      <c r="G8" s="805"/>
      <c r="H8" s="805"/>
      <c r="I8" s="805"/>
      <c r="J8" s="805"/>
      <c r="K8" s="805"/>
      <c r="L8" s="805"/>
      <c r="M8" s="805"/>
      <c r="N8" s="805"/>
      <c r="O8" s="805"/>
      <c r="P8" s="805"/>
      <c r="Q8" s="805"/>
      <c r="R8" s="805"/>
      <c r="S8" s="805"/>
      <c r="T8" s="805"/>
      <c r="U8" s="805"/>
      <c r="V8" s="805"/>
      <c r="W8" s="805"/>
      <c r="X8" s="805"/>
      <c r="Y8" s="805"/>
      <c r="Z8" s="805"/>
    </row>
    <row r="9">
      <c r="A9" s="507" t="s">
        <v>343</v>
      </c>
      <c r="B9" s="707">
        <f t="array" ref="B9">'Readiness Total Scores'!M34</f>
        <v>0.5555555556</v>
      </c>
      <c r="C9" s="265">
        <f t="array" ref="C9">'Impact Total Scores'!I34</f>
        <v>0.7619047619</v>
      </c>
      <c r="D9" s="265">
        <f t="shared" si="1"/>
        <v>0.6587301587</v>
      </c>
      <c r="E9" s="804">
        <v>19.0</v>
      </c>
      <c r="F9" s="805"/>
      <c r="G9" s="805"/>
      <c r="H9" s="805"/>
      <c r="I9" s="805"/>
      <c r="J9" s="805"/>
      <c r="K9" s="805"/>
      <c r="L9" s="805"/>
      <c r="M9" s="805"/>
      <c r="N9" s="805"/>
      <c r="O9" s="805"/>
      <c r="P9" s="805"/>
      <c r="Q9" s="805"/>
      <c r="R9" s="805"/>
      <c r="S9" s="805"/>
      <c r="T9" s="805"/>
      <c r="U9" s="805"/>
      <c r="V9" s="805"/>
      <c r="W9" s="805"/>
      <c r="X9" s="805"/>
      <c r="Y9" s="805"/>
      <c r="Z9" s="805"/>
    </row>
    <row r="10">
      <c r="A10" s="507" t="s">
        <v>276</v>
      </c>
      <c r="B10" s="707">
        <f t="array" ref="B10">'Readiness Total Scores'!M18</f>
        <v>0.533</v>
      </c>
      <c r="C10" s="265">
        <f t="array" ref="C10">'Impact Total Scores'!I18</f>
        <v>0.7619047619</v>
      </c>
      <c r="D10" s="265">
        <f t="shared" si="1"/>
        <v>0.647452381</v>
      </c>
      <c r="E10" s="804">
        <v>21.0</v>
      </c>
      <c r="F10" s="805"/>
      <c r="G10" s="805"/>
      <c r="H10" s="805"/>
      <c r="I10" s="805"/>
      <c r="J10" s="805"/>
      <c r="K10" s="805"/>
      <c r="L10" s="805"/>
      <c r="M10" s="805"/>
      <c r="N10" s="805"/>
      <c r="O10" s="805"/>
      <c r="P10" s="805"/>
      <c r="Q10" s="805"/>
      <c r="R10" s="805"/>
      <c r="S10" s="805"/>
      <c r="T10" s="805"/>
      <c r="U10" s="805"/>
      <c r="V10" s="805"/>
      <c r="W10" s="805"/>
      <c r="X10" s="805"/>
      <c r="Y10" s="805"/>
      <c r="Z10" s="805"/>
    </row>
    <row r="11">
      <c r="A11" s="507" t="s">
        <v>331</v>
      </c>
      <c r="B11" s="707">
        <f t="array" ref="B11">'Readiness Total Scores'!M8</f>
        <v>0.433</v>
      </c>
      <c r="C11" s="265">
        <f t="array" ref="C11">'Impact Total Scores'!I8</f>
        <v>0.7619047619</v>
      </c>
      <c r="D11" s="265">
        <f t="shared" si="1"/>
        <v>0.597452381</v>
      </c>
      <c r="E11" s="804">
        <v>35.0</v>
      </c>
      <c r="F11" s="805"/>
      <c r="G11" s="805"/>
      <c r="H11" s="805"/>
      <c r="I11" s="805"/>
      <c r="J11" s="805"/>
      <c r="K11" s="805"/>
      <c r="L11" s="805"/>
      <c r="M11" s="805"/>
      <c r="N11" s="805"/>
      <c r="O11" s="805"/>
      <c r="P11" s="805"/>
      <c r="Q11" s="805"/>
      <c r="R11" s="805"/>
      <c r="S11" s="805"/>
      <c r="T11" s="805"/>
      <c r="U11" s="805"/>
      <c r="V11" s="805"/>
      <c r="W11" s="805"/>
      <c r="X11" s="805"/>
      <c r="Y11" s="805"/>
      <c r="Z11" s="805"/>
    </row>
    <row r="12">
      <c r="A12" s="507" t="s">
        <v>280</v>
      </c>
      <c r="B12" s="707">
        <f t="array" ref="B12">'Readiness Total Scores'!M29</f>
        <v>0.7003333333</v>
      </c>
      <c r="C12" s="265">
        <f t="array" ref="C12">'Impact Total Scores'!I29</f>
        <v>0.7619047619</v>
      </c>
      <c r="D12" s="265">
        <f t="shared" si="1"/>
        <v>0.7311190476</v>
      </c>
      <c r="E12" s="804">
        <v>5.0</v>
      </c>
      <c r="F12" s="805"/>
      <c r="G12" s="805"/>
      <c r="H12" s="805"/>
      <c r="I12" s="805"/>
      <c r="J12" s="805"/>
      <c r="K12" s="805"/>
      <c r="L12" s="805"/>
      <c r="M12" s="805"/>
      <c r="N12" s="805"/>
      <c r="O12" s="805"/>
      <c r="P12" s="805"/>
      <c r="Q12" s="805"/>
      <c r="R12" s="805"/>
      <c r="S12" s="805"/>
      <c r="T12" s="805"/>
      <c r="U12" s="805"/>
      <c r="V12" s="805"/>
      <c r="W12" s="805"/>
      <c r="X12" s="805"/>
      <c r="Y12" s="805"/>
      <c r="Z12" s="805"/>
    </row>
    <row r="13">
      <c r="A13" s="507" t="s">
        <v>296</v>
      </c>
      <c r="B13" s="707">
        <f t="array" ref="B13">'Readiness Total Scores'!M40</f>
        <v>0.6996666667</v>
      </c>
      <c r="C13" s="265">
        <f t="array" ref="C13">'Impact Total Scores'!I40</f>
        <v>0.7619047619</v>
      </c>
      <c r="D13" s="265">
        <f t="shared" si="1"/>
        <v>0.7307857143</v>
      </c>
      <c r="E13" s="804">
        <v>6.0</v>
      </c>
      <c r="F13" s="805"/>
      <c r="G13" s="805"/>
      <c r="H13" s="805"/>
      <c r="I13" s="805"/>
      <c r="J13" s="805"/>
      <c r="K13" s="805"/>
      <c r="L13" s="805"/>
      <c r="M13" s="805"/>
      <c r="N13" s="805"/>
      <c r="O13" s="805"/>
      <c r="P13" s="805"/>
      <c r="Q13" s="805"/>
      <c r="R13" s="805"/>
      <c r="S13" s="805"/>
      <c r="T13" s="805"/>
      <c r="U13" s="805"/>
      <c r="V13" s="805"/>
      <c r="W13" s="805"/>
      <c r="X13" s="805"/>
      <c r="Y13" s="805"/>
      <c r="Z13" s="805"/>
    </row>
    <row r="14">
      <c r="A14" s="507" t="s">
        <v>266</v>
      </c>
      <c r="B14" s="707">
        <f t="array" ref="B14">'Readiness Total Scores'!M26</f>
        <v>0.6996666667</v>
      </c>
      <c r="C14" s="265">
        <f t="array" ref="C14">'Impact Total Scores'!I26</f>
        <v>0.7619047619</v>
      </c>
      <c r="D14" s="265">
        <f t="shared" si="1"/>
        <v>0.7307857143</v>
      </c>
      <c r="E14" s="804">
        <v>7.0</v>
      </c>
      <c r="F14" s="805"/>
      <c r="G14" s="805"/>
      <c r="H14" s="805"/>
      <c r="I14" s="805"/>
      <c r="J14" s="805"/>
      <c r="K14" s="805"/>
      <c r="L14" s="805"/>
      <c r="M14" s="805"/>
      <c r="N14" s="805"/>
      <c r="O14" s="805"/>
      <c r="P14" s="805"/>
      <c r="Q14" s="805"/>
      <c r="R14" s="805"/>
      <c r="S14" s="805"/>
      <c r="T14" s="805"/>
      <c r="U14" s="805"/>
      <c r="V14" s="805"/>
      <c r="W14" s="805"/>
      <c r="X14" s="805"/>
      <c r="Y14" s="805"/>
      <c r="Z14" s="805"/>
    </row>
    <row r="15">
      <c r="A15" s="507" t="s">
        <v>405</v>
      </c>
      <c r="B15" s="707">
        <f t="array" ref="B15">'Readiness Total Scores'!M55</f>
        <v>0.6663333333</v>
      </c>
      <c r="C15" s="265">
        <f t="array" ref="C15">'Impact Total Scores'!I55</f>
        <v>0.7619047619</v>
      </c>
      <c r="D15" s="265">
        <f t="shared" si="1"/>
        <v>0.7141190476</v>
      </c>
      <c r="E15" s="804">
        <v>9.0</v>
      </c>
      <c r="F15" s="805"/>
      <c r="G15" s="805"/>
      <c r="H15" s="805"/>
      <c r="I15" s="805"/>
      <c r="J15" s="805"/>
      <c r="K15" s="805"/>
      <c r="L15" s="805"/>
      <c r="M15" s="805"/>
      <c r="N15" s="805"/>
      <c r="O15" s="805"/>
      <c r="P15" s="805"/>
      <c r="Q15" s="805"/>
      <c r="R15" s="805"/>
      <c r="S15" s="805"/>
      <c r="T15" s="805"/>
      <c r="U15" s="805"/>
      <c r="V15" s="805"/>
      <c r="W15" s="805"/>
      <c r="X15" s="805"/>
      <c r="Y15" s="805"/>
      <c r="Z15" s="805"/>
    </row>
    <row r="16">
      <c r="A16" s="507" t="s">
        <v>385</v>
      </c>
      <c r="B16" s="707">
        <f t="array" ref="B16">'Readiness Total Scores'!M27</f>
        <v>0.4814814815</v>
      </c>
      <c r="C16" s="265">
        <f t="array" ref="C16">'Impact Total Scores'!I27</f>
        <v>0.7619047619</v>
      </c>
      <c r="D16" s="265">
        <f t="shared" si="1"/>
        <v>0.6216931217</v>
      </c>
      <c r="E16" s="804">
        <v>29.0</v>
      </c>
      <c r="F16" s="805"/>
      <c r="G16" s="805"/>
      <c r="H16" s="805"/>
      <c r="I16" s="805"/>
      <c r="J16" s="805"/>
      <c r="K16" s="805"/>
      <c r="L16" s="805"/>
      <c r="M16" s="805"/>
      <c r="N16" s="805"/>
      <c r="O16" s="805"/>
      <c r="P16" s="805"/>
      <c r="Q16" s="805"/>
      <c r="R16" s="805"/>
      <c r="S16" s="805"/>
      <c r="T16" s="805"/>
      <c r="U16" s="805"/>
      <c r="V16" s="805"/>
      <c r="W16" s="805"/>
      <c r="X16" s="805"/>
      <c r="Y16" s="805"/>
      <c r="Z16" s="805"/>
    </row>
    <row r="17">
      <c r="A17" s="507" t="s">
        <v>336</v>
      </c>
      <c r="B17" s="707">
        <f t="array" ref="B17">'Readiness Total Scores'!M33</f>
        <v>0.4663333333</v>
      </c>
      <c r="C17" s="265">
        <f t="array" ref="C17">'Impact Total Scores'!I33</f>
        <v>0.7142857143</v>
      </c>
      <c r="D17" s="265">
        <f t="shared" si="1"/>
        <v>0.5903095238</v>
      </c>
      <c r="E17" s="804">
        <v>36.0</v>
      </c>
      <c r="F17" s="805"/>
      <c r="G17" s="805"/>
      <c r="H17" s="805"/>
      <c r="I17" s="805"/>
      <c r="J17" s="805"/>
      <c r="K17" s="805"/>
      <c r="L17" s="805"/>
      <c r="M17" s="805"/>
      <c r="N17" s="805"/>
      <c r="O17" s="805"/>
      <c r="P17" s="805"/>
      <c r="Q17" s="805"/>
      <c r="R17" s="805"/>
      <c r="S17" s="805"/>
      <c r="T17" s="805"/>
      <c r="U17" s="805"/>
      <c r="V17" s="805"/>
      <c r="W17" s="805"/>
      <c r="X17" s="805"/>
      <c r="Y17" s="805"/>
      <c r="Z17" s="805"/>
    </row>
    <row r="18">
      <c r="A18" s="507" t="s">
        <v>318</v>
      </c>
      <c r="B18" s="707">
        <f t="array" ref="B18">'Readiness Total Scores'!M54</f>
        <v>0.7411111111</v>
      </c>
      <c r="C18" s="265">
        <f t="array" ref="C18">'Impact Total Scores'!I54</f>
        <v>0.7142857143</v>
      </c>
      <c r="D18" s="265">
        <f t="shared" si="1"/>
        <v>0.7276984127</v>
      </c>
      <c r="E18" s="804">
        <v>8.0</v>
      </c>
      <c r="F18" s="805"/>
      <c r="G18" s="805"/>
      <c r="H18" s="805"/>
      <c r="I18" s="805"/>
      <c r="J18" s="805"/>
      <c r="K18" s="805"/>
      <c r="L18" s="805"/>
      <c r="M18" s="805"/>
      <c r="N18" s="805"/>
      <c r="O18" s="805"/>
      <c r="P18" s="805"/>
      <c r="Q18" s="805"/>
      <c r="R18" s="805"/>
      <c r="S18" s="805"/>
      <c r="T18" s="805"/>
      <c r="U18" s="805"/>
      <c r="V18" s="805"/>
      <c r="W18" s="805"/>
      <c r="X18" s="805"/>
      <c r="Y18" s="805"/>
      <c r="Z18" s="805"/>
    </row>
    <row r="19">
      <c r="A19" s="507" t="s">
        <v>291</v>
      </c>
      <c r="B19" s="707">
        <f t="array" ref="B19">'Readiness Total Scores'!M39</f>
        <v>0.6666666667</v>
      </c>
      <c r="C19" s="265">
        <f t="array" ref="C19">'Impact Total Scores'!I39</f>
        <v>0.7142857143</v>
      </c>
      <c r="D19" s="265">
        <f t="shared" si="1"/>
        <v>0.6904761905</v>
      </c>
      <c r="E19" s="804">
        <v>13.0</v>
      </c>
      <c r="F19" s="805"/>
      <c r="G19" s="805"/>
      <c r="H19" s="805"/>
      <c r="I19" s="805"/>
      <c r="J19" s="805"/>
      <c r="K19" s="805"/>
      <c r="L19" s="805"/>
      <c r="M19" s="805"/>
      <c r="N19" s="805"/>
      <c r="O19" s="805"/>
      <c r="P19" s="805"/>
      <c r="Q19" s="805"/>
      <c r="R19" s="805"/>
      <c r="S19" s="805"/>
      <c r="T19" s="805"/>
      <c r="U19" s="805"/>
      <c r="V19" s="805"/>
      <c r="W19" s="805"/>
      <c r="X19" s="805"/>
      <c r="Y19" s="805"/>
      <c r="Z19" s="805"/>
    </row>
    <row r="20">
      <c r="A20" s="507" t="s">
        <v>418</v>
      </c>
      <c r="B20" s="707">
        <f t="array" ref="B20">'Readiness Total Scores'!M52</f>
        <v>0.533</v>
      </c>
      <c r="C20" s="265">
        <f t="array" ref="C20">'Impact Total Scores'!I52</f>
        <v>0.7142857143</v>
      </c>
      <c r="D20" s="265">
        <f t="shared" si="1"/>
        <v>0.6236428571</v>
      </c>
      <c r="E20" s="804">
        <v>28.0</v>
      </c>
      <c r="F20" s="805"/>
      <c r="G20" s="805"/>
      <c r="H20" s="805"/>
      <c r="I20" s="805"/>
      <c r="J20" s="805"/>
      <c r="K20" s="805"/>
      <c r="L20" s="805"/>
      <c r="M20" s="805"/>
      <c r="N20" s="805"/>
      <c r="O20" s="805"/>
      <c r="P20" s="805"/>
      <c r="Q20" s="805"/>
      <c r="R20" s="805"/>
      <c r="S20" s="805"/>
      <c r="T20" s="805"/>
      <c r="U20" s="805"/>
      <c r="V20" s="805"/>
      <c r="W20" s="805"/>
      <c r="X20" s="805"/>
      <c r="Y20" s="805"/>
      <c r="Z20" s="805"/>
    </row>
    <row r="21">
      <c r="A21" s="507" t="s">
        <v>411</v>
      </c>
      <c r="B21" s="707">
        <f t="array" ref="B21">'Readiness Total Scores'!M45</f>
        <v>0.4996666667</v>
      </c>
      <c r="C21" s="265">
        <f t="array" ref="C21">'Impact Total Scores'!I45</f>
        <v>0.7142857143</v>
      </c>
      <c r="D21" s="265">
        <f t="shared" si="1"/>
        <v>0.6069761905</v>
      </c>
      <c r="E21" s="804">
        <v>31.0</v>
      </c>
      <c r="F21" s="805"/>
      <c r="G21" s="805"/>
      <c r="H21" s="805"/>
      <c r="I21" s="805"/>
      <c r="J21" s="805"/>
      <c r="K21" s="805"/>
      <c r="L21" s="805"/>
      <c r="M21" s="805"/>
      <c r="N21" s="805"/>
      <c r="O21" s="805"/>
      <c r="P21" s="805"/>
      <c r="Q21" s="805"/>
      <c r="R21" s="805"/>
      <c r="S21" s="805"/>
      <c r="T21" s="805"/>
      <c r="U21" s="805"/>
      <c r="V21" s="805"/>
      <c r="W21" s="805"/>
      <c r="X21" s="805"/>
      <c r="Y21" s="805"/>
      <c r="Z21" s="805"/>
    </row>
    <row r="22">
      <c r="A22" s="507" t="s">
        <v>329</v>
      </c>
      <c r="B22" s="707">
        <f t="array" ref="B22">'Readiness Total Scores'!M7</f>
        <v>0.4996666667</v>
      </c>
      <c r="C22" s="265">
        <f t="array" ref="C22">'Impact Total Scores'!I7</f>
        <v>0.7142857143</v>
      </c>
      <c r="D22" s="265">
        <f t="shared" si="1"/>
        <v>0.6069761905</v>
      </c>
      <c r="E22" s="804">
        <v>33.0</v>
      </c>
      <c r="F22" s="805"/>
      <c r="G22" s="805"/>
      <c r="H22" s="805"/>
      <c r="I22" s="805"/>
      <c r="J22" s="805"/>
      <c r="K22" s="805"/>
      <c r="L22" s="805"/>
      <c r="M22" s="805"/>
      <c r="N22" s="805"/>
      <c r="O22" s="805"/>
      <c r="P22" s="805"/>
      <c r="Q22" s="805"/>
      <c r="R22" s="805"/>
      <c r="S22" s="805"/>
      <c r="T22" s="805"/>
      <c r="U22" s="805"/>
      <c r="V22" s="805"/>
      <c r="W22" s="805"/>
      <c r="X22" s="805"/>
      <c r="Y22" s="805"/>
      <c r="Z22" s="805"/>
    </row>
    <row r="23">
      <c r="A23" s="507" t="s">
        <v>356</v>
      </c>
      <c r="B23" s="707">
        <f t="array" ref="B23">'Readiness Total Scores'!M16</f>
        <v>0.4996666667</v>
      </c>
      <c r="C23" s="265">
        <f t="array" ref="C23">'Impact Total Scores'!I16</f>
        <v>0.7142857143</v>
      </c>
      <c r="D23" s="265">
        <f t="shared" si="1"/>
        <v>0.6069761905</v>
      </c>
      <c r="E23" s="804">
        <v>32.0</v>
      </c>
      <c r="F23" s="805"/>
      <c r="G23" s="805"/>
      <c r="H23" s="805"/>
      <c r="I23" s="805"/>
      <c r="J23" s="805"/>
      <c r="K23" s="805"/>
      <c r="L23" s="805"/>
      <c r="M23" s="805"/>
      <c r="N23" s="805"/>
      <c r="O23" s="805"/>
      <c r="P23" s="805"/>
      <c r="Q23" s="805"/>
      <c r="R23" s="805"/>
      <c r="S23" s="805"/>
      <c r="T23" s="805"/>
      <c r="U23" s="805"/>
      <c r="V23" s="805"/>
      <c r="W23" s="805"/>
      <c r="X23" s="805"/>
      <c r="Y23" s="805"/>
      <c r="Z23" s="805"/>
    </row>
    <row r="24">
      <c r="A24" s="507" t="s">
        <v>340</v>
      </c>
      <c r="B24" s="707">
        <f t="array" ref="B24">'Readiness Total Scores'!M12</f>
        <v>0.4166666667</v>
      </c>
      <c r="C24" s="265">
        <f t="array" ref="C24">'Impact Total Scores'!I12</f>
        <v>0.7142857143</v>
      </c>
      <c r="D24" s="265">
        <f t="shared" si="1"/>
        <v>0.5654761905</v>
      </c>
      <c r="E24" s="804">
        <v>39.0</v>
      </c>
      <c r="F24" s="805"/>
      <c r="G24" s="805"/>
      <c r="H24" s="805"/>
      <c r="I24" s="805"/>
      <c r="J24" s="805"/>
      <c r="K24" s="805"/>
      <c r="L24" s="805"/>
      <c r="M24" s="805"/>
      <c r="N24" s="805"/>
      <c r="O24" s="805"/>
      <c r="P24" s="805"/>
      <c r="Q24" s="805"/>
      <c r="R24" s="805"/>
      <c r="S24" s="805"/>
      <c r="T24" s="805"/>
      <c r="U24" s="805"/>
      <c r="V24" s="805"/>
      <c r="W24" s="805"/>
      <c r="X24" s="805"/>
      <c r="Y24" s="805"/>
      <c r="Z24" s="805"/>
    </row>
    <row r="25">
      <c r="A25" s="507" t="s">
        <v>240</v>
      </c>
      <c r="B25" s="707">
        <f t="array" ref="B25">'Readiness Total Scores'!M5</f>
        <v>0.5922222222</v>
      </c>
      <c r="C25" s="265">
        <f t="array" ref="C25">'Impact Total Scores'!I5</f>
        <v>0.7142857143</v>
      </c>
      <c r="D25" s="265">
        <f t="shared" si="1"/>
        <v>0.6532539683</v>
      </c>
      <c r="E25" s="804">
        <v>20.0</v>
      </c>
      <c r="F25" s="805"/>
      <c r="G25" s="805"/>
      <c r="H25" s="805"/>
      <c r="I25" s="805"/>
      <c r="J25" s="805"/>
      <c r="K25" s="805"/>
      <c r="L25" s="805"/>
      <c r="M25" s="805"/>
      <c r="N25" s="805"/>
      <c r="O25" s="805"/>
      <c r="P25" s="805"/>
      <c r="Q25" s="805"/>
      <c r="R25" s="805"/>
      <c r="S25" s="805"/>
      <c r="T25" s="805"/>
      <c r="U25" s="805"/>
      <c r="V25" s="805"/>
      <c r="W25" s="805"/>
      <c r="X25" s="805"/>
      <c r="Y25" s="805"/>
      <c r="Z25" s="805"/>
    </row>
    <row r="26">
      <c r="A26" s="507" t="s">
        <v>398</v>
      </c>
      <c r="B26" s="707">
        <f t="array" ref="B26">'Readiness Total Scores'!M53</f>
        <v>0.5925925926</v>
      </c>
      <c r="C26" s="265">
        <f t="array" ref="C26">'Impact Total Scores'!I53</f>
        <v>0.6666666667</v>
      </c>
      <c r="D26" s="265">
        <f t="shared" si="1"/>
        <v>0.6296296296</v>
      </c>
      <c r="E26" s="804">
        <v>26.0</v>
      </c>
      <c r="F26" s="805"/>
      <c r="G26" s="805"/>
      <c r="H26" s="805"/>
      <c r="I26" s="805"/>
      <c r="J26" s="805"/>
      <c r="K26" s="805"/>
      <c r="L26" s="805"/>
      <c r="M26" s="805"/>
      <c r="N26" s="805"/>
      <c r="O26" s="805"/>
      <c r="P26" s="805"/>
      <c r="Q26" s="805"/>
      <c r="R26" s="805"/>
      <c r="S26" s="805"/>
      <c r="T26" s="805"/>
      <c r="U26" s="805"/>
      <c r="V26" s="805"/>
      <c r="W26" s="805"/>
      <c r="X26" s="805"/>
      <c r="Y26" s="805"/>
      <c r="Z26" s="805"/>
    </row>
    <row r="27">
      <c r="A27" s="507" t="s">
        <v>412</v>
      </c>
      <c r="B27" s="707">
        <f t="array" ref="B27">'Readiness Total Scores'!M47</f>
        <v>0.4444444444</v>
      </c>
      <c r="C27" s="265">
        <f t="array" ref="C27">'Impact Total Scores'!I47</f>
        <v>0.6666666667</v>
      </c>
      <c r="D27" s="265">
        <f t="shared" si="1"/>
        <v>0.5555555556</v>
      </c>
      <c r="E27" s="804">
        <v>42.0</v>
      </c>
      <c r="F27" s="805"/>
      <c r="G27" s="805"/>
      <c r="H27" s="805"/>
      <c r="I27" s="805"/>
      <c r="J27" s="805"/>
      <c r="K27" s="805"/>
      <c r="L27" s="805"/>
      <c r="M27" s="805"/>
      <c r="N27" s="805"/>
      <c r="O27" s="805"/>
      <c r="P27" s="805"/>
      <c r="Q27" s="805"/>
      <c r="R27" s="805"/>
      <c r="S27" s="805"/>
      <c r="T27" s="805"/>
      <c r="U27" s="805"/>
      <c r="V27" s="805"/>
      <c r="W27" s="805"/>
      <c r="X27" s="805"/>
      <c r="Y27" s="805"/>
      <c r="Z27" s="805"/>
    </row>
    <row r="28">
      <c r="A28" s="507" t="s">
        <v>399</v>
      </c>
      <c r="B28" s="707">
        <f t="array" ref="B28">'Readiness Total Scores'!M35</f>
        <v>0.433</v>
      </c>
      <c r="C28" s="265">
        <f t="array" ref="C28">'Impact Total Scores'!I35</f>
        <v>0.6666666667</v>
      </c>
      <c r="D28" s="265">
        <f t="shared" si="1"/>
        <v>0.5498333333</v>
      </c>
      <c r="E28" s="804">
        <v>44.0</v>
      </c>
      <c r="F28" s="805"/>
      <c r="G28" s="805"/>
      <c r="H28" s="805"/>
      <c r="I28" s="805"/>
      <c r="J28" s="805"/>
      <c r="K28" s="805"/>
      <c r="L28" s="805"/>
      <c r="M28" s="805"/>
      <c r="N28" s="805"/>
      <c r="O28" s="805"/>
      <c r="P28" s="805"/>
      <c r="Q28" s="805"/>
      <c r="R28" s="805"/>
      <c r="S28" s="805"/>
      <c r="T28" s="805"/>
      <c r="U28" s="805"/>
      <c r="V28" s="805"/>
      <c r="W28" s="805"/>
      <c r="X28" s="805"/>
      <c r="Y28" s="805"/>
      <c r="Z28" s="805"/>
    </row>
    <row r="29">
      <c r="A29" s="507" t="s">
        <v>416</v>
      </c>
      <c r="B29" s="707">
        <f t="array" ref="B29">'Readiness Total Scores'!M50</f>
        <v>0.41625</v>
      </c>
      <c r="C29" s="265">
        <f t="array" ref="C29">'Impact Total Scores'!I50</f>
        <v>0.6666666667</v>
      </c>
      <c r="D29" s="265">
        <f t="shared" si="1"/>
        <v>0.5414583333</v>
      </c>
      <c r="E29" s="804">
        <v>45.0</v>
      </c>
      <c r="F29" s="805"/>
      <c r="G29" s="805"/>
      <c r="H29" s="805"/>
      <c r="I29" s="805"/>
      <c r="J29" s="805"/>
      <c r="K29" s="805"/>
      <c r="L29" s="805"/>
      <c r="M29" s="805"/>
      <c r="N29" s="805"/>
      <c r="O29" s="805"/>
      <c r="P29" s="805"/>
      <c r="Q29" s="805"/>
      <c r="R29" s="805"/>
      <c r="S29" s="805"/>
      <c r="T29" s="805"/>
      <c r="U29" s="805"/>
      <c r="V29" s="805"/>
      <c r="W29" s="805"/>
      <c r="X29" s="805"/>
      <c r="Y29" s="805"/>
      <c r="Z29" s="805"/>
    </row>
    <row r="30">
      <c r="A30" s="507" t="s">
        <v>290</v>
      </c>
      <c r="B30" s="707">
        <f t="array" ref="B30">'Readiness Total Scores'!M38</f>
        <v>0.8518518519</v>
      </c>
      <c r="C30" s="265">
        <f t="array" ref="C30">'Impact Total Scores'!I38</f>
        <v>0.6666666667</v>
      </c>
      <c r="D30" s="265">
        <f t="shared" si="1"/>
        <v>0.7592592593</v>
      </c>
      <c r="E30" s="804">
        <v>2.0</v>
      </c>
      <c r="F30" s="805"/>
      <c r="G30" s="805"/>
      <c r="H30" s="805"/>
      <c r="I30" s="805"/>
      <c r="J30" s="805"/>
      <c r="K30" s="805"/>
      <c r="L30" s="805"/>
      <c r="M30" s="805"/>
      <c r="N30" s="805"/>
      <c r="O30" s="805"/>
      <c r="P30" s="805"/>
      <c r="Q30" s="805"/>
      <c r="R30" s="805"/>
      <c r="S30" s="805"/>
      <c r="T30" s="805"/>
      <c r="U30" s="805"/>
      <c r="V30" s="805"/>
      <c r="W30" s="805"/>
      <c r="X30" s="805"/>
      <c r="Y30" s="805"/>
      <c r="Z30" s="805"/>
    </row>
    <row r="31">
      <c r="A31" s="507" t="s">
        <v>313</v>
      </c>
      <c r="B31" s="707">
        <f t="array" ref="B31">'Readiness Total Scores'!M49</f>
        <v>0.8</v>
      </c>
      <c r="C31" s="265">
        <f t="array" ref="C31">'Impact Total Scores'!I49</f>
        <v>0.6666666667</v>
      </c>
      <c r="D31" s="265">
        <f t="shared" si="1"/>
        <v>0.7333333333</v>
      </c>
      <c r="E31" s="804">
        <v>4.0</v>
      </c>
      <c r="F31" s="805"/>
      <c r="G31" s="805"/>
      <c r="H31" s="805"/>
      <c r="I31" s="805"/>
      <c r="J31" s="805"/>
      <c r="K31" s="805"/>
      <c r="L31" s="805"/>
      <c r="M31" s="805"/>
      <c r="N31" s="805"/>
      <c r="O31" s="805"/>
      <c r="P31" s="805"/>
      <c r="Q31" s="805"/>
      <c r="R31" s="805"/>
      <c r="S31" s="805"/>
      <c r="T31" s="805"/>
      <c r="U31" s="805"/>
      <c r="V31" s="805"/>
      <c r="W31" s="805"/>
      <c r="X31" s="805"/>
      <c r="Y31" s="805"/>
      <c r="Z31" s="805"/>
    </row>
    <row r="32">
      <c r="A32" s="507" t="s">
        <v>302</v>
      </c>
      <c r="B32" s="707">
        <f t="array" ref="B32">'Readiness Total Scores'!M43</f>
        <v>0.7403703704</v>
      </c>
      <c r="C32" s="265">
        <f t="array" ref="C32">'Impact Total Scores'!I43</f>
        <v>0.6666666667</v>
      </c>
      <c r="D32" s="265">
        <f t="shared" si="1"/>
        <v>0.7035185185</v>
      </c>
      <c r="E32" s="804">
        <v>12.0</v>
      </c>
      <c r="F32" s="805"/>
      <c r="G32" s="805"/>
      <c r="H32" s="805"/>
      <c r="I32" s="805"/>
      <c r="J32" s="805"/>
      <c r="K32" s="805"/>
      <c r="L32" s="805"/>
      <c r="M32" s="805"/>
      <c r="N32" s="805"/>
      <c r="O32" s="805"/>
      <c r="P32" s="805"/>
      <c r="Q32" s="805"/>
      <c r="R32" s="805"/>
      <c r="S32" s="805"/>
      <c r="T32" s="805"/>
      <c r="U32" s="805"/>
      <c r="V32" s="805"/>
      <c r="W32" s="805"/>
      <c r="X32" s="805"/>
      <c r="Y32" s="805"/>
      <c r="Z32" s="805"/>
    </row>
    <row r="33">
      <c r="A33" s="507" t="s">
        <v>360</v>
      </c>
      <c r="B33" s="707">
        <f t="array" ref="B33">'Readiness Total Scores'!M20</f>
        <v>0.6666666667</v>
      </c>
      <c r="C33" s="265">
        <f t="array" ref="C33">'Impact Total Scores'!I20</f>
        <v>0.6666666667</v>
      </c>
      <c r="D33" s="265">
        <f t="shared" si="1"/>
        <v>0.6666666667</v>
      </c>
      <c r="E33" s="804">
        <v>16.0</v>
      </c>
      <c r="F33" s="805"/>
      <c r="G33" s="805"/>
      <c r="H33" s="805"/>
      <c r="I33" s="805"/>
      <c r="J33" s="805"/>
      <c r="K33" s="805"/>
      <c r="L33" s="805"/>
      <c r="M33" s="805"/>
      <c r="N33" s="805"/>
      <c r="O33" s="805"/>
      <c r="P33" s="805"/>
      <c r="Q33" s="805"/>
      <c r="R33" s="805"/>
      <c r="S33" s="805"/>
      <c r="T33" s="805"/>
      <c r="U33" s="805"/>
      <c r="V33" s="805"/>
      <c r="W33" s="805"/>
      <c r="X33" s="805"/>
      <c r="Y33" s="805"/>
      <c r="Z33" s="805"/>
    </row>
    <row r="34">
      <c r="A34" s="507" t="s">
        <v>363</v>
      </c>
      <c r="B34" s="707">
        <f t="array" ref="B34">'Readiness Total Scores'!M22</f>
        <v>0.5925925926</v>
      </c>
      <c r="C34" s="265">
        <f t="array" ref="C34">'Impact Total Scores'!I22</f>
        <v>0.6666666667</v>
      </c>
      <c r="D34" s="265">
        <f t="shared" si="1"/>
        <v>0.6296296296</v>
      </c>
      <c r="E34" s="804">
        <v>27.0</v>
      </c>
      <c r="F34" s="805"/>
      <c r="G34" s="805"/>
      <c r="H34" s="805"/>
      <c r="I34" s="805"/>
      <c r="J34" s="805"/>
      <c r="K34" s="805"/>
      <c r="L34" s="805"/>
      <c r="M34" s="805"/>
      <c r="N34" s="805"/>
      <c r="O34" s="805"/>
      <c r="P34" s="805"/>
      <c r="Q34" s="805"/>
      <c r="R34" s="805"/>
      <c r="S34" s="805"/>
      <c r="T34" s="805"/>
      <c r="U34" s="805"/>
      <c r="V34" s="805"/>
      <c r="W34" s="805"/>
      <c r="X34" s="805"/>
      <c r="Y34" s="805"/>
      <c r="Z34" s="805"/>
    </row>
    <row r="35">
      <c r="A35" s="507" t="s">
        <v>408</v>
      </c>
      <c r="B35" s="707">
        <f t="array" ref="B35">'Readiness Total Scores'!M56</f>
        <v>0.5663333333</v>
      </c>
      <c r="C35" s="265">
        <f t="array" ref="C35">'Impact Total Scores'!I56</f>
        <v>0.6666666667</v>
      </c>
      <c r="D35" s="265">
        <f t="shared" si="1"/>
        <v>0.6165</v>
      </c>
      <c r="E35" s="804">
        <v>30.0</v>
      </c>
      <c r="F35" s="805"/>
      <c r="G35" s="805"/>
      <c r="H35" s="805"/>
      <c r="I35" s="805"/>
      <c r="J35" s="805"/>
      <c r="K35" s="805"/>
      <c r="L35" s="805"/>
      <c r="M35" s="805"/>
      <c r="N35" s="805"/>
      <c r="O35" s="805"/>
      <c r="P35" s="805"/>
      <c r="Q35" s="805"/>
      <c r="R35" s="805"/>
      <c r="S35" s="805"/>
      <c r="T35" s="805"/>
      <c r="U35" s="805"/>
      <c r="V35" s="805"/>
      <c r="W35" s="805"/>
      <c r="X35" s="805"/>
      <c r="Y35" s="805"/>
      <c r="Z35" s="805"/>
    </row>
    <row r="36">
      <c r="A36" s="507" t="s">
        <v>333</v>
      </c>
      <c r="B36" s="707">
        <f t="array" ref="B36">'Readiness Total Scores'!M9</f>
        <v>0.5416666667</v>
      </c>
      <c r="C36" s="265">
        <f t="array" ref="C36">'Impact Total Scores'!I9</f>
        <v>0.6666666667</v>
      </c>
      <c r="D36" s="265">
        <f t="shared" si="1"/>
        <v>0.6041666667</v>
      </c>
      <c r="E36" s="804">
        <v>34.0</v>
      </c>
      <c r="F36" s="805"/>
      <c r="G36" s="805"/>
      <c r="H36" s="805"/>
      <c r="I36" s="805"/>
      <c r="J36" s="805"/>
      <c r="K36" s="805"/>
      <c r="L36" s="805"/>
      <c r="M36" s="805"/>
      <c r="N36" s="805"/>
      <c r="O36" s="805"/>
      <c r="P36" s="805"/>
      <c r="Q36" s="805"/>
      <c r="R36" s="805"/>
      <c r="S36" s="805"/>
      <c r="T36" s="805"/>
      <c r="U36" s="805"/>
      <c r="V36" s="805"/>
      <c r="W36" s="805"/>
      <c r="X36" s="805"/>
      <c r="Y36" s="805"/>
      <c r="Z36" s="805"/>
    </row>
    <row r="37">
      <c r="A37" s="507" t="s">
        <v>207</v>
      </c>
      <c r="B37" s="707">
        <f t="array" ref="B37">'Readiness Total Scores'!M4</f>
        <v>0.6662962963</v>
      </c>
      <c r="C37" s="265">
        <f t="array" ref="C37">'Impact Total Scores'!I4</f>
        <v>0.619047619</v>
      </c>
      <c r="D37" s="265">
        <f t="shared" si="1"/>
        <v>0.6426719577</v>
      </c>
      <c r="E37" s="804">
        <v>24.0</v>
      </c>
      <c r="F37" s="805"/>
      <c r="G37" s="805"/>
      <c r="H37" s="805"/>
      <c r="I37" s="805"/>
      <c r="J37" s="805"/>
      <c r="K37" s="805"/>
      <c r="L37" s="805"/>
      <c r="M37" s="805"/>
      <c r="N37" s="805"/>
      <c r="O37" s="805"/>
      <c r="P37" s="805"/>
      <c r="Q37" s="805"/>
      <c r="R37" s="805"/>
      <c r="S37" s="805"/>
      <c r="T37" s="805"/>
      <c r="U37" s="805"/>
      <c r="V37" s="805"/>
      <c r="W37" s="805"/>
      <c r="X37" s="805"/>
      <c r="Y37" s="805"/>
      <c r="Z37" s="805"/>
    </row>
    <row r="38">
      <c r="A38" s="507" t="s">
        <v>374</v>
      </c>
      <c r="B38" s="707">
        <f t="array" ref="B38">'Readiness Total Scores'!M24</f>
        <v>0.4814814815</v>
      </c>
      <c r="C38" s="265">
        <f t="array" ref="C38">'Impact Total Scores'!I24</f>
        <v>0.619047619</v>
      </c>
      <c r="D38" s="265">
        <f t="shared" si="1"/>
        <v>0.5502645503</v>
      </c>
      <c r="E38" s="804">
        <v>43.0</v>
      </c>
      <c r="F38" s="805"/>
      <c r="G38" s="805"/>
      <c r="H38" s="805"/>
      <c r="I38" s="805"/>
      <c r="J38" s="805"/>
      <c r="K38" s="805"/>
      <c r="L38" s="805"/>
      <c r="M38" s="805"/>
      <c r="N38" s="805"/>
      <c r="O38" s="805"/>
      <c r="P38" s="805"/>
      <c r="Q38" s="805"/>
      <c r="R38" s="805"/>
      <c r="S38" s="805"/>
      <c r="T38" s="805"/>
      <c r="U38" s="805"/>
      <c r="V38" s="805"/>
      <c r="W38" s="805"/>
      <c r="X38" s="805"/>
      <c r="Y38" s="805"/>
      <c r="Z38" s="805"/>
    </row>
    <row r="39">
      <c r="A39" s="507" t="s">
        <v>354</v>
      </c>
      <c r="B39" s="707">
        <f t="array" ref="B39">'Readiness Total Scores'!M37</f>
        <v>0.8</v>
      </c>
      <c r="C39" s="265">
        <f t="array" ref="C39">'Impact Total Scores'!I37</f>
        <v>0.619047619</v>
      </c>
      <c r="D39" s="265">
        <f t="shared" si="1"/>
        <v>0.7095238095</v>
      </c>
      <c r="E39" s="804">
        <v>10.0</v>
      </c>
      <c r="F39" s="805"/>
      <c r="G39" s="805"/>
      <c r="H39" s="805"/>
      <c r="I39" s="805"/>
      <c r="J39" s="805"/>
      <c r="K39" s="805"/>
      <c r="L39" s="805"/>
      <c r="M39" s="805"/>
      <c r="N39" s="805"/>
      <c r="O39" s="805"/>
      <c r="P39" s="805"/>
      <c r="Q39" s="805"/>
      <c r="R39" s="805"/>
      <c r="S39" s="805"/>
      <c r="T39" s="805"/>
      <c r="U39" s="805"/>
      <c r="V39" s="805"/>
      <c r="W39" s="805"/>
      <c r="X39" s="805"/>
      <c r="Y39" s="805"/>
      <c r="Z39" s="805"/>
    </row>
    <row r="40">
      <c r="A40" s="507" t="s">
        <v>357</v>
      </c>
      <c r="B40" s="707">
        <f t="array" ref="B40">'Readiness Total Scores'!M17</f>
        <v>0.6666666667</v>
      </c>
      <c r="C40" s="265">
        <f t="array" ref="C40">'Impact Total Scores'!I17</f>
        <v>0.619047619</v>
      </c>
      <c r="D40" s="265">
        <f t="shared" si="1"/>
        <v>0.6428571429</v>
      </c>
      <c r="E40" s="804">
        <v>23.0</v>
      </c>
      <c r="F40" s="805"/>
      <c r="G40" s="805"/>
      <c r="H40" s="805"/>
      <c r="I40" s="805"/>
      <c r="J40" s="805"/>
      <c r="K40" s="805"/>
      <c r="L40" s="805"/>
      <c r="M40" s="805"/>
      <c r="N40" s="805"/>
      <c r="O40" s="805"/>
      <c r="P40" s="805"/>
      <c r="Q40" s="805"/>
      <c r="R40" s="805"/>
      <c r="S40" s="805"/>
      <c r="T40" s="805"/>
      <c r="U40" s="805"/>
      <c r="V40" s="805"/>
      <c r="W40" s="805"/>
      <c r="X40" s="805"/>
      <c r="Y40" s="805"/>
      <c r="Z40" s="805"/>
    </row>
    <row r="41">
      <c r="A41" s="507" t="s">
        <v>351</v>
      </c>
      <c r="B41" s="707">
        <f t="array" ref="B41">'Readiness Total Scores'!M15</f>
        <v>0.4440740741</v>
      </c>
      <c r="C41" s="265">
        <f t="array" ref="C41">'Impact Total Scores'!I15</f>
        <v>0.619047619</v>
      </c>
      <c r="D41" s="265">
        <f t="shared" si="1"/>
        <v>0.5315608466</v>
      </c>
      <c r="E41" s="804">
        <v>46.0</v>
      </c>
      <c r="F41" s="805"/>
      <c r="G41" s="805"/>
      <c r="H41" s="805"/>
      <c r="I41" s="805"/>
      <c r="J41" s="805"/>
      <c r="K41" s="805"/>
      <c r="L41" s="805"/>
      <c r="M41" s="805"/>
      <c r="N41" s="805"/>
      <c r="O41" s="805"/>
      <c r="P41" s="805"/>
      <c r="Q41" s="805"/>
      <c r="R41" s="805"/>
      <c r="S41" s="805"/>
      <c r="T41" s="805"/>
      <c r="U41" s="805"/>
      <c r="V41" s="805"/>
      <c r="W41" s="805"/>
      <c r="X41" s="805"/>
      <c r="Y41" s="805"/>
      <c r="Z41" s="805"/>
    </row>
    <row r="42">
      <c r="A42" s="507" t="s">
        <v>225</v>
      </c>
      <c r="B42" s="707">
        <f t="array" ref="B42">'Readiness Total Scores'!M10</f>
        <v>0.7083333333</v>
      </c>
      <c r="C42" s="265">
        <f t="array" ref="C42">'Impact Total Scores'!I10</f>
        <v>0.5714285714</v>
      </c>
      <c r="D42" s="265">
        <f t="shared" si="1"/>
        <v>0.6398809524</v>
      </c>
      <c r="E42" s="804">
        <v>25.0</v>
      </c>
      <c r="F42" s="805"/>
      <c r="G42" s="805"/>
      <c r="H42" s="805"/>
      <c r="I42" s="805"/>
      <c r="J42" s="805"/>
      <c r="K42" s="805"/>
      <c r="L42" s="805"/>
      <c r="M42" s="805"/>
      <c r="N42" s="805"/>
      <c r="O42" s="805"/>
      <c r="P42" s="805"/>
      <c r="Q42" s="805"/>
      <c r="R42" s="805"/>
      <c r="S42" s="805"/>
      <c r="T42" s="805"/>
      <c r="U42" s="805"/>
      <c r="V42" s="805"/>
      <c r="W42" s="805"/>
      <c r="X42" s="805"/>
      <c r="Y42" s="805"/>
      <c r="Z42" s="805"/>
    </row>
    <row r="43">
      <c r="A43" s="507" t="s">
        <v>320</v>
      </c>
      <c r="B43" s="707">
        <f t="array" ref="B43">'Readiness Total Scores'!M57</f>
        <v>0.5996666667</v>
      </c>
      <c r="C43" s="265">
        <f t="array" ref="C43">'Impact Total Scores'!I57</f>
        <v>0.5714285714</v>
      </c>
      <c r="D43" s="265">
        <f t="shared" si="1"/>
        <v>0.585547619</v>
      </c>
      <c r="E43" s="804">
        <v>37.0</v>
      </c>
      <c r="F43" s="805"/>
      <c r="G43" s="805"/>
      <c r="H43" s="805"/>
      <c r="I43" s="805"/>
      <c r="J43" s="805"/>
      <c r="K43" s="805"/>
      <c r="L43" s="805"/>
      <c r="M43" s="805"/>
      <c r="N43" s="805"/>
      <c r="O43" s="805"/>
      <c r="P43" s="805"/>
      <c r="Q43" s="805"/>
      <c r="R43" s="805"/>
      <c r="S43" s="805"/>
      <c r="T43" s="805"/>
      <c r="U43" s="805"/>
      <c r="V43" s="805"/>
      <c r="W43" s="805"/>
      <c r="X43" s="805"/>
      <c r="Y43" s="805"/>
      <c r="Z43" s="805"/>
    </row>
    <row r="44">
      <c r="A44" s="507" t="s">
        <v>346</v>
      </c>
      <c r="B44" s="707">
        <f t="array" ref="B44">'Readiness Total Scores'!M14</f>
        <v>0.5714285714</v>
      </c>
      <c r="C44" s="265">
        <f t="array" ref="C44">'Impact Total Scores'!I14</f>
        <v>0.5714285714</v>
      </c>
      <c r="D44" s="265">
        <f t="shared" si="1"/>
        <v>0.5714285714</v>
      </c>
      <c r="E44" s="804">
        <v>38.0</v>
      </c>
      <c r="F44" s="805"/>
      <c r="G44" s="805"/>
      <c r="H44" s="805"/>
      <c r="I44" s="805"/>
      <c r="J44" s="805"/>
      <c r="K44" s="805"/>
      <c r="L44" s="805"/>
      <c r="M44" s="805"/>
      <c r="N44" s="805"/>
      <c r="O44" s="805"/>
      <c r="P44" s="805"/>
      <c r="Q44" s="805"/>
      <c r="R44" s="805"/>
      <c r="S44" s="805"/>
      <c r="T44" s="805"/>
      <c r="U44" s="805"/>
      <c r="V44" s="805"/>
      <c r="W44" s="805"/>
      <c r="X44" s="805"/>
      <c r="Y44" s="805"/>
      <c r="Z44" s="805"/>
    </row>
    <row r="45">
      <c r="A45" s="507" t="s">
        <v>392</v>
      </c>
      <c r="B45" s="707">
        <f t="array" ref="B45">'Readiness Total Scores'!M30</f>
        <v>0.5555555556</v>
      </c>
      <c r="C45" s="265">
        <f t="array" ref="C45">'Impact Total Scores'!I30</f>
        <v>0.5714285714</v>
      </c>
      <c r="D45" s="265">
        <f t="shared" si="1"/>
        <v>0.5634920635</v>
      </c>
      <c r="E45" s="804">
        <v>40.0</v>
      </c>
      <c r="F45" s="805"/>
      <c r="G45" s="805"/>
      <c r="H45" s="805"/>
      <c r="I45" s="805"/>
      <c r="J45" s="805"/>
      <c r="K45" s="805"/>
      <c r="L45" s="805"/>
      <c r="M45" s="805"/>
      <c r="N45" s="805"/>
      <c r="O45" s="805"/>
      <c r="P45" s="805"/>
      <c r="Q45" s="805"/>
      <c r="R45" s="805"/>
      <c r="S45" s="805"/>
      <c r="T45" s="805"/>
      <c r="U45" s="805"/>
      <c r="V45" s="805"/>
      <c r="W45" s="805"/>
      <c r="X45" s="805"/>
      <c r="Y45" s="805"/>
      <c r="Z45" s="805"/>
    </row>
    <row r="46">
      <c r="A46" s="507" t="s">
        <v>394</v>
      </c>
      <c r="B46" s="707">
        <f t="array" ref="B46">'Readiness Total Scores'!M31</f>
        <v>0.5555555556</v>
      </c>
      <c r="C46" s="265">
        <f t="array" ref="C46">'Impact Total Scores'!I31</f>
        <v>0.5714285714</v>
      </c>
      <c r="D46" s="265">
        <f t="shared" si="1"/>
        <v>0.5634920635</v>
      </c>
      <c r="E46" s="804">
        <v>41.0</v>
      </c>
      <c r="F46" s="805"/>
      <c r="G46" s="805"/>
      <c r="H46" s="805"/>
      <c r="I46" s="805"/>
      <c r="J46" s="805"/>
      <c r="K46" s="805"/>
      <c r="L46" s="805"/>
      <c r="M46" s="805"/>
      <c r="N46" s="805"/>
      <c r="O46" s="805"/>
      <c r="P46" s="805"/>
      <c r="Q46" s="805"/>
      <c r="R46" s="805"/>
      <c r="S46" s="805"/>
      <c r="T46" s="805"/>
      <c r="U46" s="805"/>
      <c r="V46" s="805"/>
      <c r="W46" s="805"/>
      <c r="X46" s="805"/>
      <c r="Y46" s="805"/>
      <c r="Z46" s="805"/>
    </row>
    <row r="47">
      <c r="A47" s="507" t="s">
        <v>342</v>
      </c>
      <c r="B47" s="707">
        <f t="array" ref="B47">'Readiness Total Scores'!M13</f>
        <v>0.4444444444</v>
      </c>
      <c r="C47" s="265">
        <f t="array" ref="C47">'Impact Total Scores'!I13</f>
        <v>0.5714285714</v>
      </c>
      <c r="D47" s="265">
        <f t="shared" si="1"/>
        <v>0.5079365079</v>
      </c>
      <c r="E47" s="804">
        <v>50.0</v>
      </c>
      <c r="F47" s="805"/>
      <c r="G47" s="805"/>
      <c r="H47" s="805"/>
      <c r="I47" s="805"/>
      <c r="J47" s="805"/>
      <c r="K47" s="805"/>
      <c r="L47" s="805"/>
      <c r="M47" s="805"/>
      <c r="N47" s="805"/>
      <c r="O47" s="805"/>
      <c r="P47" s="805"/>
      <c r="Q47" s="805"/>
      <c r="R47" s="805"/>
      <c r="S47" s="805"/>
      <c r="T47" s="805"/>
      <c r="U47" s="805"/>
      <c r="V47" s="805"/>
      <c r="W47" s="805"/>
      <c r="X47" s="805"/>
      <c r="Y47" s="805"/>
      <c r="Z47" s="805"/>
    </row>
    <row r="48">
      <c r="A48" s="507" t="s">
        <v>410</v>
      </c>
      <c r="B48" s="707">
        <f t="array" ref="B48">'Readiness Total Scores'!M44</f>
        <v>0.5238095238</v>
      </c>
      <c r="C48" s="265">
        <f t="array" ref="C48">'Impact Total Scores'!I44</f>
        <v>0.5238095238</v>
      </c>
      <c r="D48" s="265">
        <f t="shared" si="1"/>
        <v>0.5238095238</v>
      </c>
      <c r="E48" s="804">
        <v>47.0</v>
      </c>
      <c r="F48" s="805"/>
      <c r="G48" s="805"/>
      <c r="H48" s="805"/>
      <c r="I48" s="805"/>
      <c r="J48" s="805"/>
      <c r="K48" s="805"/>
      <c r="L48" s="805"/>
      <c r="M48" s="805"/>
      <c r="N48" s="805"/>
      <c r="O48" s="805"/>
      <c r="P48" s="805"/>
      <c r="Q48" s="805"/>
      <c r="R48" s="805"/>
      <c r="S48" s="805"/>
      <c r="T48" s="805"/>
      <c r="U48" s="805"/>
      <c r="V48" s="805"/>
      <c r="W48" s="805"/>
      <c r="X48" s="805"/>
      <c r="Y48" s="805"/>
      <c r="Z48" s="805"/>
    </row>
    <row r="49">
      <c r="A49" s="507" t="s">
        <v>401</v>
      </c>
      <c r="B49" s="707">
        <f t="array" ref="B49">'Readiness Total Scores'!M36</f>
        <v>0.4811111111</v>
      </c>
      <c r="C49" s="265">
        <f t="array" ref="C49">'Impact Total Scores'!I36</f>
        <v>0.5238095238</v>
      </c>
      <c r="D49" s="265">
        <f t="shared" si="1"/>
        <v>0.5024603175</v>
      </c>
      <c r="E49" s="804">
        <v>51.0</v>
      </c>
      <c r="F49" s="805"/>
      <c r="G49" s="805"/>
      <c r="H49" s="805"/>
      <c r="I49" s="805"/>
      <c r="J49" s="805"/>
      <c r="K49" s="805"/>
      <c r="L49" s="805"/>
      <c r="M49" s="805"/>
      <c r="N49" s="805"/>
      <c r="O49" s="805"/>
      <c r="P49" s="805"/>
      <c r="Q49" s="805"/>
      <c r="R49" s="805"/>
      <c r="S49" s="805"/>
      <c r="T49" s="805"/>
      <c r="U49" s="805"/>
      <c r="V49" s="805"/>
      <c r="W49" s="805"/>
      <c r="X49" s="805"/>
      <c r="Y49" s="805"/>
      <c r="Z49" s="805"/>
    </row>
    <row r="50">
      <c r="A50" s="507" t="s">
        <v>407</v>
      </c>
      <c r="B50" s="707">
        <f t="array" ref="B50">'Readiness Total Scores'!M41</f>
        <v>0.4663333333</v>
      </c>
      <c r="C50" s="265">
        <f t="array" ref="C50">'Impact Total Scores'!I41</f>
        <v>0.5238095238</v>
      </c>
      <c r="D50" s="265">
        <f t="shared" si="1"/>
        <v>0.4950714286</v>
      </c>
      <c r="E50" s="804">
        <v>52.0</v>
      </c>
      <c r="F50" s="805"/>
      <c r="G50" s="805"/>
      <c r="H50" s="805"/>
      <c r="I50" s="805"/>
      <c r="J50" s="805"/>
      <c r="K50" s="805"/>
      <c r="L50" s="805"/>
      <c r="M50" s="805"/>
      <c r="N50" s="805"/>
      <c r="O50" s="805"/>
      <c r="P50" s="805"/>
      <c r="Q50" s="805"/>
      <c r="R50" s="805"/>
      <c r="S50" s="805"/>
      <c r="T50" s="805"/>
      <c r="U50" s="805"/>
      <c r="V50" s="805"/>
      <c r="W50" s="805"/>
      <c r="X50" s="805"/>
      <c r="Y50" s="805"/>
      <c r="Z50" s="805"/>
    </row>
    <row r="51">
      <c r="A51" s="507" t="s">
        <v>386</v>
      </c>
      <c r="B51" s="707">
        <f t="array" ref="B51">'Readiness Total Scores'!M28</f>
        <v>0.380952381</v>
      </c>
      <c r="C51" s="265">
        <f t="array" ref="C51">'Impact Total Scores'!I28</f>
        <v>0.5238095238</v>
      </c>
      <c r="D51" s="265">
        <f t="shared" si="1"/>
        <v>0.4523809524</v>
      </c>
      <c r="E51" s="804">
        <v>54.0</v>
      </c>
      <c r="F51" s="805"/>
      <c r="G51" s="805"/>
      <c r="H51" s="805"/>
      <c r="I51" s="805"/>
      <c r="J51" s="805"/>
      <c r="K51" s="805"/>
      <c r="L51" s="805"/>
      <c r="M51" s="805"/>
      <c r="N51" s="805"/>
      <c r="O51" s="805"/>
      <c r="P51" s="805"/>
      <c r="Q51" s="805"/>
      <c r="R51" s="805"/>
      <c r="S51" s="805"/>
      <c r="T51" s="805"/>
      <c r="U51" s="805"/>
      <c r="V51" s="805"/>
      <c r="W51" s="805"/>
      <c r="X51" s="805"/>
      <c r="Y51" s="805"/>
      <c r="Z51" s="805"/>
    </row>
    <row r="52">
      <c r="A52" s="507" t="s">
        <v>309</v>
      </c>
      <c r="B52" s="707">
        <f t="array" ref="B52">'Readiness Total Scores'!M46</f>
        <v>0.875</v>
      </c>
      <c r="C52" s="265">
        <f t="array" ref="C52">'Impact Total Scores'!I46</f>
        <v>0.4761904762</v>
      </c>
      <c r="D52" s="265">
        <f t="shared" si="1"/>
        <v>0.6755952381</v>
      </c>
      <c r="E52" s="804">
        <v>14.0</v>
      </c>
      <c r="F52" s="805"/>
      <c r="G52" s="805"/>
      <c r="H52" s="805"/>
      <c r="I52" s="805"/>
      <c r="J52" s="805"/>
      <c r="K52" s="805"/>
      <c r="L52" s="805"/>
      <c r="M52" s="805"/>
      <c r="N52" s="805"/>
      <c r="O52" s="805"/>
      <c r="P52" s="805"/>
      <c r="Q52" s="805"/>
      <c r="R52" s="805"/>
      <c r="S52" s="805"/>
      <c r="T52" s="805"/>
      <c r="U52" s="805"/>
      <c r="V52" s="805"/>
      <c r="W52" s="805"/>
      <c r="X52" s="805"/>
      <c r="Y52" s="805"/>
      <c r="Z52" s="805"/>
    </row>
    <row r="53">
      <c r="A53" s="507" t="s">
        <v>263</v>
      </c>
      <c r="B53" s="707">
        <f t="array" ref="B53">'Readiness Total Scores'!M25</f>
        <v>0.5555555556</v>
      </c>
      <c r="C53" s="265">
        <f t="array" ref="C53">'Impact Total Scores'!I25</f>
        <v>0.4761904762</v>
      </c>
      <c r="D53" s="265">
        <f t="shared" si="1"/>
        <v>0.5158730159</v>
      </c>
      <c r="E53" s="804">
        <v>49.0</v>
      </c>
      <c r="F53" s="805"/>
      <c r="G53" s="805"/>
      <c r="H53" s="805"/>
      <c r="I53" s="805"/>
      <c r="J53" s="805"/>
      <c r="K53" s="805"/>
      <c r="L53" s="805"/>
      <c r="M53" s="805"/>
      <c r="N53" s="805"/>
      <c r="O53" s="805"/>
      <c r="P53" s="805"/>
      <c r="Q53" s="805"/>
      <c r="R53" s="805"/>
      <c r="S53" s="805"/>
      <c r="T53" s="805"/>
      <c r="U53" s="805"/>
      <c r="V53" s="805"/>
      <c r="W53" s="805"/>
      <c r="X53" s="805"/>
      <c r="Y53" s="805"/>
      <c r="Z53" s="805"/>
    </row>
    <row r="54">
      <c r="A54" s="507" t="s">
        <v>362</v>
      </c>
      <c r="B54" s="707">
        <f t="array" ref="B54">'Readiness Total Scores'!M21</f>
        <v>0.4757142857</v>
      </c>
      <c r="C54" s="265">
        <f t="array" ref="C54">'Impact Total Scores'!I21</f>
        <v>0.4666666667</v>
      </c>
      <c r="D54" s="265">
        <f t="shared" si="1"/>
        <v>0.4711904762</v>
      </c>
      <c r="E54" s="804">
        <v>53.0</v>
      </c>
      <c r="F54" s="805"/>
      <c r="G54" s="805"/>
      <c r="H54" s="805"/>
      <c r="I54" s="805"/>
      <c r="J54" s="805"/>
      <c r="K54" s="805"/>
      <c r="L54" s="805"/>
      <c r="M54" s="805"/>
      <c r="N54" s="805"/>
      <c r="O54" s="805"/>
      <c r="P54" s="805"/>
      <c r="Q54" s="805"/>
      <c r="R54" s="805"/>
      <c r="S54" s="805"/>
      <c r="T54" s="805"/>
      <c r="U54" s="805"/>
      <c r="V54" s="805"/>
      <c r="W54" s="805"/>
      <c r="X54" s="805"/>
      <c r="Y54" s="805"/>
      <c r="Z54" s="805"/>
    </row>
    <row r="55">
      <c r="A55" s="521" t="s">
        <v>415</v>
      </c>
      <c r="B55" s="716">
        <f t="array" ref="B55">'Readiness Total Scores'!M48</f>
        <v>0.6116666667</v>
      </c>
      <c r="C55" s="350">
        <f t="array" ref="C55">'Impact Total Scores'!I48</f>
        <v>0.4285714286</v>
      </c>
      <c r="D55" s="350">
        <f t="shared" si="1"/>
        <v>0.5201190476</v>
      </c>
      <c r="E55" s="815">
        <v>48.0</v>
      </c>
      <c r="F55" s="805"/>
      <c r="G55" s="805"/>
      <c r="H55" s="805"/>
      <c r="I55" s="805"/>
      <c r="J55" s="805"/>
      <c r="K55" s="805"/>
      <c r="L55" s="805"/>
      <c r="M55" s="805"/>
      <c r="N55" s="805"/>
      <c r="O55" s="805"/>
      <c r="P55" s="805"/>
      <c r="Q55" s="805"/>
      <c r="R55" s="805"/>
      <c r="S55" s="805"/>
      <c r="T55" s="805"/>
      <c r="U55" s="805"/>
      <c r="V55" s="805"/>
      <c r="W55" s="805"/>
      <c r="X55" s="805"/>
      <c r="Y55" s="805"/>
      <c r="Z55" s="805"/>
    </row>
  </sheetData>
  <autoFilter ref="$A$1:$E$55">
    <sortState ref="A1:E55">
      <sortCondition descending="1" ref="C1:C55"/>
      <sortCondition descending="1" ref="B1:B55"/>
      <sortCondition descending="1" ref="D1:D55"/>
      <sortCondition ref="E1:E55"/>
      <sortCondition ref="A1:A55"/>
    </sortState>
  </autoFilter>
  <conditionalFormatting sqref="B2:D55">
    <cfRule type="cellIs" dxfId="9" priority="1" operator="greaterThanOrEqual">
      <formula>0.695</formula>
    </cfRule>
  </conditionalFormatting>
  <conditionalFormatting sqref="B2:D55">
    <cfRule type="cellIs" dxfId="10" priority="2" operator="greaterThanOrEqual">
      <formula>0.495</formula>
    </cfRule>
  </conditionalFormatting>
  <conditionalFormatting sqref="B2:D55">
    <cfRule type="cellIs" dxfId="11" priority="3" operator="greaterThanOrEqual">
      <formula>0.3</formula>
    </cfRule>
  </conditionalFormatting>
  <drawing r:id="rId1"/>
</worksheet>
</file>